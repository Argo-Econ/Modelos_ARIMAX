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repos\Modelos_ARIMAX\Datos_ent\"/>
    </mc:Choice>
  </mc:AlternateContent>
  <xr:revisionPtr revIDLastSave="0" documentId="13_ncr:1_{E17D1743-0A93-463D-9813-3696126393E6}" xr6:coauthVersionLast="47" xr6:coauthVersionMax="47" xr10:uidLastSave="{00000000-0000-0000-0000-000000000000}"/>
  <bookViews>
    <workbookView xWindow="-90" yWindow="0" windowWidth="19380" windowHeight="20970" activeTab="4" xr2:uid="{A07C0AAA-3B1E-4A1D-91BA-DA08178054E0}"/>
  </bookViews>
  <sheets>
    <sheet name="Acciones" sheetId="1" r:id="rId1"/>
    <sheet name="Materias_Prim" sheetId="2" r:id="rId2"/>
    <sheet name="Monedas" sheetId="3" r:id="rId3"/>
    <sheet name="Actividad_Colombia" sheetId="4" r:id="rId4"/>
    <sheet name="Exogena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4" l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B298" i="3"/>
  <c r="C298" i="3"/>
  <c r="B299" i="3"/>
  <c r="C299" i="3"/>
  <c r="B300" i="3"/>
  <c r="C300" i="3"/>
  <c r="B301" i="3"/>
  <c r="C301" i="3"/>
  <c r="B302" i="3"/>
  <c r="C302" i="3"/>
  <c r="B303" i="3"/>
  <c r="C303" i="3"/>
  <c r="C297" i="3" l="1"/>
  <c r="B297" i="3"/>
  <c r="C296" i="3"/>
  <c r="B296" i="3"/>
  <c r="C295" i="3"/>
  <c r="B295" i="3"/>
  <c r="C294" i="3"/>
  <c r="B294" i="3"/>
  <c r="C293" i="3"/>
  <c r="B293" i="3"/>
  <c r="A411" i="2" l="1"/>
  <c r="A412" i="2" s="1"/>
  <c r="B287" i="3" l="1"/>
  <c r="C287" i="3"/>
  <c r="B288" i="3"/>
  <c r="C288" i="3"/>
  <c r="B289" i="3"/>
  <c r="C289" i="3"/>
  <c r="B290" i="3"/>
  <c r="C290" i="3"/>
  <c r="B291" i="3"/>
  <c r="C291" i="3"/>
  <c r="B292" i="3"/>
  <c r="C292" i="3"/>
  <c r="A406" i="2" l="1"/>
  <c r="A407" i="2" s="1"/>
  <c r="A408" i="2" s="1"/>
  <c r="A409" i="2" s="1"/>
  <c r="A410" i="2" s="1"/>
  <c r="C279" i="3" l="1"/>
  <c r="B279" i="3"/>
  <c r="C278" i="3"/>
  <c r="B278" i="3"/>
  <c r="C277" i="3"/>
  <c r="B277" i="3"/>
  <c r="C276" i="3"/>
  <c r="B276" i="3"/>
  <c r="C275" i="3"/>
  <c r="B275" i="3"/>
  <c r="C274" i="3"/>
  <c r="B274" i="3"/>
  <c r="C273" i="3"/>
  <c r="B273" i="3"/>
  <c r="C272" i="3"/>
  <c r="B272" i="3"/>
  <c r="C271" i="3"/>
  <c r="B271" i="3"/>
  <c r="C270" i="3"/>
  <c r="B270" i="3"/>
  <c r="C269" i="3"/>
  <c r="B269" i="3"/>
  <c r="C268" i="3"/>
  <c r="B268" i="3"/>
  <c r="C267" i="3"/>
  <c r="B267" i="3"/>
  <c r="C266" i="3"/>
  <c r="B266" i="3"/>
  <c r="C265" i="3"/>
  <c r="B265" i="3"/>
  <c r="C264" i="3"/>
  <c r="B264" i="3"/>
  <c r="C263" i="3"/>
  <c r="B263" i="3"/>
  <c r="C262" i="3"/>
  <c r="B262" i="3"/>
  <c r="C261" i="3"/>
  <c r="B261" i="3"/>
  <c r="C260" i="3"/>
  <c r="B260" i="3"/>
  <c r="C259" i="3"/>
  <c r="B259" i="3"/>
  <c r="C258" i="3"/>
  <c r="B258" i="3"/>
  <c r="C257" i="3"/>
  <c r="B257" i="3"/>
  <c r="C256" i="3"/>
  <c r="B256" i="3"/>
  <c r="C255" i="3"/>
  <c r="B255" i="3"/>
  <c r="C254" i="3"/>
  <c r="B254" i="3"/>
  <c r="C253" i="3"/>
  <c r="B253" i="3"/>
  <c r="C252" i="3"/>
  <c r="B252" i="3"/>
  <c r="C251" i="3"/>
  <c r="B251" i="3"/>
  <c r="C250" i="3"/>
  <c r="B250" i="3"/>
  <c r="C249" i="3"/>
  <c r="B249" i="3"/>
  <c r="C248" i="3"/>
  <c r="B248" i="3"/>
  <c r="C247" i="3"/>
  <c r="B247" i="3"/>
  <c r="C246" i="3"/>
  <c r="B246" i="3"/>
  <c r="C245" i="3"/>
  <c r="B245" i="3"/>
  <c r="C244" i="3"/>
  <c r="B244" i="3"/>
  <c r="C243" i="3"/>
  <c r="B243" i="3"/>
  <c r="C242" i="3"/>
  <c r="B242" i="3"/>
  <c r="C241" i="3"/>
  <c r="B241" i="3"/>
  <c r="C240" i="3"/>
  <c r="B240" i="3"/>
  <c r="C239" i="3"/>
  <c r="B239" i="3"/>
  <c r="C238" i="3"/>
  <c r="B238" i="3"/>
  <c r="C237" i="3"/>
  <c r="B237" i="3"/>
  <c r="C236" i="3"/>
  <c r="B236" i="3"/>
  <c r="C235" i="3"/>
  <c r="B235" i="3"/>
  <c r="C234" i="3"/>
  <c r="B234" i="3"/>
  <c r="C233" i="3"/>
  <c r="B233" i="3"/>
  <c r="C232" i="3"/>
  <c r="B232" i="3"/>
  <c r="C231" i="3"/>
  <c r="B231" i="3"/>
  <c r="C230" i="3"/>
  <c r="B230" i="3"/>
  <c r="C229" i="3"/>
  <c r="B229" i="3"/>
  <c r="C228" i="3"/>
  <c r="B228" i="3"/>
  <c r="C227" i="3"/>
  <c r="B227" i="3"/>
  <c r="C226" i="3"/>
  <c r="B226" i="3"/>
  <c r="C225" i="3"/>
  <c r="B225" i="3"/>
  <c r="C224" i="3"/>
  <c r="B224" i="3"/>
  <c r="C223" i="3"/>
  <c r="B223" i="3"/>
  <c r="C222" i="3"/>
  <c r="B222" i="3"/>
  <c r="C221" i="3"/>
  <c r="B221" i="3"/>
  <c r="C220" i="3"/>
  <c r="B220" i="3"/>
  <c r="C219" i="3"/>
  <c r="B219" i="3"/>
  <c r="C218" i="3"/>
  <c r="B218" i="3"/>
  <c r="C217" i="3"/>
  <c r="B217" i="3"/>
  <c r="C216" i="3"/>
  <c r="B216" i="3"/>
  <c r="C215" i="3"/>
  <c r="B215" i="3"/>
  <c r="C214" i="3"/>
  <c r="B214" i="3"/>
  <c r="C213" i="3"/>
  <c r="B213" i="3"/>
  <c r="C212" i="3"/>
  <c r="B212" i="3"/>
  <c r="C211" i="3"/>
  <c r="B211" i="3"/>
  <c r="C210" i="3"/>
  <c r="B210" i="3"/>
  <c r="C209" i="3"/>
  <c r="B209" i="3"/>
  <c r="C208" i="3"/>
  <c r="B208" i="3"/>
  <c r="C207" i="3"/>
  <c r="B207" i="3"/>
  <c r="C206" i="3"/>
  <c r="B206" i="3"/>
  <c r="C205" i="3"/>
  <c r="B205" i="3"/>
  <c r="C204" i="3"/>
  <c r="B204" i="3"/>
  <c r="C203" i="3"/>
  <c r="B203" i="3"/>
  <c r="C202" i="3"/>
  <c r="B202" i="3"/>
  <c r="C201" i="3"/>
  <c r="B201" i="3"/>
  <c r="C200" i="3"/>
  <c r="B200" i="3"/>
  <c r="C199" i="3"/>
  <c r="B199" i="3"/>
  <c r="C198" i="3"/>
  <c r="B198" i="3"/>
  <c r="C197" i="3"/>
  <c r="B197" i="3"/>
  <c r="C196" i="3"/>
  <c r="B196" i="3"/>
  <c r="C195" i="3"/>
  <c r="B195" i="3"/>
  <c r="C194" i="3"/>
  <c r="B194" i="3"/>
  <c r="C193" i="3"/>
  <c r="B193" i="3"/>
  <c r="C192" i="3"/>
  <c r="B192" i="3"/>
  <c r="C191" i="3"/>
  <c r="B191" i="3"/>
  <c r="C190" i="3"/>
  <c r="B190" i="3"/>
  <c r="C189" i="3"/>
  <c r="B189" i="3"/>
  <c r="C188" i="3"/>
  <c r="B188" i="3"/>
  <c r="C187" i="3"/>
  <c r="B187" i="3"/>
  <c r="C186" i="3"/>
  <c r="B186" i="3"/>
  <c r="C185" i="3"/>
  <c r="B185" i="3"/>
  <c r="C184" i="3"/>
  <c r="B184" i="3"/>
  <c r="C183" i="3"/>
  <c r="B183" i="3"/>
  <c r="C182" i="3"/>
  <c r="B182" i="3"/>
  <c r="C181" i="3"/>
  <c r="B181" i="3"/>
  <c r="C180" i="3"/>
  <c r="B180" i="3"/>
  <c r="C179" i="3"/>
  <c r="B179" i="3"/>
  <c r="C178" i="3"/>
  <c r="B178" i="3"/>
  <c r="C177" i="3"/>
  <c r="B177" i="3"/>
  <c r="C176" i="3"/>
  <c r="B176" i="3"/>
  <c r="C175" i="3"/>
  <c r="B175" i="3"/>
  <c r="C174" i="3"/>
  <c r="B174" i="3"/>
  <c r="C173" i="3"/>
  <c r="B173" i="3"/>
  <c r="C172" i="3"/>
  <c r="B172" i="3"/>
  <c r="C171" i="3"/>
  <c r="B171" i="3"/>
  <c r="C170" i="3"/>
  <c r="B170" i="3"/>
  <c r="C169" i="3"/>
  <c r="B169" i="3"/>
  <c r="C168" i="3"/>
  <c r="B168" i="3"/>
  <c r="C167" i="3"/>
  <c r="B167" i="3"/>
  <c r="C166" i="3"/>
  <c r="B166" i="3"/>
  <c r="C165" i="3"/>
  <c r="B165" i="3"/>
  <c r="C164" i="3"/>
  <c r="B164" i="3"/>
  <c r="C163" i="3"/>
  <c r="B163" i="3"/>
  <c r="C162" i="3"/>
  <c r="B162" i="3"/>
  <c r="C161" i="3"/>
  <c r="B161" i="3"/>
  <c r="C160" i="3"/>
  <c r="B160" i="3"/>
  <c r="C159" i="3"/>
  <c r="B159" i="3"/>
  <c r="C158" i="3"/>
  <c r="B158" i="3"/>
  <c r="C157" i="3"/>
  <c r="B157" i="3"/>
  <c r="C156" i="3"/>
  <c r="B156" i="3"/>
  <c r="C155" i="3"/>
  <c r="B155" i="3"/>
  <c r="C154" i="3"/>
  <c r="B154" i="3"/>
  <c r="C153" i="3"/>
  <c r="B153" i="3"/>
  <c r="C152" i="3"/>
  <c r="B152" i="3"/>
  <c r="C151" i="3"/>
  <c r="B151" i="3"/>
  <c r="C150" i="3"/>
  <c r="B150" i="3"/>
  <c r="C149" i="3"/>
  <c r="B149" i="3"/>
  <c r="C148" i="3"/>
  <c r="B148" i="3"/>
  <c r="C147" i="3"/>
  <c r="B147" i="3"/>
  <c r="C146" i="3"/>
  <c r="B146" i="3"/>
  <c r="C145" i="3"/>
  <c r="B145" i="3"/>
  <c r="C144" i="3"/>
  <c r="B144" i="3"/>
  <c r="C143" i="3"/>
  <c r="B143" i="3"/>
  <c r="C142" i="3"/>
  <c r="B142" i="3"/>
  <c r="C141" i="3"/>
  <c r="B141" i="3"/>
  <c r="C140" i="3"/>
  <c r="B140" i="3"/>
  <c r="C139" i="3"/>
  <c r="B139" i="3"/>
  <c r="C138" i="3"/>
  <c r="B138" i="3"/>
  <c r="C137" i="3"/>
  <c r="B137" i="3"/>
  <c r="C136" i="3"/>
  <c r="B136" i="3"/>
  <c r="C135" i="3"/>
  <c r="B135" i="3"/>
  <c r="C134" i="3"/>
  <c r="B134" i="3"/>
  <c r="C133" i="3"/>
  <c r="B133" i="3"/>
  <c r="C132" i="3"/>
  <c r="B132" i="3"/>
  <c r="C131" i="3"/>
  <c r="B131" i="3"/>
  <c r="C130" i="3"/>
  <c r="B130" i="3"/>
  <c r="C129" i="3"/>
  <c r="B129" i="3"/>
  <c r="C128" i="3"/>
  <c r="B128" i="3"/>
  <c r="C127" i="3"/>
  <c r="B127" i="3"/>
  <c r="C126" i="3"/>
  <c r="B126" i="3"/>
  <c r="C125" i="3"/>
  <c r="B125" i="3"/>
  <c r="C124" i="3"/>
  <c r="B124" i="3"/>
  <c r="C123" i="3"/>
  <c r="B123" i="3"/>
  <c r="C122" i="3"/>
  <c r="B122" i="3"/>
  <c r="C121" i="3"/>
  <c r="B121" i="3"/>
  <c r="C120" i="3"/>
  <c r="B120" i="3"/>
  <c r="C119" i="3"/>
  <c r="B119" i="3"/>
  <c r="C118" i="3"/>
  <c r="B118" i="3"/>
  <c r="C117" i="3"/>
  <c r="B117" i="3"/>
  <c r="C116" i="3"/>
  <c r="B116" i="3"/>
  <c r="C115" i="3"/>
  <c r="B115" i="3"/>
  <c r="C114" i="3"/>
  <c r="B114" i="3"/>
  <c r="C113" i="3"/>
  <c r="B113" i="3"/>
  <c r="C112" i="3"/>
  <c r="B112" i="3"/>
  <c r="C111" i="3"/>
  <c r="B111" i="3"/>
  <c r="C110" i="3"/>
  <c r="B110" i="3"/>
  <c r="C109" i="3"/>
  <c r="B109" i="3"/>
  <c r="C108" i="3"/>
  <c r="B108" i="3"/>
  <c r="C107" i="3"/>
  <c r="B107" i="3"/>
  <c r="C106" i="3"/>
  <c r="B106" i="3"/>
  <c r="C105" i="3"/>
  <c r="B105" i="3"/>
  <c r="C104" i="3"/>
  <c r="B104" i="3"/>
  <c r="C103" i="3"/>
  <c r="B103" i="3"/>
  <c r="C102" i="3"/>
  <c r="B102" i="3"/>
  <c r="C101" i="3"/>
  <c r="B101" i="3"/>
  <c r="C100" i="3"/>
  <c r="B100" i="3"/>
  <c r="C99" i="3"/>
  <c r="B99" i="3"/>
  <c r="C98" i="3"/>
  <c r="B98" i="3"/>
  <c r="C97" i="3"/>
  <c r="B97" i="3"/>
  <c r="C96" i="3"/>
  <c r="B96" i="3"/>
  <c r="C95" i="3"/>
  <c r="B95" i="3"/>
  <c r="C94" i="3"/>
  <c r="B94" i="3"/>
  <c r="C93" i="3"/>
  <c r="B93" i="3"/>
  <c r="C92" i="3"/>
  <c r="B92" i="3"/>
  <c r="C91" i="3"/>
  <c r="B91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286" i="3"/>
  <c r="B286" i="3"/>
  <c r="C285" i="3"/>
  <c r="B285" i="3"/>
  <c r="C284" i="3"/>
  <c r="B284" i="3"/>
  <c r="C283" i="3"/>
  <c r="B283" i="3"/>
  <c r="C282" i="3"/>
  <c r="B282" i="3"/>
  <c r="C281" i="3"/>
  <c r="B281" i="3"/>
  <c r="C280" i="3"/>
  <c r="B280" i="3"/>
  <c r="A399" i="2" l="1"/>
  <c r="A400" i="2"/>
  <c r="A401" i="2" s="1"/>
  <c r="A402" i="2" s="1"/>
  <c r="A403" i="2" s="1"/>
  <c r="A404" i="2" s="1"/>
  <c r="A405" i="2" s="1"/>
  <c r="A393" i="2" l="1"/>
  <c r="A394" i="2" s="1"/>
  <c r="A395" i="2" s="1"/>
  <c r="A396" i="2" s="1"/>
  <c r="A397" i="2" s="1"/>
  <c r="A398" i="2" s="1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</calcChain>
</file>

<file path=xl/sharedStrings.xml><?xml version="1.0" encoding="utf-8"?>
<sst xmlns="http://schemas.openxmlformats.org/spreadsheetml/2006/main" count="458" uniqueCount="108">
  <si>
    <t>Nombre</t>
  </si>
  <si>
    <t>Colombia</t>
  </si>
  <si>
    <t>Argentina</t>
  </si>
  <si>
    <t>Brasil</t>
  </si>
  <si>
    <t>Chile</t>
  </si>
  <si>
    <t>Perú</t>
  </si>
  <si>
    <t>México</t>
  </si>
  <si>
    <t>Rusia</t>
  </si>
  <si>
    <t>China</t>
  </si>
  <si>
    <t>Hong Kong</t>
  </si>
  <si>
    <t>Japón</t>
  </si>
  <si>
    <t>EE.UU</t>
  </si>
  <si>
    <t>Inglaterra</t>
  </si>
  <si>
    <t>España</t>
  </si>
  <si>
    <t>Francia</t>
  </si>
  <si>
    <t>Italia</t>
  </si>
  <si>
    <t>Europa</t>
  </si>
  <si>
    <t>Fecha</t>
  </si>
  <si>
    <t/>
  </si>
  <si>
    <t>Fuente:</t>
  </si>
  <si>
    <t>Reuters (promedio de los índices diarios)</t>
  </si>
  <si>
    <t>IMF Primary Commodity Prices</t>
  </si>
  <si>
    <t>Todos</t>
  </si>
  <si>
    <t>Todos menos oro</t>
  </si>
  <si>
    <t>Comida y bebidas</t>
  </si>
  <si>
    <t>Bebidas</t>
  </si>
  <si>
    <t>Insumos para la agricultura</t>
  </si>
  <si>
    <t>Metales</t>
  </si>
  <si>
    <t>Metales preciosos</t>
  </si>
  <si>
    <t>Fertilizantes</t>
  </si>
  <si>
    <t>Petróleo, Gas y Crbón</t>
  </si>
  <si>
    <t>Petróleo</t>
  </si>
  <si>
    <t>Gas Natural</t>
  </si>
  <si>
    <t>Carbón</t>
  </si>
  <si>
    <t>All Commodity Price Index, 2016 = 100, includes both Fuel and Non-Fuel Price Indices</t>
  </si>
  <si>
    <t>Commodities for Index: All, excluding Gold, 2016 = 100</t>
  </si>
  <si>
    <t>Non-Fuel Price Index, 2016 = 100, includes Precious Metal, Food and Beverages and Industrial Inputs Price Indices</t>
  </si>
  <si>
    <t>Food and Beverage Price Index, 2016 = 100, includes Food and Beverage Price Indices</t>
  </si>
  <si>
    <t>Food Price Index, 2016 = 100, includes Cereal, Vegetable Oils, Meat, Seafood, Sugar, and Other Food (Apple (non-citrus fruit), Bananas, Chana (legumes), Fishmeal, Groundnuts, Milk (dairy), Tomato (veg)) Price Indices</t>
  </si>
  <si>
    <t>Beverage Price Index, 2016 = 100, includes Coffee, Tea, and Cocoa</t>
  </si>
  <si>
    <t>Industrial Inputs Price Index, 2016 = 100, includes Agricultural Raw Materials and Base Metals Price Indices</t>
  </si>
  <si>
    <t>Agriculture Price Index, 2016 = 100, includes Food and Beverages and Agriculture Raw Materials Price Indices</t>
  </si>
  <si>
    <t>Agricultural Raw Materials Index, 2016 = 100, includes Timber, Cotton, Wool, Rubber, and Hides Price Indices</t>
  </si>
  <si>
    <t>All Metals Index, 2016 = 100: includes Metal Price Index (Base Metals) and Precious Metals Index</t>
  </si>
  <si>
    <t>Base Metals Price Index, 2016 = 100, includes Aluminum, Cobalt, Copper, Iron Ore, Lead, Molybdenum, Nickel, Tin, Uranium and Zinc Price Indices</t>
  </si>
  <si>
    <t>Precious Metals Price Index, 2016 = 100, includes Gold, Silver, Palladium and Platinum Price Indices</t>
  </si>
  <si>
    <t xml:space="preserve">All Metals EX GOLD Index, 2016 = 100: includes Metal Price Index (Base Metals) and ONLY Silver, Palladium, Platinum </t>
  </si>
  <si>
    <t>Fertilizer Index, 2016 = 100, includes DAP, Potash, UREA</t>
  </si>
  <si>
    <t>Fuel (Energy) Index, 2016 = 100, includes Crude oil (petroleum), Natural Gas, Coal Price and Propane Indices</t>
  </si>
  <si>
    <t>Crude Oil (petroleum), Price index, 2016 = 100, simple average of three spot prices; Dated Brent, West Texas Intermediate, and the Dubai Fateh</t>
  </si>
  <si>
    <t>Natural Gas Price Index, 2016 = 100, includes European, Japanese, and American Natural Gas Price Indices</t>
  </si>
  <si>
    <t>Coal Price Index, 2016 = 100, includes Australian and South African Coal</t>
  </si>
  <si>
    <t>DXY_Curncy</t>
  </si>
  <si>
    <t>año</t>
  </si>
  <si>
    <t>mes</t>
  </si>
  <si>
    <t>Peru</t>
  </si>
  <si>
    <t>Mexico</t>
  </si>
  <si>
    <t>Brent</t>
  </si>
  <si>
    <t>Datos Originales</t>
  </si>
  <si>
    <t>Datos con ajuste estacional</t>
  </si>
  <si>
    <t>Agricultura</t>
  </si>
  <si>
    <t>Minería</t>
  </si>
  <si>
    <t>Industria</t>
  </si>
  <si>
    <t>Energia</t>
  </si>
  <si>
    <t>Construcción</t>
  </si>
  <si>
    <t>Comercio</t>
  </si>
  <si>
    <t>Info_Comunicaciones</t>
  </si>
  <si>
    <t>Financiero</t>
  </si>
  <si>
    <t>Inmobiliario</t>
  </si>
  <si>
    <t>Serv_Profesionales</t>
  </si>
  <si>
    <t>Serv_Comunales_sociales</t>
  </si>
  <si>
    <t>Recreación</t>
  </si>
  <si>
    <t>ISE</t>
  </si>
  <si>
    <t>Indicadores de seguimiento a la economía - ISE - DANE</t>
  </si>
  <si>
    <t>IP_Index</t>
  </si>
  <si>
    <t>CPI_EEUU</t>
  </si>
  <si>
    <t>Fuente: FRED, BLS y EIA-STEO</t>
  </si>
  <si>
    <t>Alemania</t>
  </si>
  <si>
    <t>.COLCAP</t>
  </si>
  <si>
    <t>.MERV</t>
  </si>
  <si>
    <t>.BVSP</t>
  </si>
  <si>
    <t>.SPIPSA</t>
  </si>
  <si>
    <t>.MXX</t>
  </si>
  <si>
    <t>.IMOEX</t>
  </si>
  <si>
    <t>.SSEC</t>
  </si>
  <si>
    <t>.HSI</t>
  </si>
  <si>
    <t>.N225E</t>
  </si>
  <si>
    <t>.SPX</t>
  </si>
  <si>
    <t>.FTSE</t>
  </si>
  <si>
    <t>.DAX</t>
  </si>
  <si>
    <t>.IBEX</t>
  </si>
  <si>
    <t>.FCHI</t>
  </si>
  <si>
    <t>.FTMIB</t>
  </si>
  <si>
    <t>.STOXX</t>
  </si>
  <si>
    <t>Proyecciones:</t>
  </si>
  <si>
    <t>STEO</t>
  </si>
  <si>
    <t>FOMC</t>
  </si>
  <si>
    <t>NOAA</t>
  </si>
  <si>
    <t>CPC</t>
  </si>
  <si>
    <t>CPI_Index</t>
  </si>
  <si>
    <t>Otras fuentes</t>
  </si>
  <si>
    <t>Panamá</t>
  </si>
  <si>
    <t>FRED</t>
  </si>
  <si>
    <t>BLS</t>
  </si>
  <si>
    <t>EBP</t>
  </si>
  <si>
    <t>PROMEDIO.SI.CONJUNTO('[BD Mercados Financieros_V2.xlsx]Índices bursátiles'!$E$10:$E$3845,'[BD Mercados Financieros_V2.xlsx]Índices bursátiles'!$Z$10:$Z$3845,AÑO($A418),'[BD Mercados Financieros_V2.xlsx]Índices bursátiles'!$AA$10:$AA$3845,MES($A418))</t>
  </si>
  <si>
    <t>.BVPSI</t>
  </si>
  <si>
    <t>Completar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</si>
</sst>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mmm\-yyyy"/>
    <numFmt numFmtId="166" formatCode="0.0%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3" tint="0.249977111117893"/>
      <name val="Calibri"/>
      <family val="2"/>
      <scheme val="minor"/>
    </font>
    <font>
      <b/>
      <sz val="10"/>
      <color theme="0"/>
      <name val="CIBFont Sans"/>
      <family val="2"/>
    </font>
    <font>
      <sz val="11"/>
      <color theme="7" tint="-0.499984740745262"/>
      <name val="Calibri"/>
      <family val="2"/>
      <scheme val="minor"/>
    </font>
    <font>
      <b/>
      <sz val="9"/>
      <color theme="1"/>
      <name val="Arial "/>
    </font>
    <font>
      <sz val="10"/>
      <color theme="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8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medium">
        <color rgb="FFBBBBBB"/>
      </left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3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17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0" fontId="2" fillId="0" borderId="0" xfId="0" applyFont="1"/>
    <xf numFmtId="0" fontId="3" fillId="0" borderId="0" xfId="0" applyFont="1"/>
    <xf numFmtId="0" fontId="4" fillId="0" borderId="0" xfId="2"/>
    <xf numFmtId="0" fontId="2" fillId="3" borderId="0" xfId="0" applyFont="1" applyFill="1"/>
    <xf numFmtId="17" fontId="0" fillId="3" borderId="0" xfId="0" applyNumberFormat="1" applyFill="1"/>
    <xf numFmtId="0" fontId="5" fillId="0" borderId="0" xfId="0" applyFont="1" applyAlignment="1">
      <alignment horizontal="center"/>
    </xf>
    <xf numFmtId="1" fontId="6" fillId="4" borderId="0" xfId="0" applyNumberFormat="1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4" fontId="8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10" fillId="7" borderId="1" xfId="0" applyFont="1" applyFill="1" applyBorder="1" applyAlignment="1">
      <alignment horizontal="center" vertical="center" wrapText="1"/>
    </xf>
    <xf numFmtId="165" fontId="10" fillId="7" borderId="0" xfId="0" applyNumberFormat="1" applyFont="1" applyFill="1" applyAlignment="1">
      <alignment horizontal="center" vertical="center" wrapText="1"/>
    </xf>
    <xf numFmtId="164" fontId="11" fillId="8" borderId="0" xfId="1" applyNumberFormat="1" applyFont="1" applyFill="1" applyBorder="1" applyAlignment="1">
      <alignment horizontal="center" wrapText="1"/>
    </xf>
    <xf numFmtId="0" fontId="12" fillId="0" borderId="0" xfId="2" applyFont="1"/>
    <xf numFmtId="164" fontId="9" fillId="6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66" fontId="14" fillId="9" borderId="0" xfId="1" applyNumberFormat="1" applyFont="1" applyFill="1" applyAlignment="1">
      <alignment horizontal="center"/>
    </xf>
    <xf numFmtId="0" fontId="4" fillId="0" borderId="0" xfId="2" applyAlignment="1">
      <alignment horizontal="center"/>
    </xf>
    <xf numFmtId="0" fontId="15" fillId="0" borderId="0" xfId="0" applyFont="1"/>
    <xf numFmtId="0" fontId="16" fillId="0" borderId="0" xfId="0" applyFont="1"/>
  </cellXfs>
  <cellStyles count="5">
    <cellStyle name="Hipervínculo" xfId="2" builtinId="8"/>
    <cellStyle name="Normal" xfId="0" builtinId="0"/>
    <cellStyle name="Normal 2" xfId="3" xr:uid="{ED6DAC38-6E2A-4699-A0E2-C3BCA737C35C}"/>
    <cellStyle name="Normal 2 2" xfId="4" xr:uid="{EB3F32C1-06D6-42ED-9171-E44A6FACAE4A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mf.org/en/Research/commodity-price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dane.gov.co/index.php/estadisticas-por-tema/cuentas-nacionales/indicador-de-seguimiento-a-la-economia-ise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MCOILBRENTEU" TargetMode="External"/><Relationship Id="rId3" Type="http://schemas.openxmlformats.org/officeDocument/2006/relationships/hyperlink" Target="https://www.cpc.ncep.noaa.gov/data/indices/sstoi.indices" TargetMode="External"/><Relationship Id="rId7" Type="http://schemas.openxmlformats.org/officeDocument/2006/relationships/hyperlink" Target="https://www.federalreserve.gov/econres/economic-research-data.htm" TargetMode="External"/><Relationship Id="rId2" Type="http://schemas.openxmlformats.org/officeDocument/2006/relationships/hyperlink" Target="https://www.eia.gov/outlooks/steo/outlook.php" TargetMode="External"/><Relationship Id="rId1" Type="http://schemas.openxmlformats.org/officeDocument/2006/relationships/hyperlink" Target="https://www.federalreserve.gov/monetarypolicy/files/fomcprojtabl20230614.pdf" TargetMode="External"/><Relationship Id="rId6" Type="http://schemas.openxmlformats.org/officeDocument/2006/relationships/hyperlink" Target="https://fred.stlouisfed.org/series/INDPRO" TargetMode="External"/><Relationship Id="rId5" Type="http://schemas.openxmlformats.org/officeDocument/2006/relationships/hyperlink" Target="https://data.bls.gov/timeseries/CUUR0000SA0?years_option=all_years" TargetMode="External"/><Relationship Id="rId4" Type="http://schemas.openxmlformats.org/officeDocument/2006/relationships/hyperlink" Target="https://www.cpc.ncep.noaa.gov/products/analysis_monitoring/enso_advisory/ensodisc_Sp.shtml" TargetMode="External"/><Relationship Id="rId9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19A1-6421-439C-ABF3-F7A990CAEE97}">
  <dimension ref="A1:U435"/>
  <sheetViews>
    <sheetView zoomScale="85" zoomScaleNormal="85" workbookViewId="0">
      <pane xSplit="1" ySplit="4" topLeftCell="E403" activePane="bottomRight" state="frozen"/>
      <selection pane="topRight" activeCell="B1" sqref="B1"/>
      <selection pane="bottomLeft" activeCell="A4" sqref="A4"/>
      <selection pane="bottomRight" activeCell="R425" sqref="R425"/>
    </sheetView>
  </sheetViews>
  <sheetFormatPr baseColWidth="10" defaultRowHeight="14.5"/>
  <sheetData>
    <row r="1" spans="1:18">
      <c r="A1" t="s">
        <v>19</v>
      </c>
      <c r="B1" s="6" t="s">
        <v>20</v>
      </c>
    </row>
    <row r="2" spans="1:18">
      <c r="L2" s="6"/>
    </row>
    <row r="3" spans="1:18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101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77</v>
      </c>
      <c r="O3" t="s">
        <v>13</v>
      </c>
      <c r="P3" t="s">
        <v>14</v>
      </c>
      <c r="Q3" t="s">
        <v>15</v>
      </c>
      <c r="R3" t="s">
        <v>16</v>
      </c>
    </row>
    <row r="4" spans="1:18">
      <c r="A4" s="1" t="s">
        <v>17</v>
      </c>
      <c r="B4" t="s">
        <v>78</v>
      </c>
      <c r="C4" t="s">
        <v>79</v>
      </c>
      <c r="D4" t="s">
        <v>80</v>
      </c>
      <c r="E4" t="s">
        <v>81</v>
      </c>
      <c r="F4" t="s">
        <v>106</v>
      </c>
      <c r="G4" t="s">
        <v>82</v>
      </c>
      <c r="H4" t="s">
        <v>83</v>
      </c>
      <c r="I4" t="s">
        <v>84</v>
      </c>
      <c r="J4" t="s">
        <v>85</v>
      </c>
      <c r="K4" t="s">
        <v>86</v>
      </c>
      <c r="L4" t="s">
        <v>87</v>
      </c>
      <c r="M4" t="s">
        <v>88</v>
      </c>
      <c r="N4" t="s">
        <v>89</v>
      </c>
      <c r="O4" t="s">
        <v>90</v>
      </c>
      <c r="P4" t="s">
        <v>91</v>
      </c>
      <c r="Q4" t="s">
        <v>92</v>
      </c>
      <c r="R4" t="s">
        <v>93</v>
      </c>
    </row>
    <row r="5" spans="1:18">
      <c r="A5" s="2">
        <v>32874</v>
      </c>
      <c r="B5" s="3" t="s">
        <v>18</v>
      </c>
      <c r="C5" s="3" t="s">
        <v>18</v>
      </c>
      <c r="D5" s="3">
        <v>8.9649261538461544E-3</v>
      </c>
      <c r="E5" s="3" t="s">
        <v>18</v>
      </c>
      <c r="F5" s="3" t="s">
        <v>18</v>
      </c>
      <c r="G5" s="3">
        <v>434.41184879230775</v>
      </c>
      <c r="H5" s="3" t="s">
        <v>18</v>
      </c>
      <c r="I5" s="3" t="s">
        <v>18</v>
      </c>
      <c r="J5" s="3">
        <v>2801.6165384615383</v>
      </c>
      <c r="K5" s="3">
        <v>37599.343461538461</v>
      </c>
      <c r="L5" s="3">
        <v>340.92538461538453</v>
      </c>
      <c r="M5" s="3">
        <v>2372.1076923076926</v>
      </c>
      <c r="N5" s="3" t="s">
        <v>18</v>
      </c>
      <c r="O5" s="3" t="s">
        <v>18</v>
      </c>
      <c r="P5" s="3">
        <v>1946.6203846153849</v>
      </c>
      <c r="Q5" s="3" t="s">
        <v>18</v>
      </c>
      <c r="R5" s="3">
        <v>107.4703846153846</v>
      </c>
    </row>
    <row r="6" spans="1:18">
      <c r="A6" s="2">
        <v>32905</v>
      </c>
      <c r="B6" s="3" t="s">
        <v>18</v>
      </c>
      <c r="C6" s="3" t="s">
        <v>18</v>
      </c>
      <c r="D6" s="3">
        <v>1.4933107692307686E-2</v>
      </c>
      <c r="E6" s="3" t="s">
        <v>18</v>
      </c>
      <c r="F6" s="3" t="s">
        <v>18</v>
      </c>
      <c r="G6" s="3">
        <v>469.53038258846158</v>
      </c>
      <c r="H6" s="3" t="s">
        <v>18</v>
      </c>
      <c r="I6" s="3" t="s">
        <v>18</v>
      </c>
      <c r="J6" s="3">
        <v>2870.3857692307693</v>
      </c>
      <c r="K6" s="3">
        <v>36667.475769230761</v>
      </c>
      <c r="L6" s="3">
        <v>330.6642307692307</v>
      </c>
      <c r="M6" s="3">
        <v>2300.5246153846156</v>
      </c>
      <c r="N6" s="3" t="s">
        <v>18</v>
      </c>
      <c r="O6" s="3" t="s">
        <v>18</v>
      </c>
      <c r="P6" s="3">
        <v>1867.646538461539</v>
      </c>
      <c r="Q6" s="3" t="s">
        <v>18</v>
      </c>
      <c r="R6" s="3">
        <v>105.68576923076922</v>
      </c>
    </row>
    <row r="7" spans="1:18">
      <c r="A7" s="2">
        <v>32933</v>
      </c>
      <c r="B7" s="3" t="s">
        <v>18</v>
      </c>
      <c r="C7" s="3" t="s">
        <v>18</v>
      </c>
      <c r="D7" s="3">
        <v>1.4902924999999999E-2</v>
      </c>
      <c r="E7" s="3" t="s">
        <v>18</v>
      </c>
      <c r="F7" s="3" t="s">
        <v>18</v>
      </c>
      <c r="G7" s="3">
        <v>480.93019430357134</v>
      </c>
      <c r="H7" s="3" t="s">
        <v>18</v>
      </c>
      <c r="I7" s="3" t="s">
        <v>18</v>
      </c>
      <c r="J7" s="3">
        <v>2935.7603571428567</v>
      </c>
      <c r="K7" s="3">
        <v>32296.636428571419</v>
      </c>
      <c r="L7" s="3">
        <v>338.36821428571432</v>
      </c>
      <c r="M7" s="3">
        <v>2250.2571428571432</v>
      </c>
      <c r="N7" s="3"/>
      <c r="O7" s="3" t="s">
        <v>18</v>
      </c>
      <c r="P7" s="3">
        <v>1921.2664285714291</v>
      </c>
      <c r="Q7" s="3" t="s">
        <v>18</v>
      </c>
      <c r="R7" s="3">
        <v>104.34</v>
      </c>
    </row>
    <row r="8" spans="1:18">
      <c r="A8" s="2">
        <v>32964</v>
      </c>
      <c r="B8" s="3" t="s">
        <v>18</v>
      </c>
      <c r="C8" s="3" t="s">
        <v>18</v>
      </c>
      <c r="D8" s="3">
        <v>1.238071153846154E-2</v>
      </c>
      <c r="E8" s="3" t="s">
        <v>18</v>
      </c>
      <c r="F8" s="3" t="s">
        <v>18</v>
      </c>
      <c r="G8" s="3">
        <v>515.58046546538469</v>
      </c>
      <c r="H8" s="3" t="s">
        <v>18</v>
      </c>
      <c r="I8" s="3" t="s">
        <v>18</v>
      </c>
      <c r="J8" s="3">
        <v>2994.8988461538465</v>
      </c>
      <c r="K8" s="3">
        <v>29316.140384615381</v>
      </c>
      <c r="L8" s="3">
        <v>338.32653846153846</v>
      </c>
      <c r="M8" s="3">
        <v>2194.7807692307683</v>
      </c>
      <c r="N8" s="3"/>
      <c r="O8" s="3" t="s">
        <v>18</v>
      </c>
      <c r="P8" s="3">
        <v>2073.7519230769221</v>
      </c>
      <c r="Q8" s="3" t="s">
        <v>18</v>
      </c>
      <c r="R8" s="3">
        <v>104.57884615384613</v>
      </c>
    </row>
    <row r="9" spans="1:18">
      <c r="A9" s="2">
        <v>32994</v>
      </c>
      <c r="B9" s="3" t="s">
        <v>18</v>
      </c>
      <c r="C9" s="3" t="s">
        <v>18</v>
      </c>
      <c r="D9" s="3">
        <v>1.4524922222222221E-2</v>
      </c>
      <c r="E9" s="3" t="s">
        <v>18</v>
      </c>
      <c r="F9" s="3" t="s">
        <v>18</v>
      </c>
      <c r="G9" s="3">
        <v>608.29532652222235</v>
      </c>
      <c r="H9" s="3" t="s">
        <v>18</v>
      </c>
      <c r="I9" s="3" t="s">
        <v>18</v>
      </c>
      <c r="J9" s="3">
        <v>2984.9318518518526</v>
      </c>
      <c r="K9" s="3">
        <v>31674.20185185186</v>
      </c>
      <c r="L9" s="3">
        <v>350.35888888888888</v>
      </c>
      <c r="M9" s="3">
        <v>2227.537037037037</v>
      </c>
      <c r="N9" s="3"/>
      <c r="O9" s="3" t="s">
        <v>18</v>
      </c>
      <c r="P9" s="3">
        <v>2101.0222222222224</v>
      </c>
      <c r="Q9" s="3" t="s">
        <v>18</v>
      </c>
      <c r="R9" s="3">
        <v>105.96444444444444</v>
      </c>
    </row>
    <row r="10" spans="1:18">
      <c r="A10" s="2">
        <v>33025</v>
      </c>
      <c r="B10" s="3" t="s">
        <v>18</v>
      </c>
      <c r="C10" s="3" t="s">
        <v>18</v>
      </c>
      <c r="D10" s="3">
        <v>1.5326685185185185E-2</v>
      </c>
      <c r="E10" s="3" t="s">
        <v>18</v>
      </c>
      <c r="F10" s="3" t="s">
        <v>18</v>
      </c>
      <c r="G10" s="3">
        <v>628.7045604481483</v>
      </c>
      <c r="H10" s="3" t="s">
        <v>18</v>
      </c>
      <c r="I10" s="3" t="s">
        <v>18</v>
      </c>
      <c r="J10" s="3">
        <v>3210.7037037037039</v>
      </c>
      <c r="K10" s="3">
        <v>32392.919629629625</v>
      </c>
      <c r="L10" s="3">
        <v>360.35222222222222</v>
      </c>
      <c r="M10" s="3">
        <v>2376.7148148148149</v>
      </c>
      <c r="N10" s="3"/>
      <c r="O10" s="3" t="s">
        <v>18</v>
      </c>
      <c r="P10" s="3">
        <v>2035.0600000000006</v>
      </c>
      <c r="Q10" s="3" t="s">
        <v>18</v>
      </c>
      <c r="R10" s="3">
        <v>109.7674074074074</v>
      </c>
    </row>
    <row r="11" spans="1:18">
      <c r="A11" s="2">
        <v>33055</v>
      </c>
      <c r="B11" s="3" t="s">
        <v>18</v>
      </c>
      <c r="C11" s="3" t="s">
        <v>18</v>
      </c>
      <c r="D11" s="3">
        <v>2.4012874074074084E-2</v>
      </c>
      <c r="E11" s="3" t="s">
        <v>18</v>
      </c>
      <c r="F11" s="3" t="s">
        <v>18</v>
      </c>
      <c r="G11" s="3">
        <v>649.52304869629631</v>
      </c>
      <c r="H11" s="3" t="s">
        <v>18</v>
      </c>
      <c r="I11" s="3" t="s">
        <v>18</v>
      </c>
      <c r="J11" s="3">
        <v>3451.3644444444449</v>
      </c>
      <c r="K11" s="3">
        <v>32169.309259259258</v>
      </c>
      <c r="L11" s="3">
        <v>360.00037037037043</v>
      </c>
      <c r="M11" s="3">
        <v>2361.2703703703701</v>
      </c>
      <c r="N11" s="3"/>
      <c r="O11" s="3" t="s">
        <v>18</v>
      </c>
      <c r="P11" s="3">
        <v>1998.1133333333335</v>
      </c>
      <c r="Q11" s="3" t="s">
        <v>18</v>
      </c>
      <c r="R11" s="3">
        <v>111.15518518518518</v>
      </c>
    </row>
    <row r="12" spans="1:18">
      <c r="A12" s="2">
        <v>33086</v>
      </c>
      <c r="B12" s="3" t="s">
        <v>18</v>
      </c>
      <c r="C12" s="3" t="s">
        <v>18</v>
      </c>
      <c r="D12" s="3">
        <v>2.8173707142857145E-2</v>
      </c>
      <c r="E12" s="3" t="s">
        <v>18</v>
      </c>
      <c r="F12" s="3" t="s">
        <v>18</v>
      </c>
      <c r="G12" s="3">
        <v>620.69819205714271</v>
      </c>
      <c r="H12" s="3" t="s">
        <v>18</v>
      </c>
      <c r="I12" s="3" t="s">
        <v>18</v>
      </c>
      <c r="J12" s="3">
        <v>3113.9335714285708</v>
      </c>
      <c r="K12" s="3">
        <v>27007.678214285716</v>
      </c>
      <c r="L12" s="3">
        <v>331.13392857142856</v>
      </c>
      <c r="M12" s="3">
        <v>2194.4250000000002</v>
      </c>
      <c r="N12" s="3"/>
      <c r="O12" s="3" t="s">
        <v>18</v>
      </c>
      <c r="P12" s="3">
        <v>1727.6042857142857</v>
      </c>
      <c r="Q12" s="3" t="s">
        <v>18</v>
      </c>
      <c r="R12" s="3">
        <v>100.45642857142857</v>
      </c>
    </row>
    <row r="13" spans="1:18">
      <c r="A13" s="2">
        <v>33117</v>
      </c>
      <c r="B13" s="3" t="s">
        <v>18</v>
      </c>
      <c r="C13" s="3" t="s">
        <v>18</v>
      </c>
      <c r="D13" s="3">
        <v>2.3666080769230768E-2</v>
      </c>
      <c r="E13" s="3" t="s">
        <v>18</v>
      </c>
      <c r="F13" s="3" t="s">
        <v>18</v>
      </c>
      <c r="G13" s="3">
        <v>558.47428071923071</v>
      </c>
      <c r="H13" s="3" t="s">
        <v>18</v>
      </c>
      <c r="I13" s="3" t="s">
        <v>18</v>
      </c>
      <c r="J13" s="3">
        <v>2982.3873076923087</v>
      </c>
      <c r="K13" s="3">
        <v>24005.108076923079</v>
      </c>
      <c r="L13" s="3">
        <v>316.07730769230778</v>
      </c>
      <c r="M13" s="3">
        <v>2083.7846153846153</v>
      </c>
      <c r="N13" s="3"/>
      <c r="O13" s="3" t="s">
        <v>18</v>
      </c>
      <c r="P13" s="3">
        <v>1590.3103846153847</v>
      </c>
      <c r="Q13" s="3" t="s">
        <v>18</v>
      </c>
      <c r="R13" s="3">
        <v>92.626923076923077</v>
      </c>
    </row>
    <row r="14" spans="1:18">
      <c r="A14" s="2">
        <v>33147</v>
      </c>
      <c r="B14" s="3" t="s">
        <v>18</v>
      </c>
      <c r="C14" s="3" t="s">
        <v>18</v>
      </c>
      <c r="D14" s="3">
        <v>2.0568260714285722E-2</v>
      </c>
      <c r="E14" s="3" t="s">
        <v>18</v>
      </c>
      <c r="F14" s="3" t="s">
        <v>18</v>
      </c>
      <c r="G14" s="3">
        <v>578.79552351428572</v>
      </c>
      <c r="H14" s="3" t="s">
        <v>18</v>
      </c>
      <c r="I14" s="3" t="s">
        <v>18</v>
      </c>
      <c r="J14" s="3">
        <v>2947.0032142857149</v>
      </c>
      <c r="K14" s="3">
        <v>23749.908928571425</v>
      </c>
      <c r="L14" s="3">
        <v>307.28892857142853</v>
      </c>
      <c r="M14" s="3">
        <v>2094.7785714285715</v>
      </c>
      <c r="N14" s="3"/>
      <c r="O14" s="3" t="s">
        <v>18</v>
      </c>
      <c r="P14" s="3">
        <v>1598.8617857142856</v>
      </c>
      <c r="Q14" s="3" t="s">
        <v>18</v>
      </c>
      <c r="R14" s="3">
        <v>91.082857142857151</v>
      </c>
    </row>
    <row r="15" spans="1:18">
      <c r="A15" s="2">
        <v>33178</v>
      </c>
      <c r="B15" s="3" t="s">
        <v>18</v>
      </c>
      <c r="C15" s="3" t="s">
        <v>18</v>
      </c>
      <c r="D15" s="3">
        <v>2.3121925925925928E-2</v>
      </c>
      <c r="E15" s="3" t="s">
        <v>18</v>
      </c>
      <c r="F15" s="3" t="s">
        <v>18</v>
      </c>
      <c r="G15" s="3">
        <v>613.87926795185183</v>
      </c>
      <c r="H15" s="3" t="s">
        <v>18</v>
      </c>
      <c r="I15" s="3" t="s">
        <v>18</v>
      </c>
      <c r="J15" s="3">
        <v>2986.0622222222223</v>
      </c>
      <c r="K15" s="3">
        <v>23466.202592592592</v>
      </c>
      <c r="L15" s="3">
        <v>315.06666666666672</v>
      </c>
      <c r="M15" s="3">
        <v>2086.9296296296297</v>
      </c>
      <c r="N15" s="3"/>
      <c r="O15" s="3" t="s">
        <v>18</v>
      </c>
      <c r="P15" s="3">
        <v>1613.0366666666666</v>
      </c>
      <c r="Q15" s="3" t="s">
        <v>18</v>
      </c>
      <c r="R15" s="3">
        <v>89.219629629629608</v>
      </c>
    </row>
    <row r="16" spans="1:18">
      <c r="A16" s="2">
        <v>33208</v>
      </c>
      <c r="B16" s="3" t="s">
        <v>18</v>
      </c>
      <c r="C16" s="3" t="s">
        <v>18</v>
      </c>
      <c r="D16" s="3">
        <v>2.5021448148148148E-2</v>
      </c>
      <c r="E16" s="3" t="s">
        <v>18</v>
      </c>
      <c r="F16" s="3" t="s">
        <v>18</v>
      </c>
      <c r="G16" s="3">
        <v>639.35443568148162</v>
      </c>
      <c r="H16" s="3" t="s">
        <v>18</v>
      </c>
      <c r="I16" s="3">
        <v>116.20399999999998</v>
      </c>
      <c r="J16" s="3">
        <v>3084.3948148148152</v>
      </c>
      <c r="K16" s="3">
        <v>23683.747407407398</v>
      </c>
      <c r="L16" s="3">
        <v>328.27407407407401</v>
      </c>
      <c r="M16" s="3">
        <v>2164.0333333333342</v>
      </c>
      <c r="N16" s="3"/>
      <c r="O16" s="3" t="s">
        <v>18</v>
      </c>
      <c r="P16" s="3">
        <v>1613.4822222222224</v>
      </c>
      <c r="Q16" s="3" t="s">
        <v>18</v>
      </c>
      <c r="R16" s="3">
        <v>90.863703703703678</v>
      </c>
    </row>
    <row r="17" spans="1:18">
      <c r="A17" s="2">
        <v>33239</v>
      </c>
      <c r="B17" s="4">
        <v>20.106013986473993</v>
      </c>
      <c r="C17" s="3" t="s">
        <v>18</v>
      </c>
      <c r="D17" s="3">
        <v>3.2550139285714291E-2</v>
      </c>
      <c r="E17" s="3" t="s">
        <v>18</v>
      </c>
      <c r="F17" s="3" t="s">
        <v>18</v>
      </c>
      <c r="G17" s="3">
        <v>600.35071018571421</v>
      </c>
      <c r="H17" s="3" t="s">
        <v>18</v>
      </c>
      <c r="I17" s="3">
        <v>132.5842857142857</v>
      </c>
      <c r="J17" s="3">
        <v>3081.8160714285709</v>
      </c>
      <c r="K17" s="3">
        <v>23421.247142857137</v>
      </c>
      <c r="L17" s="3">
        <v>325.3807142857143</v>
      </c>
      <c r="M17" s="3">
        <v>2108.3392857142858</v>
      </c>
      <c r="N17" s="3"/>
      <c r="O17" s="3" t="s">
        <v>18</v>
      </c>
      <c r="P17" s="3">
        <v>1529.9099999999999</v>
      </c>
      <c r="Q17" s="3" t="s">
        <v>18</v>
      </c>
      <c r="R17" s="3">
        <v>87.728928571428568</v>
      </c>
    </row>
    <row r="18" spans="1:18">
      <c r="A18" s="2">
        <v>33270</v>
      </c>
      <c r="B18" s="4">
        <v>21.697617436257339</v>
      </c>
      <c r="C18" s="3" t="s">
        <v>18</v>
      </c>
      <c r="D18" s="3">
        <v>5.9124658333333323E-2</v>
      </c>
      <c r="E18" s="3" t="s">
        <v>18</v>
      </c>
      <c r="F18" s="3" t="s">
        <v>18</v>
      </c>
      <c r="G18" s="3">
        <v>646.59029897500011</v>
      </c>
      <c r="H18" s="3" t="s">
        <v>18</v>
      </c>
      <c r="I18" s="3">
        <v>131.84083333333331</v>
      </c>
      <c r="J18" s="3">
        <v>3409.4212499999994</v>
      </c>
      <c r="K18" s="3">
        <v>25046.361250000002</v>
      </c>
      <c r="L18" s="3">
        <v>361.64416666666671</v>
      </c>
      <c r="M18" s="3">
        <v>2272.4000000000005</v>
      </c>
      <c r="N18" s="3"/>
      <c r="O18" s="3" t="s">
        <v>18</v>
      </c>
      <c r="P18" s="3">
        <v>1658.8341666666665</v>
      </c>
      <c r="Q18" s="3" t="s">
        <v>18</v>
      </c>
      <c r="R18" s="3">
        <v>95.275833333333324</v>
      </c>
    </row>
    <row r="19" spans="1:18">
      <c r="A19" s="2">
        <v>33298</v>
      </c>
      <c r="B19" s="4">
        <v>21.921344678273741</v>
      </c>
      <c r="C19" s="3" t="s">
        <v>18</v>
      </c>
      <c r="D19" s="3">
        <v>6.3965644444444442E-2</v>
      </c>
      <c r="E19" s="3" t="s">
        <v>18</v>
      </c>
      <c r="F19" s="3" t="s">
        <v>18</v>
      </c>
      <c r="G19" s="3">
        <v>743.28129972222246</v>
      </c>
      <c r="H19" s="3" t="s">
        <v>18</v>
      </c>
      <c r="I19" s="3">
        <v>126.16777777777776</v>
      </c>
      <c r="J19" s="3">
        <v>3672.362222222222</v>
      </c>
      <c r="K19" s="3">
        <v>26461.45407407407</v>
      </c>
      <c r="L19" s="3">
        <v>372.49851851851844</v>
      </c>
      <c r="M19" s="3">
        <v>2449.6370370370364</v>
      </c>
      <c r="N19" s="3"/>
      <c r="O19" s="3" t="s">
        <v>18</v>
      </c>
      <c r="P19" s="3">
        <v>1791.512962962963</v>
      </c>
      <c r="Q19" s="3" t="s">
        <v>18</v>
      </c>
      <c r="R19" s="3">
        <v>102.91851851851852</v>
      </c>
    </row>
    <row r="20" spans="1:18">
      <c r="A20" s="2">
        <v>33329</v>
      </c>
      <c r="B20" s="4">
        <v>20.292453354820992</v>
      </c>
      <c r="C20" s="3" t="s">
        <v>18</v>
      </c>
      <c r="D20" s="3">
        <v>6.8836585185185165E-2</v>
      </c>
      <c r="E20" s="3" t="s">
        <v>18</v>
      </c>
      <c r="F20" s="3" t="s">
        <v>18</v>
      </c>
      <c r="G20" s="3">
        <v>886.72019675185197</v>
      </c>
      <c r="H20" s="3" t="s">
        <v>18</v>
      </c>
      <c r="I20" s="3">
        <v>118.53037037037038</v>
      </c>
      <c r="J20" s="3">
        <v>3715.0555555555561</v>
      </c>
      <c r="K20" s="3">
        <v>26472.864074074078</v>
      </c>
      <c r="L20" s="3">
        <v>379.52888888888884</v>
      </c>
      <c r="M20" s="3">
        <v>2513.4148148148151</v>
      </c>
      <c r="N20" s="3"/>
      <c r="O20" s="3" t="s">
        <v>18</v>
      </c>
      <c r="P20" s="3">
        <v>1813.0455555555554</v>
      </c>
      <c r="Q20" s="3" t="s">
        <v>18</v>
      </c>
      <c r="R20" s="3">
        <v>105.7348148148148</v>
      </c>
    </row>
    <row r="21" spans="1:18">
      <c r="A21" s="2">
        <v>33359</v>
      </c>
      <c r="B21" s="4">
        <v>22.307961052635413</v>
      </c>
      <c r="C21" s="3" t="s">
        <v>18</v>
      </c>
      <c r="D21" s="3">
        <v>8.0771457142857134E-2</v>
      </c>
      <c r="E21" s="3" t="s">
        <v>18</v>
      </c>
      <c r="F21" s="3" t="s">
        <v>18</v>
      </c>
      <c r="G21" s="3">
        <v>1004.8876037928574</v>
      </c>
      <c r="H21" s="3" t="s">
        <v>18</v>
      </c>
      <c r="I21" s="3">
        <v>109.92821428571426</v>
      </c>
      <c r="J21" s="3">
        <v>3747.588928571427</v>
      </c>
      <c r="K21" s="3">
        <v>25929.908928571436</v>
      </c>
      <c r="L21" s="3">
        <v>377.69607142857143</v>
      </c>
      <c r="M21" s="3">
        <v>2494.6357142857146</v>
      </c>
      <c r="N21" s="3"/>
      <c r="O21" s="3" t="s">
        <v>18</v>
      </c>
      <c r="P21" s="3">
        <v>1825.2974999999999</v>
      </c>
      <c r="Q21" s="3" t="s">
        <v>18</v>
      </c>
      <c r="R21" s="3">
        <v>105.56964285714284</v>
      </c>
    </row>
    <row r="22" spans="1:18">
      <c r="A22" s="2">
        <v>33390</v>
      </c>
      <c r="B22" s="4">
        <v>25.424442283530556</v>
      </c>
      <c r="C22" s="3">
        <v>266.97800000000001</v>
      </c>
      <c r="D22" s="3">
        <v>0.12476155555555556</v>
      </c>
      <c r="E22" s="3" t="s">
        <v>18</v>
      </c>
      <c r="F22" s="3" t="s">
        <v>18</v>
      </c>
      <c r="G22" s="3">
        <v>1090.4984582592592</v>
      </c>
      <c r="H22" s="3" t="s">
        <v>18</v>
      </c>
      <c r="I22" s="3">
        <v>125.51592592592596</v>
      </c>
      <c r="J22" s="3">
        <v>3638.7522222222219</v>
      </c>
      <c r="K22" s="3">
        <v>24629.232592592594</v>
      </c>
      <c r="L22" s="3">
        <v>379.09555555555551</v>
      </c>
      <c r="M22" s="3">
        <v>2494.0333333333338</v>
      </c>
      <c r="N22" s="3"/>
      <c r="O22" s="3" t="s">
        <v>18</v>
      </c>
      <c r="P22" s="3">
        <v>1826.4488888888886</v>
      </c>
      <c r="Q22" s="3" t="s">
        <v>18</v>
      </c>
      <c r="R22" s="3">
        <v>106.10666666666665</v>
      </c>
    </row>
    <row r="23" spans="1:18">
      <c r="A23" s="2">
        <v>33420</v>
      </c>
      <c r="B23" s="4">
        <v>24.894561973491708</v>
      </c>
      <c r="C23" s="3">
        <v>270.09296296296299</v>
      </c>
      <c r="D23" s="3">
        <v>0.14753940740740742</v>
      </c>
      <c r="E23" s="3" t="s">
        <v>18</v>
      </c>
      <c r="F23" s="3" t="s">
        <v>18</v>
      </c>
      <c r="G23" s="3">
        <v>1165.0340213333338</v>
      </c>
      <c r="H23" s="3" t="s">
        <v>18</v>
      </c>
      <c r="I23" s="3">
        <v>137.06925925925921</v>
      </c>
      <c r="J23" s="3">
        <v>3939.7662962962963</v>
      </c>
      <c r="K23" s="3">
        <v>23208.742962962962</v>
      </c>
      <c r="L23" s="3">
        <v>379.91851851851857</v>
      </c>
      <c r="M23" s="3">
        <v>2528.5259259259269</v>
      </c>
      <c r="N23" s="3"/>
      <c r="O23" s="3" t="s">
        <v>18</v>
      </c>
      <c r="P23" s="3">
        <v>1752.4707407407413</v>
      </c>
      <c r="Q23" s="3" t="s">
        <v>18</v>
      </c>
      <c r="R23" s="3">
        <v>104.63962962962965</v>
      </c>
    </row>
    <row r="24" spans="1:18">
      <c r="A24" s="2">
        <v>33451</v>
      </c>
      <c r="B24" s="4">
        <v>26.450840069272466</v>
      </c>
      <c r="C24" s="3">
        <v>420.92724137931037</v>
      </c>
      <c r="D24" s="3">
        <v>0.18957331034482763</v>
      </c>
      <c r="E24" s="3" t="s">
        <v>18</v>
      </c>
      <c r="F24" s="3" t="s">
        <v>18</v>
      </c>
      <c r="G24" s="3">
        <v>1186.4789071724135</v>
      </c>
      <c r="H24" s="3" t="s">
        <v>18</v>
      </c>
      <c r="I24" s="3">
        <v>160.66172413793103</v>
      </c>
      <c r="J24" s="3">
        <v>4011.1893103448278</v>
      </c>
      <c r="K24" s="3">
        <v>22834.536551724141</v>
      </c>
      <c r="L24" s="3">
        <v>389.33275862068962</v>
      </c>
      <c r="M24" s="3">
        <v>2603.5586206896546</v>
      </c>
      <c r="N24" s="3"/>
      <c r="O24" s="3" t="s">
        <v>18</v>
      </c>
      <c r="P24" s="3">
        <v>1800.49275862069</v>
      </c>
      <c r="Q24" s="3" t="s">
        <v>18</v>
      </c>
      <c r="R24" s="3">
        <v>105.80896551724135</v>
      </c>
    </row>
    <row r="25" spans="1:18">
      <c r="A25" s="2">
        <v>33482</v>
      </c>
      <c r="B25" s="4">
        <v>27.074921323318218</v>
      </c>
      <c r="C25" s="3">
        <v>582.62555555555559</v>
      </c>
      <c r="D25" s="3">
        <v>0.24782570370370371</v>
      </c>
      <c r="E25" s="3" t="s">
        <v>18</v>
      </c>
      <c r="F25" s="3" t="s">
        <v>18</v>
      </c>
      <c r="G25" s="3">
        <v>1271.228461148148</v>
      </c>
      <c r="H25" s="3" t="s">
        <v>18</v>
      </c>
      <c r="I25" s="3">
        <v>185.33999999999997</v>
      </c>
      <c r="J25" s="3">
        <v>3954.1014814814812</v>
      </c>
      <c r="K25" s="3">
        <v>23038.031481481477</v>
      </c>
      <c r="L25" s="3">
        <v>387.63370370370365</v>
      </c>
      <c r="M25" s="3">
        <v>2625.796296296297</v>
      </c>
      <c r="N25" s="3"/>
      <c r="O25" s="3">
        <v>2800.7431818181813</v>
      </c>
      <c r="P25" s="3">
        <v>1870.6814814814816</v>
      </c>
      <c r="Q25" s="3" t="s">
        <v>18</v>
      </c>
      <c r="R25" s="3">
        <v>106.70925925925928</v>
      </c>
    </row>
    <row r="26" spans="1:18">
      <c r="A26" s="2">
        <v>33512</v>
      </c>
      <c r="B26" s="4">
        <v>35.892522186297974</v>
      </c>
      <c r="C26" s="3">
        <v>759.57999999999981</v>
      </c>
      <c r="D26" s="3">
        <v>0.2827716785714286</v>
      </c>
      <c r="E26" s="3" t="s">
        <v>18</v>
      </c>
      <c r="F26" s="3" t="s">
        <v>18</v>
      </c>
      <c r="G26" s="3">
        <v>1331.6935077142859</v>
      </c>
      <c r="H26" s="3" t="s">
        <v>18</v>
      </c>
      <c r="I26" s="3">
        <v>198.20642857142857</v>
      </c>
      <c r="J26" s="3">
        <v>4028.5896428571432</v>
      </c>
      <c r="K26" s="3">
        <v>24626.373928571429</v>
      </c>
      <c r="L26" s="3">
        <v>386.39107142857148</v>
      </c>
      <c r="M26" s="3">
        <v>2581.4214285714284</v>
      </c>
      <c r="N26" s="3"/>
      <c r="O26" s="3">
        <v>2767.2317857142857</v>
      </c>
      <c r="P26" s="3">
        <v>1850.3846428571433</v>
      </c>
      <c r="Q26" s="3" t="s">
        <v>18</v>
      </c>
      <c r="R26" s="3">
        <v>104.25</v>
      </c>
    </row>
    <row r="27" spans="1:18">
      <c r="A27" s="2">
        <v>33543</v>
      </c>
      <c r="B27" s="4">
        <v>46.390039884067562</v>
      </c>
      <c r="C27" s="3">
        <v>736.27035714285739</v>
      </c>
      <c r="D27" s="3">
        <v>0.31938375000000002</v>
      </c>
      <c r="E27" s="3" t="s">
        <v>18</v>
      </c>
      <c r="F27" s="3" t="s">
        <v>18</v>
      </c>
      <c r="G27" s="3">
        <v>1397.492436</v>
      </c>
      <c r="H27" s="3" t="s">
        <v>18</v>
      </c>
      <c r="I27" s="3">
        <v>238.77035714285719</v>
      </c>
      <c r="J27" s="3">
        <v>4189.925714285715</v>
      </c>
      <c r="K27" s="3">
        <v>23925.883571428567</v>
      </c>
      <c r="L27" s="3">
        <v>385.61928571428558</v>
      </c>
      <c r="M27" s="3">
        <v>2508.4642857142858</v>
      </c>
      <c r="N27" s="3"/>
      <c r="O27" s="3">
        <v>2654.0378571428578</v>
      </c>
      <c r="P27" s="3">
        <v>1812.6146428571424</v>
      </c>
      <c r="Q27" s="3" t="s">
        <v>18</v>
      </c>
      <c r="R27" s="3">
        <v>102.30642857142858</v>
      </c>
    </row>
    <row r="28" spans="1:18">
      <c r="A28" s="2">
        <v>33573</v>
      </c>
      <c r="B28" s="4">
        <v>70.275866748818657</v>
      </c>
      <c r="C28" s="3">
        <v>728.51074074074074</v>
      </c>
      <c r="D28" s="3">
        <v>0.45891733333333323</v>
      </c>
      <c r="E28" s="3" t="s">
        <v>18</v>
      </c>
      <c r="F28" s="3" t="s">
        <v>18</v>
      </c>
      <c r="G28" s="3">
        <v>1357.5199381851851</v>
      </c>
      <c r="H28" s="3" t="s">
        <v>18</v>
      </c>
      <c r="I28" s="3">
        <v>278.06888888888886</v>
      </c>
      <c r="J28" s="3">
        <v>4174.6329629629618</v>
      </c>
      <c r="K28" s="3">
        <v>22322.314074074075</v>
      </c>
      <c r="L28" s="3">
        <v>388.67481481481474</v>
      </c>
      <c r="M28" s="3">
        <v>2406.833333333333</v>
      </c>
      <c r="N28" s="3"/>
      <c r="O28" s="3">
        <v>2531.6592592592592</v>
      </c>
      <c r="P28" s="3">
        <v>1692.5292592592596</v>
      </c>
      <c r="Q28" s="3" t="s">
        <v>18</v>
      </c>
      <c r="R28" s="3">
        <v>97.745555555555555</v>
      </c>
    </row>
    <row r="29" spans="1:18">
      <c r="A29" s="2">
        <v>33604</v>
      </c>
      <c r="B29" s="4">
        <v>95.209679115646594</v>
      </c>
      <c r="C29" s="3">
        <v>799.23964285714283</v>
      </c>
      <c r="D29" s="3">
        <v>0.87440714285714283</v>
      </c>
      <c r="E29" s="3" t="s">
        <v>18</v>
      </c>
      <c r="F29" s="3"/>
      <c r="G29" s="3">
        <v>1545.9838736071429</v>
      </c>
      <c r="H29" s="3" t="s">
        <v>18</v>
      </c>
      <c r="I29" s="3">
        <v>304.47035714285715</v>
      </c>
      <c r="J29" s="3">
        <v>4437.0853571428579</v>
      </c>
      <c r="K29" s="3">
        <v>22026.885000000006</v>
      </c>
      <c r="L29" s="3">
        <v>416.38857142857131</v>
      </c>
      <c r="M29" s="3">
        <v>2516.8000000000002</v>
      </c>
      <c r="N29" s="3"/>
      <c r="O29" s="3">
        <v>2662.6935714285714</v>
      </c>
      <c r="P29" s="3">
        <v>1832.5457142857142</v>
      </c>
      <c r="Q29" s="3" t="s">
        <v>18</v>
      </c>
      <c r="R29" s="3">
        <v>102.68285714285715</v>
      </c>
    </row>
    <row r="30" spans="1:18">
      <c r="A30" s="2">
        <v>33635</v>
      </c>
      <c r="B30" s="4">
        <v>82.31003734570092</v>
      </c>
      <c r="C30" s="3">
        <v>787.89370370370364</v>
      </c>
      <c r="D30" s="3">
        <v>1.1980788888888887</v>
      </c>
      <c r="E30" s="3" t="s">
        <v>18</v>
      </c>
      <c r="F30" s="3"/>
      <c r="G30" s="3">
        <v>1732.2206894814813</v>
      </c>
      <c r="H30" s="3" t="s">
        <v>18</v>
      </c>
      <c r="I30" s="3">
        <v>333.99037037037044</v>
      </c>
      <c r="J30" s="3">
        <v>4741.2622222222226</v>
      </c>
      <c r="K30" s="3">
        <v>21470.43888888889</v>
      </c>
      <c r="L30" s="3">
        <v>412.22740740740744</v>
      </c>
      <c r="M30" s="3">
        <v>2541.9407407407416</v>
      </c>
      <c r="N30" s="3"/>
      <c r="O30" s="3">
        <v>2761.4866666666658</v>
      </c>
      <c r="P30" s="3">
        <v>1907.7444444444443</v>
      </c>
      <c r="Q30" s="3" t="s">
        <v>18</v>
      </c>
      <c r="R30" s="3">
        <v>105.53444444444446</v>
      </c>
    </row>
    <row r="31" spans="1:18">
      <c r="A31" s="2">
        <v>33664</v>
      </c>
      <c r="B31" s="4">
        <v>79.242619106476027</v>
      </c>
      <c r="C31" s="3">
        <v>727.97</v>
      </c>
      <c r="D31" s="3">
        <v>1.5603144827586206</v>
      </c>
      <c r="E31" s="3" t="s">
        <v>18</v>
      </c>
      <c r="F31" s="3"/>
      <c r="G31" s="3">
        <v>1826.6630522758621</v>
      </c>
      <c r="H31" s="3" t="s">
        <v>18</v>
      </c>
      <c r="I31" s="3">
        <v>375.37620689655176</v>
      </c>
      <c r="J31" s="3">
        <v>4991.946551724136</v>
      </c>
      <c r="K31" s="3">
        <v>20400.298965517242</v>
      </c>
      <c r="L31" s="3">
        <v>407.24413793103452</v>
      </c>
      <c r="M31" s="3">
        <v>2495.8620689655168</v>
      </c>
      <c r="N31" s="3"/>
      <c r="O31" s="3">
        <v>2794.5234482758615</v>
      </c>
      <c r="P31" s="3">
        <v>1947.1758620689657</v>
      </c>
      <c r="Q31" s="3" t="s">
        <v>18</v>
      </c>
      <c r="R31" s="3">
        <v>104.9844827586207</v>
      </c>
    </row>
    <row r="32" spans="1:18">
      <c r="A32" s="2">
        <v>33695</v>
      </c>
      <c r="B32" s="4">
        <v>78.351635177744043</v>
      </c>
      <c r="C32" s="3">
        <v>763.34703703703713</v>
      </c>
      <c r="D32" s="3">
        <v>2.1745811111111109</v>
      </c>
      <c r="E32" s="3" t="s">
        <v>18</v>
      </c>
      <c r="F32" s="3"/>
      <c r="G32" s="3">
        <v>1837.2421558148151</v>
      </c>
      <c r="H32" s="3" t="s">
        <v>18</v>
      </c>
      <c r="I32" s="3">
        <v>401.68666666666661</v>
      </c>
      <c r="J32" s="3">
        <v>5061.2507407407411</v>
      </c>
      <c r="K32" s="3">
        <v>17669.482962962968</v>
      </c>
      <c r="L32" s="3">
        <v>407.5574074074076</v>
      </c>
      <c r="M32" s="3">
        <v>2551.3222222222221</v>
      </c>
      <c r="N32" s="3"/>
      <c r="O32" s="3">
        <v>2701.1770370370377</v>
      </c>
      <c r="P32" s="3">
        <v>1972.922592592593</v>
      </c>
      <c r="Q32" s="3" t="s">
        <v>18</v>
      </c>
      <c r="R32" s="3">
        <v>106.1248148148148</v>
      </c>
    </row>
    <row r="33" spans="1:18">
      <c r="A33" s="2">
        <v>33725</v>
      </c>
      <c r="B33" s="4">
        <v>80.881323028262827</v>
      </c>
      <c r="C33" s="3">
        <v>838.45600000000013</v>
      </c>
      <c r="D33" s="3">
        <v>2.5257929999999997</v>
      </c>
      <c r="E33" s="3" t="s">
        <v>18</v>
      </c>
      <c r="F33" s="3"/>
      <c r="G33" s="3">
        <v>1836.8386067666668</v>
      </c>
      <c r="H33" s="3" t="s">
        <v>18</v>
      </c>
      <c r="I33" s="3">
        <v>786.7349999999999</v>
      </c>
      <c r="J33" s="3">
        <v>5763.8386666666656</v>
      </c>
      <c r="K33" s="3">
        <v>18175.137333333332</v>
      </c>
      <c r="L33" s="3">
        <v>414.3446666666668</v>
      </c>
      <c r="M33" s="3">
        <v>2699.1633333333343</v>
      </c>
      <c r="N33" s="3"/>
      <c r="O33" s="3">
        <v>2770.4770000000003</v>
      </c>
      <c r="P33" s="3">
        <v>2038.8046666666669</v>
      </c>
      <c r="Q33" s="3" t="s">
        <v>18</v>
      </c>
      <c r="R33" s="3">
        <v>110.73833333333339</v>
      </c>
    </row>
    <row r="34" spans="1:18">
      <c r="A34" s="2">
        <v>33756</v>
      </c>
      <c r="B34" s="4">
        <v>88.974754134189496</v>
      </c>
      <c r="C34" s="3">
        <v>809.8323076923075</v>
      </c>
      <c r="D34" s="3">
        <v>2.3317880769230772</v>
      </c>
      <c r="E34" s="3" t="s">
        <v>18</v>
      </c>
      <c r="F34" s="3"/>
      <c r="G34" s="3">
        <v>1736.5314847692312</v>
      </c>
      <c r="H34" s="3" t="s">
        <v>18</v>
      </c>
      <c r="I34" s="3">
        <v>1152.9984615384612</v>
      </c>
      <c r="J34" s="3">
        <v>5945.9300000000021</v>
      </c>
      <c r="K34" s="3">
        <v>16937.068846153841</v>
      </c>
      <c r="L34" s="3">
        <v>408.16884615384629</v>
      </c>
      <c r="M34" s="3">
        <v>2603.4115384615388</v>
      </c>
      <c r="N34" s="3"/>
      <c r="O34" s="3">
        <v>2677.4711538461543</v>
      </c>
      <c r="P34" s="3">
        <v>1938.2307692307691</v>
      </c>
      <c r="Q34" s="3" t="s">
        <v>18</v>
      </c>
      <c r="R34" s="3">
        <v>107.23076923076923</v>
      </c>
    </row>
    <row r="35" spans="1:18">
      <c r="A35" s="2">
        <v>33786</v>
      </c>
      <c r="B35" s="4">
        <v>103.96840438862202</v>
      </c>
      <c r="C35" s="3">
        <v>607.28678571428566</v>
      </c>
      <c r="D35" s="3">
        <v>2.5491357142857143</v>
      </c>
      <c r="E35" s="3" t="s">
        <v>18</v>
      </c>
      <c r="F35" s="3"/>
      <c r="G35" s="3">
        <v>1616.6510183928574</v>
      </c>
      <c r="H35" s="3" t="s">
        <v>18</v>
      </c>
      <c r="I35" s="3">
        <v>1135.6807142857144</v>
      </c>
      <c r="J35" s="3">
        <v>5979.0482142857163</v>
      </c>
      <c r="K35" s="3">
        <v>16309.366785714285</v>
      </c>
      <c r="L35" s="3">
        <v>414.5814285714286</v>
      </c>
      <c r="M35" s="3">
        <v>2446.0321428571428</v>
      </c>
      <c r="N35" s="3"/>
      <c r="O35" s="3">
        <v>2406.7082142857139</v>
      </c>
      <c r="P35" s="3">
        <v>1819.0517857142852</v>
      </c>
      <c r="Q35" s="3" t="s">
        <v>18</v>
      </c>
      <c r="R35" s="3">
        <v>100.10142857142857</v>
      </c>
    </row>
    <row r="36" spans="1:18">
      <c r="A36" s="2">
        <v>33817</v>
      </c>
      <c r="B36" s="4">
        <v>101.30330268109331</v>
      </c>
      <c r="C36" s="3">
        <v>497.34777777777776</v>
      </c>
      <c r="D36" s="3">
        <v>2.8842748148148152</v>
      </c>
      <c r="E36" s="3" t="s">
        <v>18</v>
      </c>
      <c r="F36" s="3"/>
      <c r="G36" s="3">
        <v>1485.030675851852</v>
      </c>
      <c r="H36" s="3" t="s">
        <v>18</v>
      </c>
      <c r="I36" s="3">
        <v>922.15925925925922</v>
      </c>
      <c r="J36" s="3">
        <v>5704.3962962962978</v>
      </c>
      <c r="K36" s="3">
        <v>15835.106296296299</v>
      </c>
      <c r="L36" s="3">
        <v>418.07555555555558</v>
      </c>
      <c r="M36" s="3">
        <v>2345.5407407407397</v>
      </c>
      <c r="N36" s="3"/>
      <c r="O36" s="3">
        <v>2223.1188888888887</v>
      </c>
      <c r="P36" s="3">
        <v>1737.638148148148</v>
      </c>
      <c r="Q36" s="3" t="s">
        <v>18</v>
      </c>
      <c r="R36" s="3">
        <v>94.451111111111103</v>
      </c>
    </row>
    <row r="37" spans="1:18">
      <c r="A37" s="2">
        <v>33848</v>
      </c>
      <c r="B37" s="4">
        <v>102.69080408552836</v>
      </c>
      <c r="C37" s="3">
        <v>485.2569230769231</v>
      </c>
      <c r="D37" s="3">
        <v>3.6501803846153851</v>
      </c>
      <c r="E37" s="3" t="s">
        <v>18</v>
      </c>
      <c r="F37" s="3"/>
      <c r="G37" s="3">
        <v>1323.1657105384618</v>
      </c>
      <c r="H37" s="3" t="s">
        <v>18</v>
      </c>
      <c r="I37" s="3">
        <v>734.39423076923072</v>
      </c>
      <c r="J37" s="3">
        <v>5668.1715384615391</v>
      </c>
      <c r="K37" s="3">
        <v>18249.347307692307</v>
      </c>
      <c r="L37" s="3">
        <v>418.32846153846162</v>
      </c>
      <c r="M37" s="3">
        <v>2455.5923076923077</v>
      </c>
      <c r="N37" s="3"/>
      <c r="O37" s="3">
        <v>2207.0269230769231</v>
      </c>
      <c r="P37" s="3">
        <v>1800.3992307692311</v>
      </c>
      <c r="Q37" s="3" t="s">
        <v>18</v>
      </c>
      <c r="R37" s="3">
        <v>95.505384615384614</v>
      </c>
    </row>
    <row r="38" spans="1:18">
      <c r="A38" s="2">
        <v>33878</v>
      </c>
      <c r="B38" s="4">
        <v>100.42801890969581</v>
      </c>
      <c r="C38" s="3">
        <v>375.3599999999999</v>
      </c>
      <c r="D38" s="3">
        <v>4.1034082758620691</v>
      </c>
      <c r="E38" s="3" t="s">
        <v>18</v>
      </c>
      <c r="F38" s="3"/>
      <c r="G38" s="3">
        <v>1489.2864947241378</v>
      </c>
      <c r="H38" s="3" t="s">
        <v>18</v>
      </c>
      <c r="I38" s="3">
        <v>613.33000000000004</v>
      </c>
      <c r="J38" s="3">
        <v>5909.5444827586207</v>
      </c>
      <c r="K38" s="3">
        <v>17169.649655172419</v>
      </c>
      <c r="L38" s="3">
        <v>412.31965517241372</v>
      </c>
      <c r="M38" s="3">
        <v>2590.2827586206895</v>
      </c>
      <c r="N38" s="3"/>
      <c r="O38" s="3">
        <v>2051.1993103448276</v>
      </c>
      <c r="P38" s="3">
        <v>1699.9996551724146</v>
      </c>
      <c r="Q38" s="3" t="s">
        <v>18</v>
      </c>
      <c r="R38" s="3">
        <v>93.888275862068937</v>
      </c>
    </row>
    <row r="39" spans="1:18">
      <c r="A39" s="2">
        <v>33909</v>
      </c>
      <c r="B39" s="4">
        <v>97.674603817160616</v>
      </c>
      <c r="C39" s="3">
        <v>350.10571428571438</v>
      </c>
      <c r="D39" s="3">
        <v>4.2200369642857147</v>
      </c>
      <c r="E39" s="3" t="s">
        <v>18</v>
      </c>
      <c r="F39" s="3"/>
      <c r="G39" s="3">
        <v>1634.4370945000003</v>
      </c>
      <c r="H39" s="3" t="s">
        <v>18</v>
      </c>
      <c r="I39" s="3">
        <v>466.14285714285722</v>
      </c>
      <c r="J39" s="3">
        <v>6145.4967857142865</v>
      </c>
      <c r="K39" s="3">
        <v>16826.120714285713</v>
      </c>
      <c r="L39" s="3">
        <v>422.91357142857157</v>
      </c>
      <c r="M39" s="3">
        <v>2711.5178571428578</v>
      </c>
      <c r="N39" s="3"/>
      <c r="O39" s="3">
        <v>2216.6821428571434</v>
      </c>
      <c r="P39" s="3">
        <v>1766.0925000000002</v>
      </c>
      <c r="Q39" s="3" t="s">
        <v>18</v>
      </c>
      <c r="R39" s="3">
        <v>96.618214285714288</v>
      </c>
    </row>
    <row r="40" spans="1:18">
      <c r="A40" s="2">
        <v>33939</v>
      </c>
      <c r="B40" s="4">
        <v>98.100470584858499</v>
      </c>
      <c r="C40" s="3">
        <v>415.93111111111108</v>
      </c>
      <c r="D40" s="3">
        <v>5.3171995185185201</v>
      </c>
      <c r="E40" s="3" t="s">
        <v>18</v>
      </c>
      <c r="F40" s="3"/>
      <c r="G40" s="3">
        <v>1732.8684669259255</v>
      </c>
      <c r="H40" s="3" t="s">
        <v>18</v>
      </c>
      <c r="I40" s="3">
        <v>736.392962962963</v>
      </c>
      <c r="J40" s="3">
        <v>5325.7725925925934</v>
      </c>
      <c r="K40" s="3">
        <v>17399.607037037033</v>
      </c>
      <c r="L40" s="3">
        <v>435.95111111111112</v>
      </c>
      <c r="M40" s="3">
        <v>2780.9592592592594</v>
      </c>
      <c r="N40" s="3"/>
      <c r="O40" s="3">
        <v>2345.5574074074079</v>
      </c>
      <c r="P40" s="3">
        <v>1795.779629629629</v>
      </c>
      <c r="Q40" s="3" t="s">
        <v>18</v>
      </c>
      <c r="R40" s="3">
        <v>99.318148148148154</v>
      </c>
    </row>
    <row r="41" spans="1:18">
      <c r="A41" s="2">
        <v>33970</v>
      </c>
      <c r="B41" s="4">
        <v>95.195941477978891</v>
      </c>
      <c r="C41" s="3">
        <v>437.54599999999999</v>
      </c>
      <c r="D41" s="3">
        <v>8.6340303600000023</v>
      </c>
      <c r="E41" s="3" t="s">
        <v>18</v>
      </c>
      <c r="F41" s="3"/>
      <c r="G41" s="3">
        <v>1763.0279492</v>
      </c>
      <c r="H41" s="3" t="s">
        <v>18</v>
      </c>
      <c r="I41" s="3">
        <v>1021.0031999999999</v>
      </c>
      <c r="J41" s="3">
        <v>5750.8247999999994</v>
      </c>
      <c r="K41" s="3">
        <v>16686.248799999998</v>
      </c>
      <c r="L41" s="3">
        <v>435.36200000000002</v>
      </c>
      <c r="M41" s="3">
        <v>2793.2399999999993</v>
      </c>
      <c r="N41" s="3"/>
      <c r="O41" s="3">
        <v>2480.7204000000002</v>
      </c>
      <c r="P41" s="3">
        <v>1815.4536000000001</v>
      </c>
      <c r="Q41" s="3" t="s">
        <v>18</v>
      </c>
      <c r="R41" s="3">
        <v>101.6776</v>
      </c>
    </row>
    <row r="42" spans="1:18">
      <c r="A42" s="2">
        <v>34001</v>
      </c>
      <c r="B42" s="4">
        <v>89.58706027023436</v>
      </c>
      <c r="C42" s="3">
        <v>389.79720000000009</v>
      </c>
      <c r="D42" s="3">
        <v>11.584163999999996</v>
      </c>
      <c r="E42" s="3" t="s">
        <v>18</v>
      </c>
      <c r="F42" s="3"/>
      <c r="G42" s="3">
        <v>1599.7851365999998</v>
      </c>
      <c r="H42" s="3" t="s">
        <v>18</v>
      </c>
      <c r="I42" s="3">
        <v>1405.8080000000002</v>
      </c>
      <c r="J42" s="3">
        <v>5995.0724</v>
      </c>
      <c r="K42" s="3">
        <v>17035.260399999999</v>
      </c>
      <c r="L42" s="3">
        <v>442.05799999999988</v>
      </c>
      <c r="M42" s="3">
        <v>2843.4119999999994</v>
      </c>
      <c r="N42" s="3"/>
      <c r="O42" s="3">
        <v>2590.3679999999999</v>
      </c>
      <c r="P42" s="3">
        <v>1909.0283999999999</v>
      </c>
      <c r="Q42" s="3" t="s">
        <v>18</v>
      </c>
      <c r="R42" s="3">
        <v>104.51719999999996</v>
      </c>
    </row>
    <row r="43" spans="1:18">
      <c r="A43" s="2">
        <v>34029</v>
      </c>
      <c r="B43" s="4">
        <v>85.813134950957689</v>
      </c>
      <c r="C43" s="3">
        <v>393.82703703703703</v>
      </c>
      <c r="D43" s="3">
        <v>16.557727407407409</v>
      </c>
      <c r="E43" s="3" t="s">
        <v>18</v>
      </c>
      <c r="F43" s="3"/>
      <c r="G43" s="3">
        <v>1668.3188431111112</v>
      </c>
      <c r="H43" s="3" t="s">
        <v>18</v>
      </c>
      <c r="I43" s="3">
        <v>1122.2218518518519</v>
      </c>
      <c r="J43" s="3">
        <v>6270.6618518518499</v>
      </c>
      <c r="K43" s="3">
        <v>18039.559629629628</v>
      </c>
      <c r="L43" s="3">
        <v>449.90629629629632</v>
      </c>
      <c r="M43" s="3">
        <v>2897.1666666666665</v>
      </c>
      <c r="N43" s="3"/>
      <c r="O43" s="3">
        <v>2624.2807407407413</v>
      </c>
      <c r="P43" s="3">
        <v>1989.4725925925927</v>
      </c>
      <c r="Q43" s="3" t="s">
        <v>18</v>
      </c>
      <c r="R43" s="3">
        <v>108.172962962963</v>
      </c>
    </row>
    <row r="44" spans="1:18">
      <c r="A44" s="2">
        <v>34060</v>
      </c>
      <c r="B44" s="4">
        <v>88.162270992129905</v>
      </c>
      <c r="C44" s="3">
        <v>413.90730769230771</v>
      </c>
      <c r="D44" s="3">
        <v>21.28546230769231</v>
      </c>
      <c r="E44" s="3" t="s">
        <v>18</v>
      </c>
      <c r="F44" s="3"/>
      <c r="G44" s="3">
        <v>1741.9676372307695</v>
      </c>
      <c r="H44" s="3" t="s">
        <v>18</v>
      </c>
      <c r="I44" s="3">
        <v>1207.968846153846</v>
      </c>
      <c r="J44" s="3">
        <v>6590.8457692307675</v>
      </c>
      <c r="K44" s="3">
        <v>19985.365769230772</v>
      </c>
      <c r="L44" s="3">
        <v>442.91038461538471</v>
      </c>
      <c r="M44" s="3">
        <v>2836.6346153846152</v>
      </c>
      <c r="N44" s="3"/>
      <c r="O44" s="3">
        <v>2646.9130769230769</v>
      </c>
      <c r="P44" s="3">
        <v>1967.4357692307699</v>
      </c>
      <c r="Q44" s="3" t="s">
        <v>18</v>
      </c>
      <c r="R44" s="3">
        <v>108.34</v>
      </c>
    </row>
    <row r="45" spans="1:18">
      <c r="A45" s="2">
        <v>34090</v>
      </c>
      <c r="B45" s="4">
        <v>89.432021216556308</v>
      </c>
      <c r="C45" s="3">
        <v>367.82730769230761</v>
      </c>
      <c r="D45" s="3">
        <v>29.455496538461539</v>
      </c>
      <c r="E45" s="3" t="s">
        <v>18</v>
      </c>
      <c r="F45" s="3"/>
      <c r="G45" s="3">
        <v>1631.701871461539</v>
      </c>
      <c r="H45" s="3" t="s">
        <v>18</v>
      </c>
      <c r="I45" s="3">
        <v>1131.3023076923077</v>
      </c>
      <c r="J45" s="3">
        <v>7069.5499999999993</v>
      </c>
      <c r="K45" s="3">
        <v>20681.92769230769</v>
      </c>
      <c r="L45" s="3">
        <v>445.12346153846164</v>
      </c>
      <c r="M45" s="3">
        <v>2828.1884615384615</v>
      </c>
      <c r="N45" s="3"/>
      <c r="O45" s="3">
        <v>2749.2730769230766</v>
      </c>
      <c r="P45" s="3">
        <v>1878.239615384615</v>
      </c>
      <c r="Q45" s="3" t="s">
        <v>18</v>
      </c>
      <c r="R45" s="3">
        <v>108.68923076923078</v>
      </c>
    </row>
    <row r="46" spans="1:18">
      <c r="A46" s="2">
        <v>34121</v>
      </c>
      <c r="B46" s="4">
        <v>88.862890513181256</v>
      </c>
      <c r="C46" s="3">
        <v>407.54653846153843</v>
      </c>
      <c r="D46" s="3">
        <v>46.066423846153839</v>
      </c>
      <c r="E46" s="3" t="s">
        <v>18</v>
      </c>
      <c r="F46" s="3"/>
      <c r="G46" s="3">
        <v>1614.2422251538467</v>
      </c>
      <c r="H46" s="3" t="s">
        <v>18</v>
      </c>
      <c r="I46" s="3">
        <v>1014.3161538461537</v>
      </c>
      <c r="J46" s="3">
        <v>7180.3903846153853</v>
      </c>
      <c r="K46" s="3">
        <v>20144.667692307692</v>
      </c>
      <c r="L46" s="3">
        <v>447.91961538461561</v>
      </c>
      <c r="M46" s="3">
        <v>2873.1499999999996</v>
      </c>
      <c r="N46" s="3"/>
      <c r="O46" s="3">
        <v>2852.4703846153843</v>
      </c>
      <c r="P46" s="3">
        <v>1918.1276923076925</v>
      </c>
      <c r="Q46" s="3" t="s">
        <v>18</v>
      </c>
      <c r="R46" s="3">
        <v>111.09038461538464</v>
      </c>
    </row>
    <row r="47" spans="1:18">
      <c r="A47" s="2">
        <v>34151</v>
      </c>
      <c r="B47" s="4">
        <v>94.595410459934826</v>
      </c>
      <c r="C47" s="3">
        <v>412.58923076923082</v>
      </c>
      <c r="D47" s="3">
        <v>59.658555769230752</v>
      </c>
      <c r="E47" s="3" t="s">
        <v>18</v>
      </c>
      <c r="F47" s="3"/>
      <c r="G47" s="3">
        <v>1714.0330395769231</v>
      </c>
      <c r="H47" s="3" t="s">
        <v>18</v>
      </c>
      <c r="I47" s="3">
        <v>863.15846153846167</v>
      </c>
      <c r="J47" s="3">
        <v>6978.9984615384592</v>
      </c>
      <c r="K47" s="3">
        <v>19968.789615384616</v>
      </c>
      <c r="L47" s="3">
        <v>447.23346153846154</v>
      </c>
      <c r="M47" s="3">
        <v>2852.7384615384613</v>
      </c>
      <c r="N47" s="3"/>
      <c r="O47" s="3">
        <v>2857.0738461538467</v>
      </c>
      <c r="P47" s="3">
        <v>1983.3126923076925</v>
      </c>
      <c r="Q47" s="3" t="s">
        <v>18</v>
      </c>
      <c r="R47" s="3">
        <v>115.15961538461539</v>
      </c>
    </row>
    <row r="48" spans="1:18">
      <c r="A48" s="2">
        <v>34182</v>
      </c>
      <c r="B48" s="4">
        <v>102.77322991153434</v>
      </c>
      <c r="C48" s="3">
        <v>421.14321428571429</v>
      </c>
      <c r="D48" s="3">
        <v>78.451817142857152</v>
      </c>
      <c r="E48" s="3" t="s">
        <v>18</v>
      </c>
      <c r="F48" s="3"/>
      <c r="G48" s="3">
        <v>1856.2778571428569</v>
      </c>
      <c r="H48" s="3" t="s">
        <v>18</v>
      </c>
      <c r="I48" s="3">
        <v>905.41928571428593</v>
      </c>
      <c r="J48" s="3">
        <v>7378.7757142857145</v>
      </c>
      <c r="K48" s="3">
        <v>20619.322142857138</v>
      </c>
      <c r="L48" s="3">
        <v>453.73571428571438</v>
      </c>
      <c r="M48" s="3">
        <v>3020.7178571428572</v>
      </c>
      <c r="N48" s="3"/>
      <c r="O48" s="3">
        <v>3148.0278571428566</v>
      </c>
      <c r="P48" s="3">
        <v>2146.1292857142848</v>
      </c>
      <c r="Q48" s="3" t="s">
        <v>18</v>
      </c>
      <c r="R48" s="3">
        <v>123.10607142857144</v>
      </c>
    </row>
    <row r="49" spans="1:18">
      <c r="A49" s="2">
        <v>34213</v>
      </c>
      <c r="B49" s="4">
        <v>112.47396462457887</v>
      </c>
      <c r="C49" s="3">
        <v>476.89769230769247</v>
      </c>
      <c r="D49" s="3">
        <v>128.37192307692311</v>
      </c>
      <c r="E49" s="3">
        <v>539.89774822499999</v>
      </c>
      <c r="F49" s="3"/>
      <c r="G49" s="3">
        <v>1873.688076923077</v>
      </c>
      <c r="H49" s="3" t="s">
        <v>18</v>
      </c>
      <c r="I49" s="3">
        <v>893.36269230769244</v>
      </c>
      <c r="J49" s="3">
        <v>7513.2999999999993</v>
      </c>
      <c r="K49" s="3">
        <v>20617.169615384617</v>
      </c>
      <c r="L49" s="3">
        <v>459.41538461538465</v>
      </c>
      <c r="M49" s="3">
        <v>3027.834615384616</v>
      </c>
      <c r="N49" s="3"/>
      <c r="O49" s="3">
        <v>3184.0811538461535</v>
      </c>
      <c r="P49" s="3">
        <v>2116.9323076923074</v>
      </c>
      <c r="Q49" s="3" t="s">
        <v>18</v>
      </c>
      <c r="R49" s="3">
        <v>122.31961538461539</v>
      </c>
    </row>
    <row r="50" spans="1:18">
      <c r="A50" s="2">
        <v>34243</v>
      </c>
      <c r="B50" s="4">
        <v>124.98306498082924</v>
      </c>
      <c r="C50" s="3">
        <v>509.19678571428574</v>
      </c>
      <c r="D50" s="3">
        <v>170.54571428571427</v>
      </c>
      <c r="E50" s="3">
        <v>561.31891292499995</v>
      </c>
      <c r="F50" s="3"/>
      <c r="G50" s="3">
        <v>1947.8939285714291</v>
      </c>
      <c r="H50" s="3" t="s">
        <v>18</v>
      </c>
      <c r="I50" s="3">
        <v>845.43928571428626</v>
      </c>
      <c r="J50" s="3">
        <v>8537.8496428571416</v>
      </c>
      <c r="K50" s="3">
        <v>20132.54642857143</v>
      </c>
      <c r="L50" s="3">
        <v>464.11464285714288</v>
      </c>
      <c r="M50" s="3">
        <v>3129.7571428571432</v>
      </c>
      <c r="N50" s="3"/>
      <c r="O50" s="3">
        <v>3342.7271428571439</v>
      </c>
      <c r="P50" s="3">
        <v>2165.7139285714284</v>
      </c>
      <c r="Q50" s="3" t="s">
        <v>18</v>
      </c>
      <c r="R50" s="3">
        <v>126.64821428571427</v>
      </c>
    </row>
    <row r="51" spans="1:18">
      <c r="A51" s="2">
        <v>34274</v>
      </c>
      <c r="B51" s="4">
        <v>128.51363786142142</v>
      </c>
      <c r="C51" s="3">
        <v>493.52899999999994</v>
      </c>
      <c r="D51" s="3">
        <v>239.39366666666666</v>
      </c>
      <c r="E51" s="3">
        <v>579.96832085666654</v>
      </c>
      <c r="F51" s="3"/>
      <c r="G51" s="3">
        <v>2112.8789999999999</v>
      </c>
      <c r="H51" s="3" t="s">
        <v>18</v>
      </c>
      <c r="I51" s="3">
        <v>889.40766666666639</v>
      </c>
      <c r="J51" s="3">
        <v>9331.0523333333349</v>
      </c>
      <c r="K51" s="3">
        <v>17985.901333333335</v>
      </c>
      <c r="L51" s="3">
        <v>462.81000000000012</v>
      </c>
      <c r="M51" s="3">
        <v>3108.7699999999991</v>
      </c>
      <c r="N51" s="3"/>
      <c r="O51" s="3">
        <v>3368.9463333333333</v>
      </c>
      <c r="P51" s="3">
        <v>2115.532333333334</v>
      </c>
      <c r="Q51" s="3" t="s">
        <v>18</v>
      </c>
      <c r="R51" s="3">
        <v>126.74533333333335</v>
      </c>
    </row>
    <row r="52" spans="1:18">
      <c r="A52" s="2">
        <v>34304</v>
      </c>
      <c r="B52" s="4">
        <v>147.07907390944914</v>
      </c>
      <c r="C52" s="3">
        <v>523.13466666666659</v>
      </c>
      <c r="D52" s="3">
        <v>314.97000000000008</v>
      </c>
      <c r="E52" s="3">
        <v>650.37924704999989</v>
      </c>
      <c r="F52" s="3"/>
      <c r="G52" s="3">
        <v>2446.8206666666665</v>
      </c>
      <c r="H52" s="3" t="s">
        <v>18</v>
      </c>
      <c r="I52" s="3">
        <v>912.54133333333334</v>
      </c>
      <c r="J52" s="3">
        <v>10374.714666666667</v>
      </c>
      <c r="K52" s="3">
        <v>17335.643999999993</v>
      </c>
      <c r="L52" s="3">
        <v>465.8653333333333</v>
      </c>
      <c r="M52" s="3">
        <v>3316.3133333333335</v>
      </c>
      <c r="N52" s="3"/>
      <c r="O52" s="3">
        <v>3485.0880000000002</v>
      </c>
      <c r="P52" s="3">
        <v>2210.0743333333344</v>
      </c>
      <c r="Q52" s="3" t="s">
        <v>18</v>
      </c>
      <c r="R52" s="3">
        <v>133.54300000000003</v>
      </c>
    </row>
    <row r="53" spans="1:18">
      <c r="A53" s="2">
        <v>34335</v>
      </c>
      <c r="B53" s="4">
        <v>172.35828973763572</v>
      </c>
      <c r="C53" s="3">
        <v>622.02129032258063</v>
      </c>
      <c r="D53" s="3">
        <v>572.70290322580649</v>
      </c>
      <c r="E53" s="3">
        <v>756.47656771290315</v>
      </c>
      <c r="F53" s="3"/>
      <c r="G53" s="3">
        <v>2618.206774193548</v>
      </c>
      <c r="H53" s="3" t="s">
        <v>18</v>
      </c>
      <c r="I53" s="3">
        <v>839.09419354838701</v>
      </c>
      <c r="J53" s="3">
        <v>11309.500967741938</v>
      </c>
      <c r="K53" s="3">
        <v>18574.186451612903</v>
      </c>
      <c r="L53" s="3">
        <v>472.97451612903228</v>
      </c>
      <c r="M53" s="3">
        <v>3433.4645161290314</v>
      </c>
      <c r="N53" s="3"/>
      <c r="O53" s="3">
        <v>3745.9812903225825</v>
      </c>
      <c r="P53" s="3">
        <v>2279.1787096774192</v>
      </c>
      <c r="Q53" s="3" t="s">
        <v>18</v>
      </c>
      <c r="R53" s="3">
        <v>140.36806451612904</v>
      </c>
    </row>
    <row r="54" spans="1:18">
      <c r="A54" s="2">
        <v>34366</v>
      </c>
      <c r="B54" s="4">
        <v>191.622382787048</v>
      </c>
      <c r="C54" s="3">
        <v>686.9964285714284</v>
      </c>
      <c r="D54" s="3">
        <v>955.875</v>
      </c>
      <c r="E54" s="3">
        <v>829.11706363214284</v>
      </c>
      <c r="F54" s="3"/>
      <c r="G54" s="3">
        <v>2740.5285714285715</v>
      </c>
      <c r="H54" s="3" t="s">
        <v>18</v>
      </c>
      <c r="I54" s="3">
        <v>780.91928571428582</v>
      </c>
      <c r="J54" s="3">
        <v>11116.476071428571</v>
      </c>
      <c r="K54" s="3">
        <v>19727.237857142853</v>
      </c>
      <c r="L54" s="3">
        <v>470.54321428571433</v>
      </c>
      <c r="M54" s="3">
        <v>3391.5785714285707</v>
      </c>
      <c r="N54" s="3"/>
      <c r="O54" s="3">
        <v>3833.5017857142848</v>
      </c>
      <c r="P54" s="3">
        <v>2269.5264285714284</v>
      </c>
      <c r="Q54" s="3" t="s">
        <v>18</v>
      </c>
      <c r="R54" s="3">
        <v>140.01821428571432</v>
      </c>
    </row>
    <row r="55" spans="1:18">
      <c r="A55" s="2">
        <v>34394</v>
      </c>
      <c r="B55" s="4">
        <v>206.52379461714042</v>
      </c>
      <c r="C55" s="3">
        <v>595.81933333333347</v>
      </c>
      <c r="D55" s="3">
        <v>1298.95</v>
      </c>
      <c r="E55" s="3">
        <v>758.79581877999988</v>
      </c>
      <c r="F55" s="3"/>
      <c r="G55" s="3">
        <v>2485.3533333333335</v>
      </c>
      <c r="H55" s="3" t="s">
        <v>18</v>
      </c>
      <c r="I55" s="3">
        <v>732.9233333333334</v>
      </c>
      <c r="J55" s="3">
        <v>9611.8806666666678</v>
      </c>
      <c r="K55" s="3">
        <v>20062.797333333336</v>
      </c>
      <c r="L55" s="3">
        <v>464.42133333333328</v>
      </c>
      <c r="M55" s="3">
        <v>3208.1899999999996</v>
      </c>
      <c r="N55" s="3"/>
      <c r="O55" s="3">
        <v>3662.9233333333332</v>
      </c>
      <c r="P55" s="3">
        <v>2181.8239999999996</v>
      </c>
      <c r="Q55" s="3" t="s">
        <v>18</v>
      </c>
      <c r="R55" s="3">
        <v>134.56800000000001</v>
      </c>
    </row>
    <row r="56" spans="1:18">
      <c r="A56" s="2">
        <v>34425</v>
      </c>
      <c r="B56" s="4">
        <v>200.44979624836179</v>
      </c>
      <c r="C56" s="3">
        <v>537.17172413793105</v>
      </c>
      <c r="D56" s="3">
        <v>1497.9241379310342</v>
      </c>
      <c r="E56" s="3">
        <v>734.5292232068964</v>
      </c>
      <c r="F56" s="3"/>
      <c r="G56" s="3">
        <v>2226.7710344827583</v>
      </c>
      <c r="H56" s="3" t="s">
        <v>18</v>
      </c>
      <c r="I56" s="3">
        <v>627.16586206896557</v>
      </c>
      <c r="J56" s="3">
        <v>9269.7272413793107</v>
      </c>
      <c r="K56" s="3">
        <v>19827.852758620687</v>
      </c>
      <c r="L56" s="3">
        <v>447.36379310344824</v>
      </c>
      <c r="M56" s="3">
        <v>3128.2034482758622</v>
      </c>
      <c r="N56" s="3"/>
      <c r="O56" s="3">
        <v>3484.0224137931027</v>
      </c>
      <c r="P56" s="3">
        <v>2130.1751724137926</v>
      </c>
      <c r="Q56" s="3" t="s">
        <v>18</v>
      </c>
      <c r="R56" s="3">
        <v>133.99103448275864</v>
      </c>
    </row>
    <row r="57" spans="1:18">
      <c r="A57" s="2">
        <v>34455</v>
      </c>
      <c r="B57" s="4">
        <v>198.51671437655341</v>
      </c>
      <c r="C57" s="3">
        <v>571.3012903225806</v>
      </c>
      <c r="D57" s="3">
        <v>1853.6806451612906</v>
      </c>
      <c r="E57" s="3">
        <v>787.4410349612906</v>
      </c>
      <c r="F57" s="3"/>
      <c r="G57" s="3">
        <v>2324.9393548387102</v>
      </c>
      <c r="H57" s="3" t="s">
        <v>18</v>
      </c>
      <c r="I57" s="3">
        <v>586.59774193548367</v>
      </c>
      <c r="J57" s="3">
        <v>9123.6829032258065</v>
      </c>
      <c r="K57" s="3">
        <v>20216.184193548386</v>
      </c>
      <c r="L57" s="3">
        <v>451.1461290322581</v>
      </c>
      <c r="M57" s="3">
        <v>3085.1419354838699</v>
      </c>
      <c r="N57" s="3"/>
      <c r="O57" s="3">
        <v>3545.272258064515</v>
      </c>
      <c r="P57" s="3">
        <v>2142.802580645161</v>
      </c>
      <c r="Q57" s="3" t="s">
        <v>18</v>
      </c>
      <c r="R57" s="3">
        <v>132.72322580645161</v>
      </c>
    </row>
    <row r="58" spans="1:18">
      <c r="A58" s="2">
        <v>34486</v>
      </c>
      <c r="B58" s="4">
        <v>196.30887975139157</v>
      </c>
      <c r="C58" s="3">
        <v>568.23966666666649</v>
      </c>
      <c r="D58" s="3">
        <v>3066.2166666666676</v>
      </c>
      <c r="E58" s="3">
        <v>848.78451283000004</v>
      </c>
      <c r="F58" s="3"/>
      <c r="G58" s="3">
        <v>2332.2463333333335</v>
      </c>
      <c r="H58" s="3" t="s">
        <v>18</v>
      </c>
      <c r="I58" s="3">
        <v>511.40666666666681</v>
      </c>
      <c r="J58" s="3">
        <v>9056.0783333333329</v>
      </c>
      <c r="K58" s="3">
        <v>21052.116999999995</v>
      </c>
      <c r="L58" s="3">
        <v>454.87566666666658</v>
      </c>
      <c r="M58" s="3">
        <v>2982.4633333333336</v>
      </c>
      <c r="N58" s="3"/>
      <c r="O58" s="3">
        <v>3355.2419999999997</v>
      </c>
      <c r="P58" s="3">
        <v>1967.7176666666664</v>
      </c>
      <c r="Q58" s="3" t="s">
        <v>18</v>
      </c>
      <c r="R58" s="3">
        <v>126.10000000000004</v>
      </c>
    </row>
    <row r="59" spans="1:18">
      <c r="A59" s="2">
        <v>34516</v>
      </c>
      <c r="B59" s="4">
        <v>198.20074871019693</v>
      </c>
      <c r="C59" s="3">
        <v>536.38806451612902</v>
      </c>
      <c r="D59" s="3">
        <v>3963.6838709677427</v>
      </c>
      <c r="E59" s="3">
        <v>812.26182498064532</v>
      </c>
      <c r="F59" s="3"/>
      <c r="G59" s="3">
        <v>2313.6703225806459</v>
      </c>
      <c r="H59" s="3" t="s">
        <v>18</v>
      </c>
      <c r="I59" s="3">
        <v>404.48806451612899</v>
      </c>
      <c r="J59" s="3">
        <v>8938.7232258064505</v>
      </c>
      <c r="K59" s="3">
        <v>20549.32290322581</v>
      </c>
      <c r="L59" s="3">
        <v>451.50903225806468</v>
      </c>
      <c r="M59" s="3">
        <v>3035.796774193549</v>
      </c>
      <c r="N59" s="3"/>
      <c r="O59" s="3">
        <v>3233.2254838709678</v>
      </c>
      <c r="P59" s="3">
        <v>1982.9132258064519</v>
      </c>
      <c r="Q59" s="3" t="s">
        <v>18</v>
      </c>
      <c r="R59" s="3">
        <v>125.64225806451616</v>
      </c>
    </row>
    <row r="60" spans="1:18">
      <c r="A60" s="2">
        <v>34547</v>
      </c>
      <c r="B60" s="4">
        <v>182.02958665567809</v>
      </c>
      <c r="C60" s="3">
        <v>566.98387096774195</v>
      </c>
      <c r="D60" s="3">
        <v>4842.2193548387113</v>
      </c>
      <c r="E60" s="3">
        <v>861.28101370967761</v>
      </c>
      <c r="F60" s="3"/>
      <c r="G60" s="3">
        <v>2671.6541935483865</v>
      </c>
      <c r="H60" s="3" t="s">
        <v>18</v>
      </c>
      <c r="I60" s="3">
        <v>677.97129032258067</v>
      </c>
      <c r="J60" s="3">
        <v>9501.1638709677427</v>
      </c>
      <c r="K60" s="3">
        <v>20587.716451612909</v>
      </c>
      <c r="L60" s="3">
        <v>464.21354838709675</v>
      </c>
      <c r="M60" s="3">
        <v>3184.6645161290339</v>
      </c>
      <c r="N60" s="3"/>
      <c r="O60" s="3">
        <v>3353.7232258064514</v>
      </c>
      <c r="P60" s="3">
        <v>2048.1332258064517</v>
      </c>
      <c r="Q60" s="3" t="s">
        <v>18</v>
      </c>
      <c r="R60" s="3">
        <v>129.70645161290324</v>
      </c>
    </row>
    <row r="61" spans="1:18">
      <c r="A61" s="2">
        <v>34578</v>
      </c>
      <c r="B61" s="4">
        <v>194.71727630160825</v>
      </c>
      <c r="C61" s="3">
        <v>603.88300000000004</v>
      </c>
      <c r="D61" s="3">
        <v>5317.6433333333325</v>
      </c>
      <c r="E61" s="3">
        <v>907.00551030666645</v>
      </c>
      <c r="F61" s="3"/>
      <c r="G61" s="3">
        <v>2764.5236666666669</v>
      </c>
      <c r="H61" s="3" t="s">
        <v>18</v>
      </c>
      <c r="I61" s="3">
        <v>919.40800000000013</v>
      </c>
      <c r="J61" s="3">
        <v>9865.7589999999982</v>
      </c>
      <c r="K61" s="3">
        <v>19960.498333333333</v>
      </c>
      <c r="L61" s="3">
        <v>467.23733333333337</v>
      </c>
      <c r="M61" s="3">
        <v>3102.47</v>
      </c>
      <c r="N61" s="3"/>
      <c r="O61" s="3">
        <v>3209.2656666666676</v>
      </c>
      <c r="P61" s="3">
        <v>1945.8339999999998</v>
      </c>
      <c r="Q61" s="3" t="s">
        <v>18</v>
      </c>
      <c r="R61" s="3">
        <v>127.25800000000001</v>
      </c>
    </row>
    <row r="62" spans="1:18">
      <c r="A62" s="2">
        <v>34608</v>
      </c>
      <c r="B62" s="4">
        <v>187.62865526508858</v>
      </c>
      <c r="C62" s="3">
        <v>587.6241935483871</v>
      </c>
      <c r="D62" s="3">
        <v>4890.1645161290326</v>
      </c>
      <c r="E62" s="3">
        <v>1022.5841869645161</v>
      </c>
      <c r="F62" s="3"/>
      <c r="G62" s="3">
        <v>2673.6341935483879</v>
      </c>
      <c r="H62" s="3" t="s">
        <v>18</v>
      </c>
      <c r="I62" s="3">
        <v>704.69741935483864</v>
      </c>
      <c r="J62" s="3">
        <v>9398.3270967741901</v>
      </c>
      <c r="K62" s="3">
        <v>19830.352580645162</v>
      </c>
      <c r="L62" s="3">
        <v>464.23129032258078</v>
      </c>
      <c r="M62" s="3">
        <v>3047.7</v>
      </c>
      <c r="N62" s="3"/>
      <c r="O62" s="3">
        <v>3169.6287096774195</v>
      </c>
      <c r="P62" s="3">
        <v>1879.9129032258063</v>
      </c>
      <c r="Q62" s="3" t="s">
        <v>18</v>
      </c>
      <c r="R62" s="3">
        <v>123.96258064516131</v>
      </c>
    </row>
    <row r="63" spans="1:18">
      <c r="A63" s="2">
        <v>34639</v>
      </c>
      <c r="B63" s="4">
        <v>166.90444758356929</v>
      </c>
      <c r="C63" s="3">
        <v>538.32266666666669</v>
      </c>
      <c r="D63" s="3">
        <v>4700.0066666666662</v>
      </c>
      <c r="E63" s="3">
        <v>1029.30258349</v>
      </c>
      <c r="F63" s="3"/>
      <c r="G63" s="3">
        <v>2514.4709999999995</v>
      </c>
      <c r="H63" s="3" t="s">
        <v>18</v>
      </c>
      <c r="I63" s="3">
        <v>695.65346666666676</v>
      </c>
      <c r="J63" s="3">
        <v>9214.495666666664</v>
      </c>
      <c r="K63" s="3">
        <v>19279.658333333329</v>
      </c>
      <c r="L63" s="3">
        <v>460.26633333333342</v>
      </c>
      <c r="M63" s="3">
        <v>3086.2266666666674</v>
      </c>
      <c r="N63" s="3"/>
      <c r="O63" s="3">
        <v>3248.2706666666663</v>
      </c>
      <c r="P63" s="3">
        <v>1933.6046666666666</v>
      </c>
      <c r="Q63" s="3" t="s">
        <v>18</v>
      </c>
      <c r="R63" s="3">
        <v>125.75633333333332</v>
      </c>
    </row>
    <row r="64" spans="1:18">
      <c r="A64" s="2">
        <v>34669</v>
      </c>
      <c r="B64" s="4">
        <v>174.64658766913689</v>
      </c>
      <c r="C64" s="3">
        <v>500.95387096774192</v>
      </c>
      <c r="D64" s="3">
        <v>4592.1096774193538</v>
      </c>
      <c r="E64" s="3">
        <v>997.00200109354853</v>
      </c>
      <c r="F64" s="3"/>
      <c r="G64" s="3">
        <v>2402.0332258064514</v>
      </c>
      <c r="H64" s="3" t="s">
        <v>18</v>
      </c>
      <c r="I64" s="3">
        <v>660.30648387096767</v>
      </c>
      <c r="J64" s="3">
        <v>8172.3848387096787</v>
      </c>
      <c r="K64" s="3">
        <v>19296.536774193552</v>
      </c>
      <c r="L64" s="3">
        <v>455.34774193548395</v>
      </c>
      <c r="M64" s="3">
        <v>3030.5774193548382</v>
      </c>
      <c r="N64" s="3"/>
      <c r="O64" s="3">
        <v>3225.7467741935475</v>
      </c>
      <c r="P64" s="3">
        <v>1940.7012903225811</v>
      </c>
      <c r="Q64" s="3" t="s">
        <v>18</v>
      </c>
      <c r="R64" s="3">
        <v>124.57193548387097</v>
      </c>
    </row>
    <row r="65" spans="1:18">
      <c r="A65" s="2">
        <v>34700</v>
      </c>
      <c r="B65" s="4">
        <v>192.17777585275547</v>
      </c>
      <c r="C65" s="3">
        <v>437.80548387096781</v>
      </c>
      <c r="D65" s="3">
        <v>3894.0064516129041</v>
      </c>
      <c r="E65" s="3">
        <v>939.15792809677441</v>
      </c>
      <c r="F65" s="3"/>
      <c r="G65" s="3">
        <v>2133.8403225806446</v>
      </c>
      <c r="H65" s="3" t="s">
        <v>18</v>
      </c>
      <c r="I65" s="3">
        <v>596.20487096774161</v>
      </c>
      <c r="J65" s="3">
        <v>7478.5732258064509</v>
      </c>
      <c r="K65" s="3">
        <v>19035.824516129025</v>
      </c>
      <c r="L65" s="3">
        <v>464.91709677419362</v>
      </c>
      <c r="M65" s="3">
        <v>3031.7967741935481</v>
      </c>
      <c r="N65" s="3"/>
      <c r="O65" s="3">
        <v>3031.6258064516137</v>
      </c>
      <c r="P65" s="3">
        <v>1843.9309677419353</v>
      </c>
      <c r="Q65" s="3" t="s">
        <v>18</v>
      </c>
      <c r="R65" s="3">
        <v>123.61290322580645</v>
      </c>
    </row>
    <row r="66" spans="1:18">
      <c r="A66" s="2">
        <v>34731</v>
      </c>
      <c r="B66" s="4">
        <v>178.75610385143818</v>
      </c>
      <c r="C66" s="3">
        <v>380.68714285714293</v>
      </c>
      <c r="D66" s="3">
        <v>3348.5107142857132</v>
      </c>
      <c r="E66" s="3">
        <v>903.06937015000017</v>
      </c>
      <c r="F66" s="3"/>
      <c r="G66" s="3">
        <v>1819.1842857142856</v>
      </c>
      <c r="H66" s="3" t="s">
        <v>18</v>
      </c>
      <c r="I66" s="3">
        <v>550.55307142857134</v>
      </c>
      <c r="J66" s="3">
        <v>7937.1703571428588</v>
      </c>
      <c r="K66" s="3">
        <v>18069.575357142861</v>
      </c>
      <c r="L66" s="3">
        <v>482.10357142857134</v>
      </c>
      <c r="M66" s="3">
        <v>3054.875</v>
      </c>
      <c r="N66" s="3"/>
      <c r="O66" s="3">
        <v>3099.6303571428575</v>
      </c>
      <c r="P66" s="3">
        <v>1834.0521428571431</v>
      </c>
      <c r="Q66" s="3" t="s">
        <v>18</v>
      </c>
      <c r="R66" s="3">
        <v>123.98071428571431</v>
      </c>
    </row>
    <row r="67" spans="1:18">
      <c r="A67" s="2">
        <v>34759</v>
      </c>
      <c r="B67" s="4">
        <v>164.76333862707901</v>
      </c>
      <c r="C67" s="3">
        <v>326.97161290322572</v>
      </c>
      <c r="D67" s="3">
        <v>2968.3677419354835</v>
      </c>
      <c r="E67" s="3">
        <v>849.10791069677407</v>
      </c>
      <c r="F67" s="3"/>
      <c r="G67" s="3">
        <v>1622.6325806451614</v>
      </c>
      <c r="H67" s="3" t="s">
        <v>18</v>
      </c>
      <c r="I67" s="3">
        <v>599.99761290322579</v>
      </c>
      <c r="J67" s="3">
        <v>8349.3022580645174</v>
      </c>
      <c r="K67" s="3">
        <v>16412.074516129032</v>
      </c>
      <c r="L67" s="3">
        <v>493.08032258064509</v>
      </c>
      <c r="M67" s="3">
        <v>3076.6870967741934</v>
      </c>
      <c r="N67" s="3"/>
      <c r="O67" s="3">
        <v>2930.3751612903225</v>
      </c>
      <c r="P67" s="3">
        <v>1793.1325806451616</v>
      </c>
      <c r="Q67" s="3" t="s">
        <v>18</v>
      </c>
      <c r="R67" s="3">
        <v>120.7345161290323</v>
      </c>
    </row>
    <row r="68" spans="1:18">
      <c r="A68" s="2">
        <v>34790</v>
      </c>
      <c r="B68" s="4">
        <v>152.5662788978515</v>
      </c>
      <c r="C68" s="3">
        <v>386.58100000000007</v>
      </c>
      <c r="D68" s="3">
        <v>3291.0066666666671</v>
      </c>
      <c r="E68" s="3">
        <v>912.00689940333314</v>
      </c>
      <c r="F68" s="3"/>
      <c r="G68" s="3">
        <v>1899.56</v>
      </c>
      <c r="H68" s="3" t="s">
        <v>18</v>
      </c>
      <c r="I68" s="3">
        <v>634.75263333333339</v>
      </c>
      <c r="J68" s="3">
        <v>8526.7139999999999</v>
      </c>
      <c r="K68" s="3">
        <v>16326.878999999999</v>
      </c>
      <c r="L68" s="3">
        <v>507.95199999999994</v>
      </c>
      <c r="M68" s="3">
        <v>3197.8933333333334</v>
      </c>
      <c r="N68" s="3"/>
      <c r="O68" s="3">
        <v>3010.887999999999</v>
      </c>
      <c r="P68" s="3">
        <v>1894.9520000000002</v>
      </c>
      <c r="Q68" s="3" t="s">
        <v>18</v>
      </c>
      <c r="R68" s="3">
        <v>123.25933333333336</v>
      </c>
    </row>
    <row r="69" spans="1:18">
      <c r="A69" s="2">
        <v>34820</v>
      </c>
      <c r="B69" s="4">
        <v>148.66675231989896</v>
      </c>
      <c r="C69" s="3">
        <v>427.21129032258068</v>
      </c>
      <c r="D69" s="3">
        <v>3951.1935483870975</v>
      </c>
      <c r="E69" s="3">
        <v>996.01392381290304</v>
      </c>
      <c r="F69" s="3"/>
      <c r="G69" s="3">
        <v>2011.6696774193551</v>
      </c>
      <c r="H69" s="3" t="s">
        <v>18</v>
      </c>
      <c r="I69" s="3">
        <v>662.48238709677412</v>
      </c>
      <c r="J69" s="3">
        <v>8943.1722580645164</v>
      </c>
      <c r="K69" s="3">
        <v>16363.641612903224</v>
      </c>
      <c r="L69" s="3">
        <v>523.3732258064515</v>
      </c>
      <c r="M69" s="3">
        <v>3286.6322580645169</v>
      </c>
      <c r="N69" s="3"/>
      <c r="O69" s="3">
        <v>3225.4541935483871</v>
      </c>
      <c r="P69" s="3">
        <v>1962.3577419354833</v>
      </c>
      <c r="Q69" s="3" t="s">
        <v>18</v>
      </c>
      <c r="R69" s="3">
        <v>128.59451612903223</v>
      </c>
    </row>
    <row r="70" spans="1:18">
      <c r="A70" s="2">
        <v>34851</v>
      </c>
      <c r="B70" s="4">
        <v>168.03289639198542</v>
      </c>
      <c r="C70" s="3">
        <v>404.14199999999983</v>
      </c>
      <c r="D70" s="3">
        <v>3724.7033333333338</v>
      </c>
      <c r="E70" s="3">
        <v>1011.7157399533332</v>
      </c>
      <c r="F70" s="3"/>
      <c r="G70" s="3">
        <v>2035.0963333333332</v>
      </c>
      <c r="H70" s="3" t="s">
        <v>18</v>
      </c>
      <c r="I70" s="3">
        <v>672.84176666666644</v>
      </c>
      <c r="J70" s="3">
        <v>9306.8589999999986</v>
      </c>
      <c r="K70" s="3">
        <v>15086.368666666667</v>
      </c>
      <c r="L70" s="3">
        <v>538.85899999999992</v>
      </c>
      <c r="M70" s="3">
        <v>3353.016666666666</v>
      </c>
      <c r="N70" s="3"/>
      <c r="O70" s="3">
        <v>3242.9463333333333</v>
      </c>
      <c r="P70" s="3">
        <v>1916.0873333333334</v>
      </c>
      <c r="Q70" s="3" t="s">
        <v>18</v>
      </c>
      <c r="R70" s="3">
        <v>129.81133333333335</v>
      </c>
    </row>
    <row r="71" spans="1:18">
      <c r="A71" s="2">
        <v>34881</v>
      </c>
      <c r="B71" s="4">
        <v>162.40242746790597</v>
      </c>
      <c r="C71" s="3">
        <v>455.34451612903229</v>
      </c>
      <c r="D71" s="3">
        <v>3878.9064516129019</v>
      </c>
      <c r="E71" s="3">
        <v>1041.7415318193546</v>
      </c>
      <c r="F71" s="3"/>
      <c r="G71" s="3">
        <v>2426.3735483870964</v>
      </c>
      <c r="H71" s="3" t="s">
        <v>18</v>
      </c>
      <c r="I71" s="3">
        <v>671.13487096774179</v>
      </c>
      <c r="J71" s="3">
        <v>9479.7990322580645</v>
      </c>
      <c r="K71" s="3">
        <v>16159.22741935484</v>
      </c>
      <c r="L71" s="3">
        <v>556.43677419354856</v>
      </c>
      <c r="M71" s="3">
        <v>3423.6709677419353</v>
      </c>
      <c r="N71" s="3"/>
      <c r="O71" s="3">
        <v>3315.1287096774186</v>
      </c>
      <c r="P71" s="3">
        <v>1926.6422580645155</v>
      </c>
      <c r="Q71" s="3" t="s">
        <v>18</v>
      </c>
      <c r="R71" s="3">
        <v>131.9641935483871</v>
      </c>
    </row>
    <row r="72" spans="1:18">
      <c r="A72" s="2">
        <v>34912</v>
      </c>
      <c r="B72" s="4">
        <v>155.17446753504277</v>
      </c>
      <c r="C72" s="3">
        <v>475.12645161290322</v>
      </c>
      <c r="D72" s="3">
        <v>4259.3741935483868</v>
      </c>
      <c r="E72" s="3">
        <v>969.29371965483847</v>
      </c>
      <c r="F72" s="3"/>
      <c r="G72" s="3">
        <v>2499.8990322580639</v>
      </c>
      <c r="H72" s="3" t="s">
        <v>18</v>
      </c>
      <c r="I72" s="3">
        <v>732.77622580645163</v>
      </c>
      <c r="J72" s="3">
        <v>9118.2500000000018</v>
      </c>
      <c r="K72" s="3">
        <v>17390.965483870965</v>
      </c>
      <c r="L72" s="3">
        <v>558.9112903225805</v>
      </c>
      <c r="M72" s="3">
        <v>3490.5516129032249</v>
      </c>
      <c r="N72" s="3"/>
      <c r="O72" s="3">
        <v>3489.3216129032253</v>
      </c>
      <c r="P72" s="3">
        <v>1946.240967741935</v>
      </c>
      <c r="Q72" s="3" t="s">
        <v>18</v>
      </c>
      <c r="R72" s="3">
        <v>134.84967741935478</v>
      </c>
    </row>
    <row r="73" spans="1:18">
      <c r="A73" s="2">
        <v>34943</v>
      </c>
      <c r="B73" s="4">
        <v>148.42339988121446</v>
      </c>
      <c r="C73" s="3">
        <v>442.77931034482748</v>
      </c>
      <c r="D73" s="3">
        <v>4643.9413793103458</v>
      </c>
      <c r="E73" s="3">
        <v>939.58622309999998</v>
      </c>
      <c r="F73" s="3"/>
      <c r="G73" s="3">
        <v>2530.5672413793109</v>
      </c>
      <c r="H73" s="3" t="s">
        <v>18</v>
      </c>
      <c r="I73" s="3">
        <v>740.00351724137931</v>
      </c>
      <c r="J73" s="3">
        <v>9506.4437931034481</v>
      </c>
      <c r="K73" s="3">
        <v>18140.714827586202</v>
      </c>
      <c r="L73" s="3">
        <v>577.72689655172417</v>
      </c>
      <c r="M73" s="3">
        <v>3533.1034482758619</v>
      </c>
      <c r="N73" s="3"/>
      <c r="O73" s="3">
        <v>3462.6151724137931</v>
      </c>
      <c r="P73" s="3">
        <v>1850.8651724137935</v>
      </c>
      <c r="Q73" s="3" t="s">
        <v>18</v>
      </c>
      <c r="R73" s="3">
        <v>136.42827586206897</v>
      </c>
    </row>
    <row r="74" spans="1:18">
      <c r="A74" s="2">
        <v>34973</v>
      </c>
      <c r="B74" s="4">
        <v>139.5135605938946</v>
      </c>
      <c r="C74" s="3">
        <v>423.02032258064514</v>
      </c>
      <c r="D74" s="3">
        <v>4453.8290322580651</v>
      </c>
      <c r="E74" s="3">
        <v>952.33455832258028</v>
      </c>
      <c r="F74" s="3"/>
      <c r="G74" s="3">
        <v>2314.2683870967739</v>
      </c>
      <c r="H74" s="3" t="s">
        <v>18</v>
      </c>
      <c r="I74" s="3">
        <v>717.96480645161307</v>
      </c>
      <c r="J74" s="3">
        <v>9827.2377419354834</v>
      </c>
      <c r="K74" s="3">
        <v>17962.501935483873</v>
      </c>
      <c r="L74" s="3">
        <v>583.12612903225806</v>
      </c>
      <c r="M74" s="3">
        <v>3532.1096774193547</v>
      </c>
      <c r="N74" s="3"/>
      <c r="O74" s="3">
        <v>3280.4625806451609</v>
      </c>
      <c r="P74" s="3">
        <v>1778.5816129032257</v>
      </c>
      <c r="Q74" s="3" t="s">
        <v>18</v>
      </c>
      <c r="R74" s="3">
        <v>134.45129032258069</v>
      </c>
    </row>
    <row r="75" spans="1:18">
      <c r="A75" s="2">
        <v>35004</v>
      </c>
      <c r="B75" s="4">
        <v>132.36998900670423</v>
      </c>
      <c r="C75" s="3">
        <v>422.47700000000003</v>
      </c>
      <c r="D75" s="3">
        <v>4061.4933333333347</v>
      </c>
      <c r="E75" s="3">
        <v>926.65014897000003</v>
      </c>
      <c r="F75" s="3"/>
      <c r="G75" s="3">
        <v>2394.353333333333</v>
      </c>
      <c r="H75" s="3" t="s">
        <v>18</v>
      </c>
      <c r="I75" s="3">
        <v>688.58086666666668</v>
      </c>
      <c r="J75" s="3">
        <v>9539.8886666666676</v>
      </c>
      <c r="K75" s="3">
        <v>18097.802333333333</v>
      </c>
      <c r="L75" s="3">
        <v>595.70799999999986</v>
      </c>
      <c r="M75" s="3">
        <v>3576.03</v>
      </c>
      <c r="N75" s="3"/>
      <c r="O75" s="3">
        <v>3370.6633333333325</v>
      </c>
      <c r="P75" s="3">
        <v>1860.0946666666664</v>
      </c>
      <c r="Q75" s="3" t="s">
        <v>18</v>
      </c>
      <c r="R75" s="3">
        <v>136.1273333333333</v>
      </c>
    </row>
    <row r="76" spans="1:18">
      <c r="A76" s="2">
        <v>35034</v>
      </c>
      <c r="B76" s="4">
        <v>148.16827232452908</v>
      </c>
      <c r="C76" s="3">
        <v>489.27733333333333</v>
      </c>
      <c r="D76" s="3">
        <v>4280.1166666666668</v>
      </c>
      <c r="E76" s="3">
        <v>972.89397371333348</v>
      </c>
      <c r="F76" s="3"/>
      <c r="G76" s="3">
        <v>2715.4086666666667</v>
      </c>
      <c r="H76" s="3" t="s">
        <v>18</v>
      </c>
      <c r="I76" s="3">
        <v>606.28453333333346</v>
      </c>
      <c r="J76" s="3">
        <v>9903.969000000001</v>
      </c>
      <c r="K76" s="3">
        <v>19402.242000000002</v>
      </c>
      <c r="L76" s="3">
        <v>614.16133333333312</v>
      </c>
      <c r="M76" s="3">
        <v>3652.646666666667</v>
      </c>
      <c r="N76" s="3"/>
      <c r="O76" s="3">
        <v>3571.695666666667</v>
      </c>
      <c r="P76" s="3">
        <v>1848.1486666666667</v>
      </c>
      <c r="Q76" s="3" t="s">
        <v>18</v>
      </c>
      <c r="R76" s="3">
        <v>139.33333333333334</v>
      </c>
    </row>
    <row r="77" spans="1:18">
      <c r="A77" s="2">
        <v>35065</v>
      </c>
      <c r="B77" s="4">
        <v>148.98468050592228</v>
      </c>
      <c r="C77" s="3">
        <v>547.90774193548395</v>
      </c>
      <c r="D77" s="3">
        <v>4815.9548387096756</v>
      </c>
      <c r="E77" s="3">
        <v>1032.1790001322581</v>
      </c>
      <c r="F77" s="3"/>
      <c r="G77" s="3">
        <v>3002.6838709677413</v>
      </c>
      <c r="H77" s="3" t="s">
        <v>18</v>
      </c>
      <c r="I77" s="3">
        <v>535.99625806451627</v>
      </c>
      <c r="J77" s="3">
        <v>10701.530967741934</v>
      </c>
      <c r="K77" s="3">
        <v>20429.372580645151</v>
      </c>
      <c r="L77" s="3">
        <v>614.10032258064518</v>
      </c>
      <c r="M77" s="3">
        <v>3713.7387096774187</v>
      </c>
      <c r="N77" s="3"/>
      <c r="O77" s="3">
        <v>3704.6103225806446</v>
      </c>
      <c r="P77" s="3">
        <v>1940.5274193548389</v>
      </c>
      <c r="Q77" s="3" t="s">
        <v>18</v>
      </c>
      <c r="R77" s="3">
        <v>143.8135483870968</v>
      </c>
    </row>
    <row r="78" spans="1:18">
      <c r="A78" s="2">
        <v>35096</v>
      </c>
      <c r="B78" s="4">
        <v>161.38780480016493</v>
      </c>
      <c r="C78" s="3">
        <v>535.07137931034481</v>
      </c>
      <c r="D78" s="3">
        <v>5266.687931034483</v>
      </c>
      <c r="E78" s="3">
        <v>1018.917924013793</v>
      </c>
      <c r="F78" s="3"/>
      <c r="G78" s="3">
        <v>2984.2341379310346</v>
      </c>
      <c r="H78" s="3" t="s">
        <v>18</v>
      </c>
      <c r="I78" s="3">
        <v>540.46203448275833</v>
      </c>
      <c r="J78" s="3">
        <v>11395.453103448272</v>
      </c>
      <c r="K78" s="3">
        <v>20668.702413793104</v>
      </c>
      <c r="L78" s="3">
        <v>649.56413793103445</v>
      </c>
      <c r="M78" s="3">
        <v>3741.9724137931044</v>
      </c>
      <c r="N78" s="3"/>
      <c r="O78" s="3">
        <v>3772.852413793104</v>
      </c>
      <c r="P78" s="3">
        <v>1973.493448275862</v>
      </c>
      <c r="Q78" s="3" t="s">
        <v>18</v>
      </c>
      <c r="R78" s="3">
        <v>146.65310344827586</v>
      </c>
    </row>
    <row r="79" spans="1:18">
      <c r="A79" s="2">
        <v>35125</v>
      </c>
      <c r="B79" s="4">
        <v>153.62407699826241</v>
      </c>
      <c r="C79" s="3">
        <v>508.88419354838703</v>
      </c>
      <c r="D79" s="3">
        <v>4930.7032258064501</v>
      </c>
      <c r="E79" s="3">
        <v>992.91214453225814</v>
      </c>
      <c r="F79" s="3"/>
      <c r="G79" s="3">
        <v>2924.7525806451608</v>
      </c>
      <c r="H79" s="3" t="s">
        <v>18</v>
      </c>
      <c r="I79" s="3">
        <v>565.95812903225806</v>
      </c>
      <c r="J79" s="3">
        <v>10947.89806451613</v>
      </c>
      <c r="K79" s="3">
        <v>20457.233225806445</v>
      </c>
      <c r="L79" s="3">
        <v>645.78741935483879</v>
      </c>
      <c r="M79" s="3">
        <v>3699.2419354838707</v>
      </c>
      <c r="N79" s="3"/>
      <c r="O79" s="3">
        <v>3775.4287096774183</v>
      </c>
      <c r="P79" s="3">
        <v>1988.5699999999993</v>
      </c>
      <c r="Q79" s="3" t="s">
        <v>18</v>
      </c>
      <c r="R79" s="3">
        <v>147.88903225806456</v>
      </c>
    </row>
    <row r="80" spans="1:18">
      <c r="A80" s="2">
        <v>35156</v>
      </c>
      <c r="B80" s="4">
        <v>171.45749321056979</v>
      </c>
      <c r="C80" s="3">
        <v>534.05966666666654</v>
      </c>
      <c r="D80" s="3">
        <v>5024.0266666666666</v>
      </c>
      <c r="E80" s="3">
        <v>983.48358237666696</v>
      </c>
      <c r="F80" s="3"/>
      <c r="G80" s="3">
        <v>3167.762666666667</v>
      </c>
      <c r="H80" s="3" t="s">
        <v>18</v>
      </c>
      <c r="I80" s="3">
        <v>613.32869999999991</v>
      </c>
      <c r="J80" s="3">
        <v>10943.246666666664</v>
      </c>
      <c r="K80" s="3">
        <v>21852.954000000005</v>
      </c>
      <c r="L80" s="3">
        <v>647.62299999999982</v>
      </c>
      <c r="M80" s="3">
        <v>3792.736666666668</v>
      </c>
      <c r="N80" s="3"/>
      <c r="O80" s="3">
        <v>3977.9673333333321</v>
      </c>
      <c r="P80" s="3">
        <v>2093.7726666666663</v>
      </c>
      <c r="Q80" s="3" t="s">
        <v>18</v>
      </c>
      <c r="R80" s="3">
        <v>151.74299999999997</v>
      </c>
    </row>
    <row r="81" spans="1:18">
      <c r="A81" s="2">
        <v>35186</v>
      </c>
      <c r="B81" s="4">
        <v>171.39665510089867</v>
      </c>
      <c r="C81" s="3">
        <v>587.59709677419335</v>
      </c>
      <c r="D81" s="3">
        <v>5451.5225806451608</v>
      </c>
      <c r="E81" s="3">
        <v>1018.1845294032261</v>
      </c>
      <c r="F81" s="3"/>
      <c r="G81" s="3">
        <v>3242.7990322580649</v>
      </c>
      <c r="H81" s="3" t="s">
        <v>18</v>
      </c>
      <c r="I81" s="3">
        <v>663.36200000000008</v>
      </c>
      <c r="J81" s="3">
        <v>10877.195483870966</v>
      </c>
      <c r="K81" s="3">
        <v>21745.332903225804</v>
      </c>
      <c r="L81" s="3">
        <v>661.54387096774178</v>
      </c>
      <c r="M81" s="3">
        <v>3758.8935483870973</v>
      </c>
      <c r="N81" s="3"/>
      <c r="O81" s="3">
        <v>4094.3619354838702</v>
      </c>
      <c r="P81" s="3">
        <v>2116.3780645161291</v>
      </c>
      <c r="Q81" s="3" t="s">
        <v>18</v>
      </c>
      <c r="R81" s="3">
        <v>152.63387096774196</v>
      </c>
    </row>
    <row r="82" spans="1:18">
      <c r="A82" s="2">
        <v>35217</v>
      </c>
      <c r="B82" s="4">
        <v>168.91995528138375</v>
      </c>
      <c r="C82" s="3">
        <v>596.98599999999999</v>
      </c>
      <c r="D82" s="3">
        <v>5783.0700000000006</v>
      </c>
      <c r="E82" s="3">
        <v>1014.9473747500001</v>
      </c>
      <c r="F82" s="3"/>
      <c r="G82" s="3">
        <v>3200.6573333333336</v>
      </c>
      <c r="H82" s="3" t="s">
        <v>18</v>
      </c>
      <c r="I82" s="3">
        <v>755.11676666666665</v>
      </c>
      <c r="J82" s="3">
        <v>11013.358666666669</v>
      </c>
      <c r="K82" s="3">
        <v>22194.26333333334</v>
      </c>
      <c r="L82" s="3">
        <v>668.71600000000012</v>
      </c>
      <c r="M82" s="3">
        <v>3732.1133333333332</v>
      </c>
      <c r="N82" s="3"/>
      <c r="O82" s="3">
        <v>4206.1200000000008</v>
      </c>
      <c r="P82" s="3">
        <v>2110.9506666666662</v>
      </c>
      <c r="Q82" s="3" t="s">
        <v>18</v>
      </c>
      <c r="R82" s="3">
        <v>152.8716666666667</v>
      </c>
    </row>
    <row r="83" spans="1:18">
      <c r="A83" s="2">
        <v>35247</v>
      </c>
      <c r="B83" s="4">
        <v>167.19686301392409</v>
      </c>
      <c r="C83" s="3">
        <v>558.32064516129037</v>
      </c>
      <c r="D83" s="3">
        <v>6287.1354838709658</v>
      </c>
      <c r="E83" s="3">
        <v>1045.0650250000003</v>
      </c>
      <c r="F83" s="3"/>
      <c r="G83" s="3">
        <v>3041.1838709677418</v>
      </c>
      <c r="H83" s="3" t="s">
        <v>18</v>
      </c>
      <c r="I83" s="3">
        <v>820.87890322580631</v>
      </c>
      <c r="J83" s="3">
        <v>10848.868709677417</v>
      </c>
      <c r="K83" s="3">
        <v>21575.026129032256</v>
      </c>
      <c r="L83" s="3">
        <v>645.11193548387109</v>
      </c>
      <c r="M83" s="3">
        <v>3708.9161290322586</v>
      </c>
      <c r="N83" s="3"/>
      <c r="O83" s="3">
        <v>4085.9845161290323</v>
      </c>
      <c r="P83" s="3">
        <v>2029.5409677419357</v>
      </c>
      <c r="Q83" s="3" t="s">
        <v>18</v>
      </c>
      <c r="R83" s="3">
        <v>149.89741935483872</v>
      </c>
    </row>
    <row r="84" spans="1:18">
      <c r="A84" s="2">
        <v>35278</v>
      </c>
      <c r="B84" s="4">
        <v>163.90768005234963</v>
      </c>
      <c r="C84" s="3">
        <v>522.66290322580642</v>
      </c>
      <c r="D84" s="3">
        <v>6259.3193548387108</v>
      </c>
      <c r="E84" s="3">
        <v>1001.7694583387093</v>
      </c>
      <c r="F84" s="3"/>
      <c r="G84" s="3">
        <v>3290.9935483870959</v>
      </c>
      <c r="H84" s="3" t="s">
        <v>18</v>
      </c>
      <c r="I84" s="3">
        <v>837.80899999999986</v>
      </c>
      <c r="J84" s="3">
        <v>11199.707741935488</v>
      </c>
      <c r="K84" s="3">
        <v>20852.330000000002</v>
      </c>
      <c r="L84" s="3">
        <v>662.73096774193584</v>
      </c>
      <c r="M84" s="3">
        <v>3844.3645161290328</v>
      </c>
      <c r="N84" s="3"/>
      <c r="O84" s="3">
        <v>4055.5838709677419</v>
      </c>
      <c r="P84" s="3">
        <v>1998.6516129032257</v>
      </c>
      <c r="Q84" s="3" t="s">
        <v>18</v>
      </c>
      <c r="R84" s="3">
        <v>151.30677419354842</v>
      </c>
    </row>
    <row r="85" spans="1:18">
      <c r="A85" s="2">
        <v>35309</v>
      </c>
      <c r="B85" s="4">
        <v>170.76864880751927</v>
      </c>
      <c r="C85" s="3">
        <v>538.73571428571438</v>
      </c>
      <c r="D85" s="3">
        <v>6429.7678571428569</v>
      </c>
      <c r="E85" s="3">
        <v>998.52367804642847</v>
      </c>
      <c r="F85" s="3"/>
      <c r="G85" s="3">
        <v>3306.6407142857138</v>
      </c>
      <c r="H85" s="3" t="s">
        <v>18</v>
      </c>
      <c r="I85" s="3">
        <v>806.45164285714304</v>
      </c>
      <c r="J85" s="3">
        <v>11386.895000000002</v>
      </c>
      <c r="K85" s="3">
        <v>20800.721785714286</v>
      </c>
      <c r="L85" s="3">
        <v>673.11892857142846</v>
      </c>
      <c r="M85" s="3">
        <v>3927.4607142857135</v>
      </c>
      <c r="N85" s="3"/>
      <c r="O85" s="3">
        <v>4067.4510714285716</v>
      </c>
      <c r="P85" s="3">
        <v>2053.7610714285715</v>
      </c>
      <c r="Q85" s="3" t="s">
        <v>18</v>
      </c>
      <c r="R85" s="3">
        <v>154.27964285714285</v>
      </c>
    </row>
    <row r="86" spans="1:18">
      <c r="A86" s="2">
        <v>35339</v>
      </c>
      <c r="B86" s="4">
        <v>171.6596327362513</v>
      </c>
      <c r="C86" s="3">
        <v>571.522258064516</v>
      </c>
      <c r="D86" s="3">
        <v>6628.4419354838701</v>
      </c>
      <c r="E86" s="3">
        <v>1029.2525417419358</v>
      </c>
      <c r="F86" s="3"/>
      <c r="G86" s="3">
        <v>3296.5564516129034</v>
      </c>
      <c r="H86" s="3" t="s">
        <v>18</v>
      </c>
      <c r="I86" s="3">
        <v>935.95835483870951</v>
      </c>
      <c r="J86" s="3">
        <v>12277.425483870964</v>
      </c>
      <c r="K86" s="3">
        <v>21110.45322580645</v>
      </c>
      <c r="L86" s="3">
        <v>701.97419354838689</v>
      </c>
      <c r="M86" s="3">
        <v>4023.8548387096771</v>
      </c>
      <c r="N86" s="3"/>
      <c r="O86" s="3">
        <v>4316.4974193548378</v>
      </c>
      <c r="P86" s="3">
        <v>2153.9496774193553</v>
      </c>
      <c r="Q86" s="3" t="s">
        <v>18</v>
      </c>
      <c r="R86" s="3">
        <v>159.98612903225808</v>
      </c>
    </row>
    <row r="87" spans="1:18">
      <c r="A87" s="2">
        <v>35370</v>
      </c>
      <c r="B87" s="4">
        <v>165.23434334711359</v>
      </c>
      <c r="C87" s="3">
        <v>596.1099999999999</v>
      </c>
      <c r="D87" s="3">
        <v>6605.5033333333313</v>
      </c>
      <c r="E87" s="3">
        <v>980.83909328333334</v>
      </c>
      <c r="F87" s="3"/>
      <c r="G87" s="3">
        <v>3317.7093333333323</v>
      </c>
      <c r="H87" s="3" t="s">
        <v>18</v>
      </c>
      <c r="I87" s="3">
        <v>956.85953333333305</v>
      </c>
      <c r="J87" s="3">
        <v>12955.999999999998</v>
      </c>
      <c r="K87" s="3">
        <v>21014.301333333329</v>
      </c>
      <c r="L87" s="3">
        <v>735.57599999999991</v>
      </c>
      <c r="M87" s="3">
        <v>3969.6933333333336</v>
      </c>
      <c r="N87" s="3"/>
      <c r="O87" s="3">
        <v>4480.609333333332</v>
      </c>
      <c r="P87" s="3">
        <v>2227.6440000000002</v>
      </c>
      <c r="Q87" s="3" t="s">
        <v>18</v>
      </c>
      <c r="R87" s="3">
        <v>162.65433333333334</v>
      </c>
    </row>
    <row r="88" spans="1:18">
      <c r="A88" s="2">
        <v>35400</v>
      </c>
      <c r="B88" s="4">
        <v>165.6641351541451</v>
      </c>
      <c r="C88" s="3">
        <v>627.37225806451602</v>
      </c>
      <c r="D88" s="3">
        <v>6855.9290322580646</v>
      </c>
      <c r="E88" s="3">
        <v>912.61551226774202</v>
      </c>
      <c r="F88" s="3"/>
      <c r="G88" s="3">
        <v>3302.2351612903226</v>
      </c>
      <c r="H88" s="3" t="s">
        <v>18</v>
      </c>
      <c r="I88" s="3">
        <v>1038.1591935483873</v>
      </c>
      <c r="J88" s="3">
        <v>13191.745483870965</v>
      </c>
      <c r="K88" s="3">
        <v>20076.537419354845</v>
      </c>
      <c r="L88" s="3">
        <v>744.00516129032258</v>
      </c>
      <c r="M88" s="3">
        <v>4039.6354838709681</v>
      </c>
      <c r="N88" s="3"/>
      <c r="O88" s="3">
        <v>4847.1458064516137</v>
      </c>
      <c r="P88" s="3">
        <v>2267.5651612903221</v>
      </c>
      <c r="Q88" s="3" t="s">
        <v>18</v>
      </c>
      <c r="R88" s="3">
        <v>167.46806451612903</v>
      </c>
    </row>
    <row r="89" spans="1:18">
      <c r="A89" s="2">
        <v>35431</v>
      </c>
      <c r="B89" s="4">
        <v>189.52641178289448</v>
      </c>
      <c r="C89" s="3">
        <v>671.18870967741918</v>
      </c>
      <c r="D89" s="3">
        <v>7561.1064516129018</v>
      </c>
      <c r="E89" s="3">
        <v>976.24660022258035</v>
      </c>
      <c r="F89" s="3"/>
      <c r="G89" s="3">
        <v>3609.0925806451601</v>
      </c>
      <c r="H89" s="3" t="s">
        <v>18</v>
      </c>
      <c r="I89" s="3">
        <v>926.19219354838731</v>
      </c>
      <c r="J89" s="3">
        <v>13445.197096774191</v>
      </c>
      <c r="K89" s="3">
        <v>18194.335161290324</v>
      </c>
      <c r="L89" s="3">
        <v>764.70806451612918</v>
      </c>
      <c r="M89" s="3">
        <v>4158.9225806451614</v>
      </c>
      <c r="N89" s="3"/>
      <c r="O89" s="3">
        <v>5300.6312903225798</v>
      </c>
      <c r="P89" s="3">
        <v>2385.1699999999987</v>
      </c>
      <c r="Q89" s="3" t="s">
        <v>18</v>
      </c>
      <c r="R89" s="3">
        <v>176.59225806451622</v>
      </c>
    </row>
    <row r="90" spans="1:18">
      <c r="A90" s="2">
        <v>35462</v>
      </c>
      <c r="B90" s="4">
        <v>209.79727742138056</v>
      </c>
      <c r="C90" s="3">
        <v>721.43296296296296</v>
      </c>
      <c r="D90" s="3">
        <v>8566.2333333333336</v>
      </c>
      <c r="E90" s="3">
        <v>1035.3810016444443</v>
      </c>
      <c r="F90" s="3"/>
      <c r="G90" s="3">
        <v>3783.3429629629613</v>
      </c>
      <c r="H90" s="3" t="s">
        <v>18</v>
      </c>
      <c r="I90" s="3">
        <v>979.70948148148148</v>
      </c>
      <c r="J90" s="3">
        <v>13404.001111111111</v>
      </c>
      <c r="K90" s="3">
        <v>18561.39</v>
      </c>
      <c r="L90" s="3">
        <v>798.52703703703673</v>
      </c>
      <c r="M90" s="3">
        <v>4316.5296296296301</v>
      </c>
      <c r="N90" s="3"/>
      <c r="O90" s="3">
        <v>5402.4922222222212</v>
      </c>
      <c r="P90" s="3">
        <v>2583.4122222222218</v>
      </c>
      <c r="Q90" s="3" t="s">
        <v>18</v>
      </c>
      <c r="R90" s="3">
        <v>188.17370370370369</v>
      </c>
    </row>
    <row r="91" spans="1:18">
      <c r="A91" s="2">
        <v>35490</v>
      </c>
      <c r="B91" s="4">
        <v>209.65401348570339</v>
      </c>
      <c r="C91" s="3">
        <v>724.19666666666706</v>
      </c>
      <c r="D91" s="3">
        <v>9233.1133333333346</v>
      </c>
      <c r="E91" s="3">
        <v>1034.0664675333333</v>
      </c>
      <c r="F91" s="3"/>
      <c r="G91" s="3">
        <v>3806.4810000000002</v>
      </c>
      <c r="H91" s="3" t="s">
        <v>18</v>
      </c>
      <c r="I91" s="3">
        <v>1133.5214000000003</v>
      </c>
      <c r="J91" s="3">
        <v>12936.006333333336</v>
      </c>
      <c r="K91" s="3">
        <v>18258.218333333331</v>
      </c>
      <c r="L91" s="3">
        <v>790.89233333333334</v>
      </c>
      <c r="M91" s="3">
        <v>4348.6000000000004</v>
      </c>
      <c r="N91" s="3"/>
      <c r="O91" s="3">
        <v>5455.8996666666662</v>
      </c>
      <c r="P91" s="3">
        <v>2639.5253333333321</v>
      </c>
      <c r="Q91" s="3" t="s">
        <v>18</v>
      </c>
      <c r="R91" s="3">
        <v>191.80933333333331</v>
      </c>
    </row>
    <row r="92" spans="1:18">
      <c r="A92" s="2">
        <v>35521</v>
      </c>
      <c r="B92" s="4">
        <v>225.38164609552311</v>
      </c>
      <c r="C92" s="3">
        <v>710.68035714285713</v>
      </c>
      <c r="D92" s="3">
        <v>9581.0714285714294</v>
      </c>
      <c r="E92" s="3">
        <v>1055.6293683214285</v>
      </c>
      <c r="F92" s="3"/>
      <c r="G92" s="3">
        <v>3777.7974999999992</v>
      </c>
      <c r="H92" s="3" t="s">
        <v>18</v>
      </c>
      <c r="I92" s="3">
        <v>1314.8915714285711</v>
      </c>
      <c r="J92" s="3">
        <v>12467.917499999998</v>
      </c>
      <c r="K92" s="3">
        <v>18188.540357142854</v>
      </c>
      <c r="L92" s="3">
        <v>762.05964285714276</v>
      </c>
      <c r="M92" s="3">
        <v>4308.7107142857139</v>
      </c>
      <c r="N92" s="3"/>
      <c r="O92" s="3">
        <v>5569.9510714285707</v>
      </c>
      <c r="P92" s="3">
        <v>2564.4485714285715</v>
      </c>
      <c r="Q92" s="3" t="s">
        <v>18</v>
      </c>
      <c r="R92" s="3">
        <v>191.27071428571432</v>
      </c>
    </row>
    <row r="93" spans="1:18">
      <c r="A93" s="2">
        <v>35551</v>
      </c>
      <c r="B93" s="4">
        <v>238.21063715746359</v>
      </c>
      <c r="C93" s="3">
        <v>746.75400000000013</v>
      </c>
      <c r="D93" s="3">
        <v>10592.2</v>
      </c>
      <c r="E93" s="3">
        <v>1099.6723009999998</v>
      </c>
      <c r="F93" s="3"/>
      <c r="G93" s="3">
        <v>3893.6346666666655</v>
      </c>
      <c r="H93" s="3" t="s">
        <v>18</v>
      </c>
      <c r="I93" s="3">
        <v>1358.911166666667</v>
      </c>
      <c r="J93" s="3">
        <v>14004.008999999996</v>
      </c>
      <c r="K93" s="3">
        <v>20001.596333333338</v>
      </c>
      <c r="L93" s="3">
        <v>833.14866666666637</v>
      </c>
      <c r="M93" s="3">
        <v>4614.8166666666666</v>
      </c>
      <c r="N93" s="3"/>
      <c r="O93" s="3">
        <v>6251.902</v>
      </c>
      <c r="P93" s="3">
        <v>2693.9403333333335</v>
      </c>
      <c r="Q93" s="3" t="s">
        <v>18</v>
      </c>
      <c r="R93" s="3">
        <v>203.27100000000004</v>
      </c>
    </row>
    <row r="94" spans="1:18">
      <c r="A94" s="2">
        <v>35582</v>
      </c>
      <c r="B94" s="4">
        <v>232.18177674102162</v>
      </c>
      <c r="C94" s="3">
        <v>808.30800000000011</v>
      </c>
      <c r="D94" s="3">
        <v>11934.8</v>
      </c>
      <c r="E94" s="3">
        <v>1195.3802965000002</v>
      </c>
      <c r="F94" s="3"/>
      <c r="G94" s="3">
        <v>4276.2159999999994</v>
      </c>
      <c r="H94" s="3" t="s">
        <v>18</v>
      </c>
      <c r="I94" s="3">
        <v>1273.4763333333331</v>
      </c>
      <c r="J94" s="3">
        <v>14721.577333333327</v>
      </c>
      <c r="K94" s="3">
        <v>20484.398333333324</v>
      </c>
      <c r="L94" s="3">
        <v>877.49566666666681</v>
      </c>
      <c r="M94" s="3">
        <v>4652.7733333333326</v>
      </c>
      <c r="N94" s="3"/>
      <c r="O94" s="3">
        <v>6666.6430000000018</v>
      </c>
      <c r="P94" s="3">
        <v>2756.2289999999989</v>
      </c>
      <c r="Q94" s="3" t="s">
        <v>18</v>
      </c>
      <c r="R94" s="3">
        <v>211.01666666666662</v>
      </c>
    </row>
    <row r="95" spans="1:18">
      <c r="A95" s="2">
        <v>35612</v>
      </c>
      <c r="B95" s="4">
        <v>235.41797167159223</v>
      </c>
      <c r="C95" s="3">
        <v>832.12193548387108</v>
      </c>
      <c r="D95" s="3">
        <v>12709.096774193549</v>
      </c>
      <c r="E95" s="3">
        <v>1203.9485375483875</v>
      </c>
      <c r="F95" s="3"/>
      <c r="G95" s="3">
        <v>4742.6654838709674</v>
      </c>
      <c r="H95" s="3" t="s">
        <v>18</v>
      </c>
      <c r="I95" s="3">
        <v>1172.4169354838714</v>
      </c>
      <c r="J95" s="3">
        <v>15377.500645161294</v>
      </c>
      <c r="K95" s="3">
        <v>20144.285806451611</v>
      </c>
      <c r="L95" s="3">
        <v>924.15354838709698</v>
      </c>
      <c r="M95" s="3">
        <v>4840.8870967741923</v>
      </c>
      <c r="N95" s="3"/>
      <c r="O95" s="3">
        <v>7003.8977419354842</v>
      </c>
      <c r="P95" s="3">
        <v>2957.602903225807</v>
      </c>
      <c r="Q95" s="3" t="s">
        <v>18</v>
      </c>
      <c r="R95" s="3">
        <v>228.0648387096775</v>
      </c>
    </row>
    <row r="96" spans="1:18">
      <c r="A96" s="2">
        <v>35643</v>
      </c>
      <c r="B96" s="4">
        <v>267.12836444791702</v>
      </c>
      <c r="C96" s="3">
        <v>845.4858064516128</v>
      </c>
      <c r="D96" s="3">
        <v>11592.548387096775</v>
      </c>
      <c r="E96" s="3">
        <v>1189.9184070645163</v>
      </c>
      <c r="F96" s="3"/>
      <c r="G96" s="3">
        <v>4997.4158064516141</v>
      </c>
      <c r="H96" s="3" t="s">
        <v>18</v>
      </c>
      <c r="I96" s="3">
        <v>1179.3133225806448</v>
      </c>
      <c r="J96" s="3">
        <v>15883.109999999999</v>
      </c>
      <c r="K96" s="3">
        <v>19101.107096774194</v>
      </c>
      <c r="L96" s="3">
        <v>925.53161290322578</v>
      </c>
      <c r="M96" s="3">
        <v>4930.3935483870982</v>
      </c>
      <c r="N96" s="3"/>
      <c r="O96" s="3">
        <v>6687.3783870967718</v>
      </c>
      <c r="P96" s="3">
        <v>2936.6248387096775</v>
      </c>
      <c r="Q96" s="3" t="s">
        <v>18</v>
      </c>
      <c r="R96" s="3">
        <v>228.0145161290323</v>
      </c>
    </row>
    <row r="97" spans="1:18">
      <c r="A97" s="2">
        <v>35674</v>
      </c>
      <c r="B97" s="4">
        <v>288.89663259217951</v>
      </c>
      <c r="C97" s="3">
        <v>819.60896551724147</v>
      </c>
      <c r="D97" s="3">
        <v>11441.51724137931</v>
      </c>
      <c r="E97" s="3">
        <v>1174.1298321379313</v>
      </c>
      <c r="F97" s="3"/>
      <c r="G97" s="3">
        <v>5004.2596551724137</v>
      </c>
      <c r="H97" s="3">
        <v>99.638749999999987</v>
      </c>
      <c r="I97" s="3">
        <v>1184.4038965517241</v>
      </c>
      <c r="J97" s="3">
        <v>14465.442413793104</v>
      </c>
      <c r="K97" s="3">
        <v>18223.417241379317</v>
      </c>
      <c r="L97" s="3">
        <v>935.48758620689637</v>
      </c>
      <c r="M97" s="3">
        <v>5006.4310344827572</v>
      </c>
      <c r="N97" s="3"/>
      <c r="O97" s="3">
        <v>6892.8965517241377</v>
      </c>
      <c r="P97" s="3">
        <v>2935.5796551724147</v>
      </c>
      <c r="Q97" s="3" t="s">
        <v>18</v>
      </c>
      <c r="R97" s="3">
        <v>226.03034482758625</v>
      </c>
    </row>
    <row r="98" spans="1:18">
      <c r="A98" s="2">
        <v>35704</v>
      </c>
      <c r="B98" s="4">
        <v>294.28963663657493</v>
      </c>
      <c r="C98" s="3">
        <v>802.96064516129024</v>
      </c>
      <c r="D98" s="3">
        <v>12009.290322580646</v>
      </c>
      <c r="E98" s="3">
        <v>1100.6846000322582</v>
      </c>
      <c r="F98" s="3"/>
      <c r="G98" s="3">
        <v>5149.9180645161287</v>
      </c>
      <c r="H98" s="3">
        <v>105.34096774193549</v>
      </c>
      <c r="I98" s="3">
        <v>1148.3708709677421</v>
      </c>
      <c r="J98" s="3">
        <v>13059.557741935487</v>
      </c>
      <c r="K98" s="3">
        <v>17327.565806451606</v>
      </c>
      <c r="L98" s="3">
        <v>952.00870967741923</v>
      </c>
      <c r="M98" s="3">
        <v>5159.2470967741938</v>
      </c>
      <c r="N98" s="3"/>
      <c r="O98" s="3">
        <v>6786.622580645163</v>
      </c>
      <c r="P98" s="3">
        <v>2943.9825806451613</v>
      </c>
      <c r="Q98" s="3" t="s">
        <v>18</v>
      </c>
      <c r="R98" s="3">
        <v>230.6577419354839</v>
      </c>
    </row>
    <row r="99" spans="1:18">
      <c r="A99" s="2">
        <v>35735</v>
      </c>
      <c r="B99" s="4">
        <v>274.68995272413804</v>
      </c>
      <c r="C99" s="3">
        <v>639.37933333333319</v>
      </c>
      <c r="D99" s="3">
        <v>9136.7333333333336</v>
      </c>
      <c r="E99" s="3">
        <v>1036.6096783666669</v>
      </c>
      <c r="F99" s="3"/>
      <c r="G99" s="3">
        <v>4712.507333333333</v>
      </c>
      <c r="H99" s="3">
        <v>76.718666666666678</v>
      </c>
      <c r="I99" s="3">
        <v>1171.7379666666661</v>
      </c>
      <c r="J99" s="3">
        <v>10335.645666666662</v>
      </c>
      <c r="K99" s="3">
        <v>16150.452333333338</v>
      </c>
      <c r="L99" s="3">
        <v>938.97100000000012</v>
      </c>
      <c r="M99" s="3">
        <v>4841.902</v>
      </c>
      <c r="N99" s="3"/>
      <c r="O99" s="3">
        <v>6540.9330000000018</v>
      </c>
      <c r="P99" s="3">
        <v>2772.9683333333323</v>
      </c>
      <c r="Q99" s="3" t="s">
        <v>18</v>
      </c>
      <c r="R99" s="3">
        <v>219.11700000000002</v>
      </c>
    </row>
    <row r="100" spans="1:18">
      <c r="A100" s="2">
        <v>35765</v>
      </c>
      <c r="B100" s="4">
        <v>280.96805313826496</v>
      </c>
      <c r="C100" s="3">
        <v>670.5623333333333</v>
      </c>
      <c r="D100" s="3">
        <v>9659.1333333333332</v>
      </c>
      <c r="E100" s="3">
        <v>1011.3651237266665</v>
      </c>
      <c r="F100" s="3"/>
      <c r="G100" s="3">
        <v>5043.7899999999991</v>
      </c>
      <c r="H100" s="3">
        <v>77.201333333333338</v>
      </c>
      <c r="I100" s="3">
        <v>1160.4912000000002</v>
      </c>
      <c r="J100" s="3">
        <v>10729.488666666668</v>
      </c>
      <c r="K100" s="3">
        <v>15759.49133333333</v>
      </c>
      <c r="L100" s="3">
        <v>958.72666666666635</v>
      </c>
      <c r="M100" s="3">
        <v>5072.2480000000014</v>
      </c>
      <c r="N100" s="3"/>
      <c r="O100" s="3">
        <v>7133.8453333333327</v>
      </c>
      <c r="P100" s="3">
        <v>2887.4133333333348</v>
      </c>
      <c r="Q100" s="3">
        <v>24401.54</v>
      </c>
      <c r="R100" s="3">
        <v>230.36833333333334</v>
      </c>
    </row>
    <row r="101" spans="1:18">
      <c r="A101" s="2">
        <v>35796</v>
      </c>
      <c r="B101" s="4">
        <v>267.33246649326531</v>
      </c>
      <c r="C101" s="3">
        <v>626.17322580645168</v>
      </c>
      <c r="D101" s="3">
        <v>9670.1935483870966</v>
      </c>
      <c r="E101" s="3">
        <v>928.29005376129021</v>
      </c>
      <c r="F101" s="3"/>
      <c r="G101" s="3">
        <v>4730.4899999999989</v>
      </c>
      <c r="H101" s="3">
        <v>73.665161290322573</v>
      </c>
      <c r="I101" s="3">
        <v>1216.5572903225809</v>
      </c>
      <c r="J101" s="3">
        <v>9322.2000000000007</v>
      </c>
      <c r="K101" s="3">
        <v>15842.285806451613</v>
      </c>
      <c r="L101" s="3">
        <v>962.03419354838718</v>
      </c>
      <c r="M101" s="3">
        <v>5233.2535483870961</v>
      </c>
      <c r="N101" s="3"/>
      <c r="O101" s="3">
        <v>7658.1361290322584</v>
      </c>
      <c r="P101" s="3">
        <v>2999.889677419354</v>
      </c>
      <c r="Q101" s="3">
        <v>26190.802258064519</v>
      </c>
      <c r="R101" s="3">
        <v>239.59709677419366</v>
      </c>
    </row>
    <row r="102" spans="1:18">
      <c r="A102" s="2">
        <v>35827</v>
      </c>
      <c r="B102" s="4">
        <v>232.64689390205578</v>
      </c>
      <c r="C102" s="3">
        <v>668.93428571428558</v>
      </c>
      <c r="D102" s="3">
        <v>10259.892857142857</v>
      </c>
      <c r="E102" s="3">
        <v>939.77020601785728</v>
      </c>
      <c r="F102" s="3"/>
      <c r="G102" s="3">
        <v>4672.0653571428575</v>
      </c>
      <c r="H102" s="3">
        <v>70.376785714285703</v>
      </c>
      <c r="I102" s="3">
        <v>1226.7343571428571</v>
      </c>
      <c r="J102" s="3">
        <v>10584.926785714288</v>
      </c>
      <c r="K102" s="3">
        <v>16821.285714285714</v>
      </c>
      <c r="L102" s="3">
        <v>1022.6546428571429</v>
      </c>
      <c r="M102" s="3">
        <v>5653.8399999999983</v>
      </c>
      <c r="N102" s="3"/>
      <c r="O102" s="3">
        <v>8317.5525000000016</v>
      </c>
      <c r="P102" s="3">
        <v>3247.9674999999997</v>
      </c>
      <c r="Q102" s="3">
        <v>28275.633571428567</v>
      </c>
      <c r="R102" s="3">
        <v>257.32071428571425</v>
      </c>
    </row>
    <row r="103" spans="1:18">
      <c r="A103" s="2">
        <v>35855</v>
      </c>
      <c r="B103" s="4">
        <v>231.37714367762936</v>
      </c>
      <c r="C103" s="3">
        <v>684.68967741935478</v>
      </c>
      <c r="D103" s="3">
        <v>11523.774193548386</v>
      </c>
      <c r="E103" s="3">
        <v>1047.5298267096775</v>
      </c>
      <c r="F103" s="3"/>
      <c r="G103" s="3">
        <v>4875.95</v>
      </c>
      <c r="H103" s="3">
        <v>78.468064516129004</v>
      </c>
      <c r="I103" s="3">
        <v>1200.491129032258</v>
      </c>
      <c r="J103" s="3">
        <v>11321.187419354841</v>
      </c>
      <c r="K103" s="3">
        <v>16865.875806451615</v>
      </c>
      <c r="L103" s="3">
        <v>1076.6870967741936</v>
      </c>
      <c r="M103" s="3">
        <v>5859.6341935483852</v>
      </c>
      <c r="N103" s="3"/>
      <c r="O103" s="3">
        <v>9588.6154838709681</v>
      </c>
      <c r="P103" s="3">
        <v>3614.1945161290323</v>
      </c>
      <c r="Q103" s="3">
        <v>31481.056451612898</v>
      </c>
      <c r="R103" s="3">
        <v>277.15709677419352</v>
      </c>
    </row>
    <row r="104" spans="1:18">
      <c r="A104" s="2">
        <v>35886</v>
      </c>
      <c r="B104" s="4">
        <v>242.06110074374598</v>
      </c>
      <c r="C104" s="3">
        <v>685.58866666666654</v>
      </c>
      <c r="D104" s="3">
        <v>11850.966666666667</v>
      </c>
      <c r="E104" s="3">
        <v>1026.4143292766666</v>
      </c>
      <c r="F104" s="3"/>
      <c r="G104" s="3">
        <v>5009.560333333332</v>
      </c>
      <c r="H104" s="3">
        <v>75.402333333333317</v>
      </c>
      <c r="I104" s="3">
        <v>1307.8945999999999</v>
      </c>
      <c r="J104" s="3">
        <v>11052.407333333334</v>
      </c>
      <c r="K104" s="3">
        <v>15919.680333333328</v>
      </c>
      <c r="L104" s="3">
        <v>1113.1593333333337</v>
      </c>
      <c r="M104" s="3">
        <v>5987.099666666667</v>
      </c>
      <c r="N104" s="3"/>
      <c r="O104" s="3">
        <v>10319.746666666666</v>
      </c>
      <c r="P104" s="3">
        <v>3862.1903333333335</v>
      </c>
      <c r="Q104" s="3">
        <v>34941.787333333326</v>
      </c>
      <c r="R104" s="3">
        <v>291.2763333333333</v>
      </c>
    </row>
    <row r="105" spans="1:18">
      <c r="A105" s="2">
        <v>35916</v>
      </c>
      <c r="B105" s="4">
        <v>232.3466283930338</v>
      </c>
      <c r="C105" s="3">
        <v>656.86483870967731</v>
      </c>
      <c r="D105" s="3">
        <v>10671.935483870968</v>
      </c>
      <c r="E105" s="3">
        <v>951.84179656129049</v>
      </c>
      <c r="F105" s="3"/>
      <c r="G105" s="3">
        <v>4762.7338709677406</v>
      </c>
      <c r="H105" s="3">
        <v>62.335806451612889</v>
      </c>
      <c r="I105" s="3">
        <v>1368.4714516129027</v>
      </c>
      <c r="J105" s="3">
        <v>9696.8083870967785</v>
      </c>
      <c r="K105" s="3">
        <v>15513.039354838713</v>
      </c>
      <c r="L105" s="3">
        <v>1108.2945161290324</v>
      </c>
      <c r="M105" s="3">
        <v>5942.3109677419352</v>
      </c>
      <c r="N105" s="3"/>
      <c r="O105" s="3">
        <v>9985.1838709677468</v>
      </c>
      <c r="P105" s="3">
        <v>3990.1129032258068</v>
      </c>
      <c r="Q105" s="3">
        <v>34243.470322580637</v>
      </c>
      <c r="R105" s="3">
        <v>291.97612903225814</v>
      </c>
    </row>
    <row r="106" spans="1:18">
      <c r="A106" s="2">
        <v>35947</v>
      </c>
      <c r="B106" s="4">
        <v>220.48515952683087</v>
      </c>
      <c r="C106" s="3">
        <v>571.44633333333331</v>
      </c>
      <c r="D106" s="3">
        <v>9791.0666666666675</v>
      </c>
      <c r="E106" s="3">
        <v>878.0078573899998</v>
      </c>
      <c r="F106" s="3"/>
      <c r="G106" s="3">
        <v>4344.7383333333328</v>
      </c>
      <c r="H106" s="3">
        <v>42.905333333333331</v>
      </c>
      <c r="I106" s="3">
        <v>1385.7028666666668</v>
      </c>
      <c r="J106" s="3">
        <v>8346.1653333333343</v>
      </c>
      <c r="K106" s="3">
        <v>15224.534333333328</v>
      </c>
      <c r="L106" s="3">
        <v>1109.2556666666669</v>
      </c>
      <c r="M106" s="3">
        <v>5844.0036666666665</v>
      </c>
      <c r="N106" s="3"/>
      <c r="O106" s="3">
        <v>9977.8666666666686</v>
      </c>
      <c r="P106" s="3">
        <v>4120.6330000000007</v>
      </c>
      <c r="Q106" s="3">
        <v>33825.415333333331</v>
      </c>
      <c r="R106" s="3">
        <v>294.35399999999998</v>
      </c>
    </row>
    <row r="107" spans="1:18">
      <c r="A107" s="2">
        <v>35977</v>
      </c>
      <c r="B107" s="4">
        <v>210.65882355511047</v>
      </c>
      <c r="C107" s="3">
        <v>607.95387096774209</v>
      </c>
      <c r="D107" s="3">
        <v>10520.677419354839</v>
      </c>
      <c r="E107" s="3">
        <v>889.27068216774171</v>
      </c>
      <c r="F107" s="3"/>
      <c r="G107" s="3">
        <v>4517.4764516129026</v>
      </c>
      <c r="H107" s="3">
        <v>38.949677419354842</v>
      </c>
      <c r="I107" s="3">
        <v>1327.0260645161297</v>
      </c>
      <c r="J107" s="3">
        <v>8359.1077419354824</v>
      </c>
      <c r="K107" s="3">
        <v>16380.080322580648</v>
      </c>
      <c r="L107" s="3">
        <v>1157.0232258064516</v>
      </c>
      <c r="M107" s="3">
        <v>5989.4841935483882</v>
      </c>
      <c r="N107" s="3"/>
      <c r="O107" s="3">
        <v>10627.164516129031</v>
      </c>
      <c r="P107" s="3">
        <v>4271.5503225806451</v>
      </c>
      <c r="Q107" s="3">
        <v>36832.630645161291</v>
      </c>
      <c r="R107" s="3">
        <v>306.80096774193549</v>
      </c>
    </row>
    <row r="108" spans="1:18">
      <c r="A108" s="2">
        <v>36008</v>
      </c>
      <c r="B108" s="4">
        <v>177.09777473298337</v>
      </c>
      <c r="C108" s="3">
        <v>469.58838709677406</v>
      </c>
      <c r="D108" s="3">
        <v>8502</v>
      </c>
      <c r="E108" s="3">
        <v>795.31418430967767</v>
      </c>
      <c r="F108" s="3"/>
      <c r="G108" s="3">
        <v>3601.0354838709663</v>
      </c>
      <c r="H108" s="3">
        <v>25.810000000000006</v>
      </c>
      <c r="I108" s="3">
        <v>1198.0113225806451</v>
      </c>
      <c r="J108" s="3">
        <v>7433.2670967741915</v>
      </c>
      <c r="K108" s="3">
        <v>15265.011935483872</v>
      </c>
      <c r="L108" s="3">
        <v>1075.1461290322579</v>
      </c>
      <c r="M108" s="3">
        <v>5540.7154838709666</v>
      </c>
      <c r="N108" s="3"/>
      <c r="O108" s="3">
        <v>9693.419354838712</v>
      </c>
      <c r="P108" s="3">
        <v>3961.0109677419355</v>
      </c>
      <c r="Q108" s="3">
        <v>34840.755161290326</v>
      </c>
      <c r="R108" s="3">
        <v>281.33870967741939</v>
      </c>
    </row>
    <row r="109" spans="1:18">
      <c r="A109" s="2">
        <v>36039</v>
      </c>
      <c r="B109" s="4">
        <v>168.89051748638167</v>
      </c>
      <c r="C109" s="3">
        <v>364.27633333333341</v>
      </c>
      <c r="D109" s="3">
        <v>6310.7</v>
      </c>
      <c r="E109" s="3">
        <v>615.9258691066666</v>
      </c>
      <c r="F109" s="3"/>
      <c r="G109" s="3">
        <v>3334.5260000000003</v>
      </c>
      <c r="H109" s="3">
        <v>27.692666666666671</v>
      </c>
      <c r="I109" s="3">
        <v>1204.7412000000006</v>
      </c>
      <c r="J109" s="3">
        <v>7626.1379999999981</v>
      </c>
      <c r="K109" s="3">
        <v>14072.154333333337</v>
      </c>
      <c r="L109" s="3">
        <v>1016.7633333333332</v>
      </c>
      <c r="M109" s="3">
        <v>5152.8956666666663</v>
      </c>
      <c r="N109" s="3"/>
      <c r="O109" s="3">
        <v>7984.51</v>
      </c>
      <c r="P109" s="3">
        <v>3534.7753333333321</v>
      </c>
      <c r="Q109" s="3">
        <v>29111.608000000015</v>
      </c>
      <c r="R109" s="3">
        <v>249.32099999999997</v>
      </c>
    </row>
    <row r="110" spans="1:18">
      <c r="A110" s="2">
        <v>36069</v>
      </c>
      <c r="B110" s="4">
        <v>162.01973613287797</v>
      </c>
      <c r="C110" s="3">
        <v>412.97967741935491</v>
      </c>
      <c r="D110" s="3">
        <v>6710.8709677419356</v>
      </c>
      <c r="E110" s="3">
        <v>676.21235313870943</v>
      </c>
      <c r="F110" s="3"/>
      <c r="G110" s="3">
        <v>3719.1941935483869</v>
      </c>
      <c r="H110" s="3">
        <v>25.597096774193549</v>
      </c>
      <c r="I110" s="3">
        <v>1231.7779999999998</v>
      </c>
      <c r="J110" s="3">
        <v>9061.2316129032261</v>
      </c>
      <c r="K110" s="3">
        <v>13462.394838709681</v>
      </c>
      <c r="L110" s="3">
        <v>1033.5861290322578</v>
      </c>
      <c r="M110" s="3">
        <v>5054.5406451612898</v>
      </c>
      <c r="N110" s="3"/>
      <c r="O110" s="3">
        <v>7984.0483870967764</v>
      </c>
      <c r="P110" s="3">
        <v>3290.2548387096763</v>
      </c>
      <c r="Q110" s="3">
        <v>27843.889354838713</v>
      </c>
      <c r="R110" s="3">
        <v>233.48129032258061</v>
      </c>
    </row>
    <row r="111" spans="1:18">
      <c r="A111" s="2">
        <v>36100</v>
      </c>
      <c r="B111" s="4">
        <v>201.27994206742284</v>
      </c>
      <c r="C111" s="3">
        <v>490.55266666666682</v>
      </c>
      <c r="D111" s="3">
        <v>8204.2333333333336</v>
      </c>
      <c r="E111" s="3">
        <v>807.97953813666652</v>
      </c>
      <c r="F111" s="3"/>
      <c r="G111" s="3">
        <v>4069.7256666666667</v>
      </c>
      <c r="H111" s="3">
        <v>40.77866666666668</v>
      </c>
      <c r="I111" s="3">
        <v>1265.201</v>
      </c>
      <c r="J111" s="3">
        <v>10288.470999999996</v>
      </c>
      <c r="K111" s="3">
        <v>14492.263666666668</v>
      </c>
      <c r="L111" s="3">
        <v>1147.314333333333</v>
      </c>
      <c r="M111" s="3">
        <v>5599.2386666666662</v>
      </c>
      <c r="N111" s="3"/>
      <c r="O111" s="3">
        <v>9237.4066666666658</v>
      </c>
      <c r="P111" s="3">
        <v>3691.3886666666667</v>
      </c>
      <c r="Q111" s="3">
        <v>31611.787999999997</v>
      </c>
      <c r="R111" s="3">
        <v>262.46666666666664</v>
      </c>
    </row>
    <row r="112" spans="1:18">
      <c r="A112" s="2">
        <v>36130</v>
      </c>
      <c r="B112" s="4">
        <v>217.68268144262541</v>
      </c>
      <c r="C112" s="3">
        <v>440.1383870967743</v>
      </c>
      <c r="D112" s="3">
        <v>7237.0967741935483</v>
      </c>
      <c r="E112" s="3">
        <v>776.71019511935492</v>
      </c>
      <c r="F112" s="3"/>
      <c r="G112" s="3">
        <v>3856.1648387096789</v>
      </c>
      <c r="H112" s="3">
        <v>46.328387096774186</v>
      </c>
      <c r="I112" s="3">
        <v>1189.3187096774193</v>
      </c>
      <c r="J112" s="3">
        <v>10141.016774193549</v>
      </c>
      <c r="K112" s="3">
        <v>14255.130000000001</v>
      </c>
      <c r="L112" s="3">
        <v>1191.0448387096774</v>
      </c>
      <c r="M112" s="3">
        <v>5703.4758064516118</v>
      </c>
      <c r="N112" s="3"/>
      <c r="O112" s="3">
        <v>9522.077419354835</v>
      </c>
      <c r="P112" s="3">
        <v>3771.6058064516133</v>
      </c>
      <c r="Q112" s="3">
        <v>33239.937741935471</v>
      </c>
      <c r="R112" s="3">
        <v>267.90451612903234</v>
      </c>
    </row>
    <row r="113" spans="1:18">
      <c r="A113" s="2">
        <v>36161</v>
      </c>
      <c r="B113" s="4">
        <v>173.68102799306621</v>
      </c>
      <c r="C113" s="3">
        <v>390.96290322580631</v>
      </c>
      <c r="D113" s="3">
        <v>7043.4838709677415</v>
      </c>
      <c r="E113" s="3">
        <v>763.87798013548399</v>
      </c>
      <c r="F113" s="3"/>
      <c r="G113" s="3">
        <v>3721.3067741935474</v>
      </c>
      <c r="H113" s="3">
        <v>45.159354838709689</v>
      </c>
      <c r="I113" s="3">
        <v>1148.0475806451611</v>
      </c>
      <c r="J113" s="3">
        <v>10066.732580645163</v>
      </c>
      <c r="K113" s="3">
        <v>13859.264516129033</v>
      </c>
      <c r="L113" s="3">
        <v>1248.5170967741933</v>
      </c>
      <c r="M113" s="3">
        <v>5963.0809677419347</v>
      </c>
      <c r="N113" s="3"/>
      <c r="O113" s="3">
        <v>9930.2129032258053</v>
      </c>
      <c r="P113" s="3">
        <v>4119.5409677419357</v>
      </c>
      <c r="Q113" s="3">
        <v>36080.040000000008</v>
      </c>
      <c r="R113" s="3">
        <v>286.14903225806449</v>
      </c>
    </row>
    <row r="114" spans="1:18">
      <c r="A114" s="2">
        <v>36192</v>
      </c>
      <c r="B114" s="4">
        <v>174.56023680379732</v>
      </c>
      <c r="C114" s="3">
        <v>387.9485714285716</v>
      </c>
      <c r="D114" s="3">
        <v>8843.2142857142862</v>
      </c>
      <c r="E114" s="3">
        <v>859.06908282142888</v>
      </c>
      <c r="F114" s="3"/>
      <c r="G114" s="3">
        <v>4119.5467857142849</v>
      </c>
      <c r="H114" s="3">
        <v>55.136785714285722</v>
      </c>
      <c r="I114" s="3">
        <v>1092.1135357142855</v>
      </c>
      <c r="J114" s="3">
        <v>9405.7575000000015</v>
      </c>
      <c r="K114" s="3">
        <v>14144.68607142857</v>
      </c>
      <c r="L114" s="3">
        <v>1243.1910714285716</v>
      </c>
      <c r="M114" s="3">
        <v>6008.5878571428575</v>
      </c>
      <c r="N114" s="3"/>
      <c r="O114" s="3">
        <v>9857.528571428571</v>
      </c>
      <c r="P114" s="3">
        <v>4119.5089285714284</v>
      </c>
      <c r="Q114" s="3">
        <v>35458.923214285722</v>
      </c>
      <c r="R114" s="3">
        <v>286.88357142857149</v>
      </c>
    </row>
    <row r="115" spans="1:18">
      <c r="A115" s="2">
        <v>36220</v>
      </c>
      <c r="B115" s="4">
        <v>178.62068999442832</v>
      </c>
      <c r="C115" s="3">
        <v>402.31066666666663</v>
      </c>
      <c r="D115" s="3">
        <v>10151.233333333334</v>
      </c>
      <c r="E115" s="3">
        <v>904.48275570666635</v>
      </c>
      <c r="F115" s="3"/>
      <c r="G115" s="3">
        <v>4637.4556666666658</v>
      </c>
      <c r="H115" s="3">
        <v>79.027666666666633</v>
      </c>
      <c r="I115" s="3">
        <v>1150.9919666666663</v>
      </c>
      <c r="J115" s="3">
        <v>10652.20266666667</v>
      </c>
      <c r="K115" s="3">
        <v>15503.860000000002</v>
      </c>
      <c r="L115" s="3">
        <v>1283.3256666666668</v>
      </c>
      <c r="M115" s="3">
        <v>6177.2553333333353</v>
      </c>
      <c r="N115" s="3"/>
      <c r="O115" s="3">
        <v>9929.4200000000019</v>
      </c>
      <c r="P115" s="3">
        <v>4149.9496666666655</v>
      </c>
      <c r="Q115" s="3">
        <v>37633.357333333341</v>
      </c>
      <c r="R115" s="3">
        <v>293.83933333333329</v>
      </c>
    </row>
    <row r="116" spans="1:18">
      <c r="A116" s="2">
        <v>36251</v>
      </c>
      <c r="B116" s="4">
        <v>225.92526404322965</v>
      </c>
      <c r="C116" s="3">
        <v>473.95666666666671</v>
      </c>
      <c r="D116" s="3">
        <v>11134.733333333334</v>
      </c>
      <c r="E116" s="3">
        <v>965.74112421666689</v>
      </c>
      <c r="F116" s="3"/>
      <c r="G116" s="3">
        <v>5304.1666666666679</v>
      </c>
      <c r="H116" s="3">
        <v>86.698666666666668</v>
      </c>
      <c r="I116" s="3">
        <v>1164.1624333333334</v>
      </c>
      <c r="J116" s="3">
        <v>12198.070000000002</v>
      </c>
      <c r="K116" s="3">
        <v>16700.450666666671</v>
      </c>
      <c r="L116" s="3">
        <v>1331.9823333333336</v>
      </c>
      <c r="M116" s="3">
        <v>6438.6683333333322</v>
      </c>
      <c r="N116" s="3"/>
      <c r="O116" s="3">
        <v>9915.8666666666668</v>
      </c>
      <c r="P116" s="3">
        <v>4310.239333333333</v>
      </c>
      <c r="Q116" s="3">
        <v>38310.90866666667</v>
      </c>
      <c r="R116" s="3">
        <v>304.40466666666663</v>
      </c>
    </row>
    <row r="117" spans="1:18">
      <c r="A117" s="2">
        <v>36281</v>
      </c>
      <c r="B117" s="4">
        <v>222.29460265963016</v>
      </c>
      <c r="C117" s="3">
        <v>545.31032258064511</v>
      </c>
      <c r="D117" s="3">
        <v>11725.548387096775</v>
      </c>
      <c r="E117" s="3">
        <v>937.79714600645173</v>
      </c>
      <c r="F117" s="3"/>
      <c r="G117" s="3">
        <v>5706.0783870967762</v>
      </c>
      <c r="H117" s="3">
        <v>105.53612903225806</v>
      </c>
      <c r="I117" s="3">
        <v>1147.1837096774195</v>
      </c>
      <c r="J117" s="3">
        <v>12742.570322580645</v>
      </c>
      <c r="K117" s="3">
        <v>16536.989032258065</v>
      </c>
      <c r="L117" s="3">
        <v>1330.4367741935482</v>
      </c>
      <c r="M117" s="3">
        <v>6337.8412903225808</v>
      </c>
      <c r="N117" s="3"/>
      <c r="O117" s="3">
        <v>10109.474193548387</v>
      </c>
      <c r="P117" s="3">
        <v>4355.7032258064519</v>
      </c>
      <c r="Q117" s="3">
        <v>37528.388387096762</v>
      </c>
      <c r="R117" s="3">
        <v>305.27</v>
      </c>
    </row>
    <row r="118" spans="1:18">
      <c r="A118" s="2">
        <v>36312</v>
      </c>
      <c r="B118" s="4">
        <v>192.88428293280737</v>
      </c>
      <c r="C118" s="3">
        <v>524.28633333333323</v>
      </c>
      <c r="D118" s="3">
        <v>11347.466666666667</v>
      </c>
      <c r="E118" s="3">
        <v>956.91490774666659</v>
      </c>
      <c r="F118" s="3"/>
      <c r="G118" s="3">
        <v>5495.6443333333336</v>
      </c>
      <c r="H118" s="3">
        <v>122.26699999999998</v>
      </c>
      <c r="I118" s="3">
        <v>1458.5639999999999</v>
      </c>
      <c r="J118" s="3">
        <v>13197.083000000001</v>
      </c>
      <c r="K118" s="3">
        <v>17124.175333333333</v>
      </c>
      <c r="L118" s="3">
        <v>1321.8413333333331</v>
      </c>
      <c r="M118" s="3">
        <v>6432.9143333333323</v>
      </c>
      <c r="N118" s="3"/>
      <c r="O118" s="3">
        <v>10245.036666666663</v>
      </c>
      <c r="P118" s="3">
        <v>4431.4699999999993</v>
      </c>
      <c r="Q118" s="3">
        <v>36949.300999999992</v>
      </c>
      <c r="R118" s="3">
        <v>310.62566666666669</v>
      </c>
    </row>
    <row r="119" spans="1:18">
      <c r="A119" s="2">
        <v>36342</v>
      </c>
      <c r="B119" s="4">
        <v>184.89682788888845</v>
      </c>
      <c r="C119" s="3">
        <v>488.61225806451608</v>
      </c>
      <c r="D119" s="3">
        <v>11287.193548387097</v>
      </c>
      <c r="E119" s="3">
        <v>1047.6169477096773</v>
      </c>
      <c r="F119" s="3"/>
      <c r="G119" s="3">
        <v>5747.7293548387106</v>
      </c>
      <c r="H119" s="3">
        <v>135.99548387096772</v>
      </c>
      <c r="I119" s="3">
        <v>1571.4468064516136</v>
      </c>
      <c r="J119" s="3">
        <v>13671.631290322583</v>
      </c>
      <c r="K119" s="3">
        <v>17979.275161290323</v>
      </c>
      <c r="L119" s="3">
        <v>1382.6183870967743</v>
      </c>
      <c r="M119" s="3">
        <v>6425.3206451612905</v>
      </c>
      <c r="N119" s="3"/>
      <c r="O119" s="3">
        <v>10052.554838709681</v>
      </c>
      <c r="P119" s="3">
        <v>4560.8570967741925</v>
      </c>
      <c r="Q119" s="3">
        <v>36637.575161290319</v>
      </c>
      <c r="R119" s="3">
        <v>314.04741935483867</v>
      </c>
    </row>
    <row r="120" spans="1:18">
      <c r="A120" s="2">
        <v>36373</v>
      </c>
      <c r="B120" s="4">
        <v>179.79035171584744</v>
      </c>
      <c r="C120" s="3">
        <v>480.48354838709673</v>
      </c>
      <c r="D120" s="3">
        <v>10201.806451612903</v>
      </c>
      <c r="E120" s="3">
        <v>1005.1744421870968</v>
      </c>
      <c r="F120" s="3"/>
      <c r="G120" s="3">
        <v>5192.4303225806434</v>
      </c>
      <c r="H120" s="3">
        <v>108.78258064516127</v>
      </c>
      <c r="I120" s="3">
        <v>1617.4521612903229</v>
      </c>
      <c r="J120" s="3">
        <v>13207.020967741935</v>
      </c>
      <c r="K120" s="3">
        <v>17646.530967741935</v>
      </c>
      <c r="L120" s="3">
        <v>1327.7151612903226</v>
      </c>
      <c r="M120" s="3">
        <v>6221.9577419354828</v>
      </c>
      <c r="N120" s="3"/>
      <c r="O120" s="3">
        <v>9586.9</v>
      </c>
      <c r="P120" s="3">
        <v>4436.5161290322585</v>
      </c>
      <c r="Q120" s="3">
        <v>34600.362580645167</v>
      </c>
      <c r="R120" s="3">
        <v>304.12612903225806</v>
      </c>
    </row>
    <row r="121" spans="1:18">
      <c r="A121" s="2">
        <v>36404</v>
      </c>
      <c r="B121" s="4">
        <v>182.39461531370503</v>
      </c>
      <c r="C121" s="3">
        <v>519.09</v>
      </c>
      <c r="D121" s="3">
        <v>11314.9</v>
      </c>
      <c r="E121" s="3">
        <v>1035.8332112599999</v>
      </c>
      <c r="F121" s="3"/>
      <c r="G121" s="3">
        <v>4988.536000000001</v>
      </c>
      <c r="H121" s="3">
        <v>98.737333333333325</v>
      </c>
      <c r="I121" s="3">
        <v>1620.336</v>
      </c>
      <c r="J121" s="3">
        <v>13351.748333333335</v>
      </c>
      <c r="K121" s="3">
        <v>17494.37</v>
      </c>
      <c r="L121" s="3">
        <v>1322.740333333333</v>
      </c>
      <c r="M121" s="3">
        <v>6119.1306666666678</v>
      </c>
      <c r="N121" s="3"/>
      <c r="O121" s="3">
        <v>9784.2900000000045</v>
      </c>
      <c r="P121" s="3">
        <v>4639.521333333334</v>
      </c>
      <c r="Q121" s="3">
        <v>35774.44733333333</v>
      </c>
      <c r="R121" s="3">
        <v>310.3723333333333</v>
      </c>
    </row>
    <row r="122" spans="1:18">
      <c r="A122" s="2">
        <v>36434</v>
      </c>
      <c r="B122" s="4">
        <v>179.81193943218236</v>
      </c>
      <c r="C122" s="3">
        <v>530.41193548387082</v>
      </c>
      <c r="D122" s="3">
        <v>11326.677419354839</v>
      </c>
      <c r="E122" s="3">
        <v>964.93537486451623</v>
      </c>
      <c r="F122" s="3"/>
      <c r="G122" s="3">
        <v>5128.9235483870962</v>
      </c>
      <c r="H122" s="3">
        <v>98.445483870967763</v>
      </c>
      <c r="I122" s="3">
        <v>1523.5984838709678</v>
      </c>
      <c r="J122" s="3">
        <v>12782.880000000001</v>
      </c>
      <c r="K122" s="3">
        <v>17715.137741935479</v>
      </c>
      <c r="L122" s="3">
        <v>1301.9951612903228</v>
      </c>
      <c r="M122" s="3">
        <v>6073.5306451612905</v>
      </c>
      <c r="N122" s="3"/>
      <c r="O122" s="3">
        <v>9542.0096774193553</v>
      </c>
      <c r="P122" s="3">
        <v>4659.4193548387093</v>
      </c>
      <c r="Q122" s="3">
        <v>34288.887741935483</v>
      </c>
      <c r="R122" s="3">
        <v>306.82096774193548</v>
      </c>
    </row>
    <row r="123" spans="1:18">
      <c r="A123" s="2">
        <v>36465</v>
      </c>
      <c r="B123" s="4">
        <v>198.1359855611924</v>
      </c>
      <c r="C123" s="3">
        <v>550.73933333333343</v>
      </c>
      <c r="D123" s="3">
        <v>13121.733333333334</v>
      </c>
      <c r="E123" s="3">
        <v>1031.28694071</v>
      </c>
      <c r="F123" s="3"/>
      <c r="G123" s="3">
        <v>6061.1750000000011</v>
      </c>
      <c r="H123" s="3">
        <v>120.74533333333332</v>
      </c>
      <c r="I123" s="3">
        <v>1458.8183333333336</v>
      </c>
      <c r="J123" s="3">
        <v>14459.401333333339</v>
      </c>
      <c r="K123" s="3">
        <v>18462.840666666671</v>
      </c>
      <c r="L123" s="3">
        <v>1394.5986666666672</v>
      </c>
      <c r="M123" s="3">
        <v>6493.1760000000022</v>
      </c>
      <c r="N123" s="3"/>
      <c r="O123" s="3">
        <v>10528.013333333334</v>
      </c>
      <c r="P123" s="3">
        <v>5150.3296666666665</v>
      </c>
      <c r="Q123" s="3">
        <v>35168.883999999998</v>
      </c>
      <c r="R123" s="3">
        <v>332.78199999999998</v>
      </c>
    </row>
    <row r="124" spans="1:18">
      <c r="A124" s="2">
        <v>36495</v>
      </c>
      <c r="B124" s="4">
        <v>195.80451219702147</v>
      </c>
      <c r="C124" s="3">
        <v>550.17032258064523</v>
      </c>
      <c r="D124" s="3">
        <v>15152.290322580646</v>
      </c>
      <c r="E124" s="3">
        <v>1091.8544570967742</v>
      </c>
      <c r="F124" s="3"/>
      <c r="G124" s="3">
        <v>6782.7358064516147</v>
      </c>
      <c r="H124" s="3">
        <v>132.16612903225808</v>
      </c>
      <c r="I124" s="3">
        <v>1405.95564516129</v>
      </c>
      <c r="J124" s="3">
        <v>16263.420322580647</v>
      </c>
      <c r="K124" s="3">
        <v>18404.623548387095</v>
      </c>
      <c r="L124" s="3">
        <v>1430.6064516129031</v>
      </c>
      <c r="M124" s="3">
        <v>6740.8112903225829</v>
      </c>
      <c r="N124" s="3"/>
      <c r="O124" s="3">
        <v>11503.670967741935</v>
      </c>
      <c r="P124" s="3">
        <v>5603.7877419354836</v>
      </c>
      <c r="Q124" s="3">
        <v>39609.289677419372</v>
      </c>
      <c r="R124" s="3">
        <v>359.56129032258065</v>
      </c>
    </row>
    <row r="125" spans="1:18">
      <c r="A125" s="2">
        <v>36526</v>
      </c>
      <c r="B125" s="4">
        <v>221.62930849258137</v>
      </c>
      <c r="C125" s="3">
        <v>554.95967741935488</v>
      </c>
      <c r="D125" s="3">
        <v>16940.484193548389</v>
      </c>
      <c r="E125" s="3">
        <v>1168.6245536451613</v>
      </c>
      <c r="F125" s="3"/>
      <c r="G125" s="3">
        <v>7013.430000000003</v>
      </c>
      <c r="H125" s="3">
        <v>196.0706451612904</v>
      </c>
      <c r="I125" s="3">
        <v>1460.9020322580645</v>
      </c>
      <c r="J125" s="3">
        <v>15746.919677419353</v>
      </c>
      <c r="K125" s="3">
        <v>18897.181935483874</v>
      </c>
      <c r="L125" s="3">
        <v>1430.0529032258066</v>
      </c>
      <c r="M125" s="3">
        <v>6515.8822580645146</v>
      </c>
      <c r="N125" s="3"/>
      <c r="O125" s="3">
        <v>11096.832258064513</v>
      </c>
      <c r="P125" s="3">
        <v>5686.6977419354844</v>
      </c>
      <c r="Q125" s="3">
        <v>41133.598709677426</v>
      </c>
      <c r="R125" s="3">
        <v>366.3932258064516</v>
      </c>
    </row>
    <row r="126" spans="1:18">
      <c r="A126" s="2">
        <v>36557</v>
      </c>
      <c r="B126" s="4">
        <v>193.96759378888677</v>
      </c>
      <c r="C126" s="3">
        <v>620.57206896551713</v>
      </c>
      <c r="D126" s="3">
        <v>17818.629655172419</v>
      </c>
      <c r="E126" s="3">
        <v>1162.2209007241381</v>
      </c>
      <c r="F126" s="3"/>
      <c r="G126" s="3">
        <v>7374.2058620689668</v>
      </c>
      <c r="H126" s="3">
        <v>200.93655172413793</v>
      </c>
      <c r="I126" s="3">
        <v>1603.1184482758622</v>
      </c>
      <c r="J126" s="3">
        <v>16647.847241379302</v>
      </c>
      <c r="K126" s="3">
        <v>19709.682758620693</v>
      </c>
      <c r="L126" s="3">
        <v>1382.9465517241379</v>
      </c>
      <c r="M126" s="3">
        <v>6180.3917241379331</v>
      </c>
      <c r="N126" s="3"/>
      <c r="O126" s="3">
        <v>12119.527586206899</v>
      </c>
      <c r="P126" s="3">
        <v>6144.4506896551738</v>
      </c>
      <c r="Q126" s="3">
        <v>46039.817241379322</v>
      </c>
      <c r="R126" s="3">
        <v>378.57034482758621</v>
      </c>
    </row>
    <row r="127" spans="1:18">
      <c r="A127" s="2">
        <v>36586</v>
      </c>
      <c r="B127" s="4">
        <v>188.11339762279093</v>
      </c>
      <c r="C127" s="3">
        <v>610.25774193548364</v>
      </c>
      <c r="D127" s="3">
        <v>18149.120645161289</v>
      </c>
      <c r="E127" s="3">
        <v>1129.6959329354841</v>
      </c>
      <c r="F127" s="3"/>
      <c r="G127" s="3">
        <v>7992.719322580645</v>
      </c>
      <c r="H127" s="3">
        <v>239.93999999999997</v>
      </c>
      <c r="I127" s="3">
        <v>1718.8901290322583</v>
      </c>
      <c r="J127" s="3">
        <v>17462.440967741932</v>
      </c>
      <c r="K127" s="3">
        <v>19817.252580645159</v>
      </c>
      <c r="L127" s="3">
        <v>1443.975483870968</v>
      </c>
      <c r="M127" s="3">
        <v>6553.5180645161299</v>
      </c>
      <c r="N127" s="3"/>
      <c r="O127" s="3">
        <v>12390.093548387094</v>
      </c>
      <c r="P127" s="3">
        <v>6387.2619354838725</v>
      </c>
      <c r="Q127" s="3">
        <v>47909.59096774194</v>
      </c>
      <c r="R127" s="3">
        <v>398.01774193548391</v>
      </c>
    </row>
    <row r="128" spans="1:18">
      <c r="A128" s="2">
        <v>36617</v>
      </c>
      <c r="B128" s="4">
        <v>181.20925343495145</v>
      </c>
      <c r="C128" s="3">
        <v>532.90333333333319</v>
      </c>
      <c r="D128" s="3">
        <v>15974.427000000001</v>
      </c>
      <c r="E128" s="3">
        <v>1107.0881233666667</v>
      </c>
      <c r="F128" s="3"/>
      <c r="G128" s="3">
        <v>6875.1900000000023</v>
      </c>
      <c r="H128" s="3">
        <v>241.71800000000002</v>
      </c>
      <c r="I128" s="3">
        <v>1820.54</v>
      </c>
      <c r="J128" s="3">
        <v>16053.063333333335</v>
      </c>
      <c r="K128" s="3">
        <v>19495.193999999996</v>
      </c>
      <c r="L128" s="3">
        <v>1457.2403333333336</v>
      </c>
      <c r="M128" s="3">
        <v>6327.5043333333315</v>
      </c>
      <c r="N128" s="3"/>
      <c r="O128" s="3">
        <v>11532.406666666669</v>
      </c>
      <c r="P128" s="3">
        <v>6240.0350000000008</v>
      </c>
      <c r="Q128" s="3">
        <v>44347.523000000001</v>
      </c>
      <c r="R128" s="3">
        <v>384.75100000000009</v>
      </c>
    </row>
    <row r="129" spans="1:18">
      <c r="A129" s="2">
        <v>36647</v>
      </c>
      <c r="B129" s="4">
        <v>162.96174557294702</v>
      </c>
      <c r="C129" s="3">
        <v>463.64774193548385</v>
      </c>
      <c r="D129" s="3">
        <v>14706.552580645161</v>
      </c>
      <c r="E129" s="3">
        <v>1111.415017935484</v>
      </c>
      <c r="F129" s="3"/>
      <c r="G129" s="3">
        <v>6100.7645161290338</v>
      </c>
      <c r="H129" s="3">
        <v>230.43870967741935</v>
      </c>
      <c r="I129" s="3">
        <v>1809.2019032258061</v>
      </c>
      <c r="J129" s="3">
        <v>14669.733548387097</v>
      </c>
      <c r="K129" s="3">
        <v>17207.88935483871</v>
      </c>
      <c r="L129" s="3">
        <v>1414.893225806451</v>
      </c>
      <c r="M129" s="3">
        <v>6210.604193548389</v>
      </c>
      <c r="N129" s="3"/>
      <c r="O129" s="3">
        <v>10945.532258064513</v>
      </c>
      <c r="P129" s="3">
        <v>6342.2103225806468</v>
      </c>
      <c r="Q129" s="3">
        <v>45160.089354838732</v>
      </c>
      <c r="R129" s="3">
        <v>383.26870967741934</v>
      </c>
    </row>
    <row r="130" spans="1:18">
      <c r="A130" s="2">
        <v>36678</v>
      </c>
      <c r="B130" s="4">
        <v>149.70296270397498</v>
      </c>
      <c r="C130" s="3">
        <v>487.85666666666668</v>
      </c>
      <c r="D130" s="3">
        <v>16493.563000000002</v>
      </c>
      <c r="E130" s="3">
        <v>1110.8654288333337</v>
      </c>
      <c r="F130" s="3"/>
      <c r="G130" s="3">
        <v>6520.3813333333337</v>
      </c>
      <c r="H130" s="3">
        <v>216.95733333333337</v>
      </c>
      <c r="I130" s="3">
        <v>1923.5653666666667</v>
      </c>
      <c r="J130" s="3">
        <v>15947.259666666669</v>
      </c>
      <c r="K130" s="3">
        <v>16907.039666666667</v>
      </c>
      <c r="L130" s="3">
        <v>1461.4466666666669</v>
      </c>
      <c r="M130" s="3">
        <v>6466.2293333333328</v>
      </c>
      <c r="N130" s="3"/>
      <c r="O130" s="3">
        <v>10731.946666666667</v>
      </c>
      <c r="P130" s="3">
        <v>6545.9600000000019</v>
      </c>
      <c r="Q130" s="3">
        <v>46082.228333333347</v>
      </c>
      <c r="R130" s="3">
        <v>385.86666666666673</v>
      </c>
    </row>
    <row r="131" spans="1:18">
      <c r="A131" s="2">
        <v>36708</v>
      </c>
      <c r="B131" s="4">
        <v>166.89267246556855</v>
      </c>
      <c r="C131" s="3">
        <v>522.81645161290317</v>
      </c>
      <c r="D131" s="3">
        <v>17059.850645161288</v>
      </c>
      <c r="E131" s="3">
        <v>1110.5365466129033</v>
      </c>
      <c r="F131" s="3"/>
      <c r="G131" s="3">
        <v>7031.1670967741948</v>
      </c>
      <c r="H131" s="3">
        <v>195.52516129032253</v>
      </c>
      <c r="I131" s="3">
        <v>1971.6280645161289</v>
      </c>
      <c r="J131" s="3">
        <v>17209.338387096774</v>
      </c>
      <c r="K131" s="3">
        <v>16947.96</v>
      </c>
      <c r="L131" s="3">
        <v>1471.5067741935486</v>
      </c>
      <c r="M131" s="3">
        <v>6422.5551612903237</v>
      </c>
      <c r="N131" s="3"/>
      <c r="O131" s="3">
        <v>10798.635483870969</v>
      </c>
      <c r="P131" s="3">
        <v>6504.9132258064519</v>
      </c>
      <c r="Q131" s="3">
        <v>47239.4141935484</v>
      </c>
      <c r="R131" s="3">
        <v>386.15580645161305</v>
      </c>
    </row>
    <row r="132" spans="1:18">
      <c r="A132" s="2">
        <v>36739</v>
      </c>
      <c r="B132" s="4">
        <v>147.84641909917224</v>
      </c>
      <c r="C132" s="3">
        <v>479.55935483870962</v>
      </c>
      <c r="D132" s="3">
        <v>17198.239677419355</v>
      </c>
      <c r="E132" s="3">
        <v>1115.0087643225806</v>
      </c>
      <c r="F132" s="3"/>
      <c r="G132" s="3">
        <v>6450.9699999999993</v>
      </c>
      <c r="H132" s="3">
        <v>229.29451612903227</v>
      </c>
      <c r="I132" s="3">
        <v>2066.2381935483877</v>
      </c>
      <c r="J132" s="3">
        <v>17327.801935483865</v>
      </c>
      <c r="K132" s="3">
        <v>16307.769677419356</v>
      </c>
      <c r="L132" s="3">
        <v>1484.8845161290317</v>
      </c>
      <c r="M132" s="3">
        <v>6478.5367741935479</v>
      </c>
      <c r="N132" s="3"/>
      <c r="O132" s="3">
        <v>10901.132258064516</v>
      </c>
      <c r="P132" s="3">
        <v>6559.2312903225793</v>
      </c>
      <c r="Q132" s="3">
        <v>47196.830967741938</v>
      </c>
      <c r="R132" s="3">
        <v>389.15935483870965</v>
      </c>
    </row>
    <row r="133" spans="1:18">
      <c r="A133" s="2">
        <v>36770</v>
      </c>
      <c r="B133" s="4">
        <v>147.0398235161131</v>
      </c>
      <c r="C133" s="3">
        <v>485.93333333333334</v>
      </c>
      <c r="D133" s="3">
        <v>16751.759666666669</v>
      </c>
      <c r="E133" s="3">
        <v>1126.1659546000001</v>
      </c>
      <c r="F133" s="3"/>
      <c r="G133" s="3">
        <v>6688.1049999999959</v>
      </c>
      <c r="H133" s="3">
        <v>216.24666666666661</v>
      </c>
      <c r="I133" s="3">
        <v>1944.2082999999996</v>
      </c>
      <c r="J133" s="3">
        <v>16279.367333333334</v>
      </c>
      <c r="K133" s="3">
        <v>16195.732666666669</v>
      </c>
      <c r="L133" s="3">
        <v>1472.598666666667</v>
      </c>
      <c r="M133" s="3">
        <v>6468.2480000000014</v>
      </c>
      <c r="N133" s="3"/>
      <c r="O133" s="3">
        <v>11147.099999999999</v>
      </c>
      <c r="P133" s="3">
        <v>6555.5883333333313</v>
      </c>
      <c r="Q133" s="3">
        <v>47038.118000000009</v>
      </c>
      <c r="R133" s="3">
        <v>388.64166666666677</v>
      </c>
    </row>
    <row r="134" spans="1:18">
      <c r="A134" s="2">
        <v>36800</v>
      </c>
      <c r="B134" s="4">
        <v>141.74494545505826</v>
      </c>
      <c r="C134" s="3">
        <v>440.75387096774188</v>
      </c>
      <c r="D134" s="3">
        <v>15112.381290322575</v>
      </c>
      <c r="E134" s="3">
        <v>1058.1622333548387</v>
      </c>
      <c r="F134" s="3"/>
      <c r="G134" s="3">
        <v>6065.3041935483861</v>
      </c>
      <c r="H134" s="3">
        <v>199.33774193548382</v>
      </c>
      <c r="I134" s="3">
        <v>1933.5976129032258</v>
      </c>
      <c r="J134" s="3">
        <v>15209.102903225812</v>
      </c>
      <c r="K134" s="3">
        <v>15338.649032258063</v>
      </c>
      <c r="L134" s="3">
        <v>1391.581290322581</v>
      </c>
      <c r="M134" s="3">
        <v>6298.0974193548373</v>
      </c>
      <c r="N134" s="3"/>
      <c r="O134" s="3">
        <v>10634.987096774195</v>
      </c>
      <c r="P134" s="3">
        <v>6190.8587096774181</v>
      </c>
      <c r="Q134" s="3">
        <v>45342.156774193543</v>
      </c>
      <c r="R134" s="3">
        <v>377.95806451612901</v>
      </c>
    </row>
    <row r="135" spans="1:18">
      <c r="A135" s="2">
        <v>36831</v>
      </c>
      <c r="B135" s="4">
        <v>141.79400844672853</v>
      </c>
      <c r="C135" s="3">
        <v>425.4443333333333</v>
      </c>
      <c r="D135" s="3">
        <v>14436.761333333332</v>
      </c>
      <c r="E135" s="3">
        <v>1099.0458758666668</v>
      </c>
      <c r="F135" s="3"/>
      <c r="G135" s="3">
        <v>6160.2659999999996</v>
      </c>
      <c r="H135" s="3">
        <v>177.62933333333336</v>
      </c>
      <c r="I135" s="3">
        <v>2051.8476000000001</v>
      </c>
      <c r="J135" s="3">
        <v>15084.252333333334</v>
      </c>
      <c r="K135" s="3">
        <v>14724.284333333335</v>
      </c>
      <c r="L135" s="3">
        <v>1373.415</v>
      </c>
      <c r="M135" s="3">
        <v>6368.1573333333326</v>
      </c>
      <c r="N135" s="3"/>
      <c r="O135" s="3">
        <v>9959.6666666666642</v>
      </c>
      <c r="P135" s="3">
        <v>6196.5056666666651</v>
      </c>
      <c r="Q135" s="3">
        <v>47593.089666666659</v>
      </c>
      <c r="R135" s="3">
        <v>378.91666666666669</v>
      </c>
    </row>
    <row r="136" spans="1:18">
      <c r="A136" s="2">
        <v>36861</v>
      </c>
      <c r="B136" s="4">
        <v>139.88251429125506</v>
      </c>
      <c r="C136" s="3">
        <v>412.36000000000013</v>
      </c>
      <c r="D136" s="3">
        <v>14714.118064516128</v>
      </c>
      <c r="E136" s="3">
        <v>1084.8866369999998</v>
      </c>
      <c r="F136" s="3"/>
      <c r="G136" s="3">
        <v>5614.5609677419352</v>
      </c>
      <c r="H136" s="3">
        <v>145.42516129032262</v>
      </c>
      <c r="I136" s="3">
        <v>2066.3797419354837</v>
      </c>
      <c r="J136" s="3">
        <v>14943.348709677422</v>
      </c>
      <c r="K136" s="3">
        <v>14361.233548387097</v>
      </c>
      <c r="L136" s="3">
        <v>1328.1167741935487</v>
      </c>
      <c r="M136" s="3">
        <v>6216.8909677419351</v>
      </c>
      <c r="N136" s="3"/>
      <c r="O136" s="3">
        <v>9259.9322580645166</v>
      </c>
      <c r="P136" s="3">
        <v>5894.1651612903242</v>
      </c>
      <c r="Q136" s="3">
        <v>44518.17193548385</v>
      </c>
      <c r="R136" s="3">
        <v>363.79451612903244</v>
      </c>
    </row>
    <row r="137" spans="1:18">
      <c r="A137" s="2">
        <v>36892</v>
      </c>
      <c r="B137" s="4">
        <v>153.66528991126552</v>
      </c>
      <c r="C137" s="3">
        <v>500.26838709677418</v>
      </c>
      <c r="D137" s="3">
        <v>17094.142580645166</v>
      </c>
      <c r="E137" s="3">
        <v>1114.2918525483869</v>
      </c>
      <c r="F137" s="3"/>
      <c r="G137" s="3">
        <v>6109.792580645164</v>
      </c>
      <c r="H137" s="3">
        <v>162.64548387096778</v>
      </c>
      <c r="I137" s="3">
        <v>2082.7499354838706</v>
      </c>
      <c r="J137" s="3">
        <v>15586.787419354843</v>
      </c>
      <c r="K137" s="3">
        <v>13733.023870967743</v>
      </c>
      <c r="L137" s="3">
        <v>1332.7454838709677</v>
      </c>
      <c r="M137" s="3">
        <v>6200.4364516129035</v>
      </c>
      <c r="N137" s="3"/>
      <c r="O137" s="3">
        <v>9815.0290322580659</v>
      </c>
      <c r="P137" s="3">
        <v>5831.2561290322565</v>
      </c>
      <c r="Q137" s="3">
        <v>43856.495161290317</v>
      </c>
      <c r="R137" s="3">
        <v>356.70225806451606</v>
      </c>
    </row>
    <row r="138" spans="1:18">
      <c r="A138" s="2">
        <v>36923</v>
      </c>
      <c r="B138" s="4">
        <v>161.63311975851633</v>
      </c>
      <c r="C138" s="3">
        <v>487.91857142857134</v>
      </c>
      <c r="D138" s="3">
        <v>16571.264999999996</v>
      </c>
      <c r="E138" s="3">
        <v>1105.5196754642861</v>
      </c>
      <c r="F138" s="3"/>
      <c r="G138" s="3">
        <v>6294.6121428571432</v>
      </c>
      <c r="H138" s="3">
        <v>167.55321428571432</v>
      </c>
      <c r="I138" s="3">
        <v>1968.9066071428572</v>
      </c>
      <c r="J138" s="3">
        <v>15639.541785714286</v>
      </c>
      <c r="K138" s="3">
        <v>13306.354285714284</v>
      </c>
      <c r="L138" s="3">
        <v>1304.7875000000001</v>
      </c>
      <c r="M138" s="3">
        <v>6116.9121428571434</v>
      </c>
      <c r="N138" s="3"/>
      <c r="O138" s="3">
        <v>9766.9142857142851</v>
      </c>
      <c r="P138" s="3">
        <v>5628.5432142857153</v>
      </c>
      <c r="Q138" s="3">
        <v>42146.776428571422</v>
      </c>
      <c r="R138" s="3">
        <v>347.79214285714289</v>
      </c>
    </row>
    <row r="139" spans="1:18">
      <c r="A139" s="2">
        <v>36951</v>
      </c>
      <c r="B139" s="4">
        <v>158.52448860628843</v>
      </c>
      <c r="C139" s="3">
        <v>450.82642857142849</v>
      </c>
      <c r="D139" s="3">
        <v>15332.320714285717</v>
      </c>
      <c r="E139" s="3">
        <v>1071.1924677142858</v>
      </c>
      <c r="F139" s="3"/>
      <c r="G139" s="3">
        <v>5918.9328571428587</v>
      </c>
      <c r="H139" s="3">
        <v>166.6875</v>
      </c>
      <c r="I139" s="3">
        <v>2036.1716785714284</v>
      </c>
      <c r="J139" s="3">
        <v>13447.469642857144</v>
      </c>
      <c r="K139" s="3">
        <v>12665.667142857144</v>
      </c>
      <c r="L139" s="3">
        <v>1184.197142857143</v>
      </c>
      <c r="M139" s="3">
        <v>5701.163571428574</v>
      </c>
      <c r="N139" s="3"/>
      <c r="O139" s="3">
        <v>9356.3535714285681</v>
      </c>
      <c r="P139" s="3">
        <v>5193.4157142857166</v>
      </c>
      <c r="Q139" s="3">
        <v>38375.605714285724</v>
      </c>
      <c r="R139" s="3">
        <v>323.24392857142868</v>
      </c>
    </row>
    <row r="140" spans="1:18">
      <c r="A140" s="2">
        <v>36982</v>
      </c>
      <c r="B140" s="4">
        <v>160.80297393945546</v>
      </c>
      <c r="C140" s="3">
        <v>443.59600000000006</v>
      </c>
      <c r="D140" s="3">
        <v>14473.640666666666</v>
      </c>
      <c r="E140" s="3">
        <v>1068.6323545333335</v>
      </c>
      <c r="F140" s="3"/>
      <c r="G140" s="3">
        <v>5894.9483333333328</v>
      </c>
      <c r="H140" s="3">
        <v>169.39166666666668</v>
      </c>
      <c r="I140" s="3">
        <v>2133.0270999999998</v>
      </c>
      <c r="J140" s="3">
        <v>12919.149333333331</v>
      </c>
      <c r="K140" s="3">
        <v>13470.322666666667</v>
      </c>
      <c r="L140" s="3">
        <v>1191.8833333333337</v>
      </c>
      <c r="M140" s="3">
        <v>5771.8513333333358</v>
      </c>
      <c r="N140" s="3"/>
      <c r="O140" s="3">
        <v>9501.5866666666643</v>
      </c>
      <c r="P140" s="3">
        <v>5351.2296666666671</v>
      </c>
      <c r="Q140" s="3">
        <v>39796.39166666667</v>
      </c>
      <c r="R140" s="3">
        <v>328.29566666666665</v>
      </c>
    </row>
    <row r="141" spans="1:18">
      <c r="A141" s="2">
        <v>37012</v>
      </c>
      <c r="B141" s="4">
        <v>173.45926327071666</v>
      </c>
      <c r="C141" s="3">
        <v>432.63290322580639</v>
      </c>
      <c r="D141" s="3">
        <v>14697.596774193549</v>
      </c>
      <c r="E141" s="3">
        <v>1156.1767106774196</v>
      </c>
      <c r="F141" s="3"/>
      <c r="G141" s="3">
        <v>6344.2058064516141</v>
      </c>
      <c r="H141" s="3">
        <v>193.70935483870974</v>
      </c>
      <c r="I141" s="3">
        <v>2170.2726774193552</v>
      </c>
      <c r="J141" s="3">
        <v>13569.918709677415</v>
      </c>
      <c r="K141" s="3">
        <v>14017.685161290325</v>
      </c>
      <c r="L141" s="3">
        <v>1270.6535483870966</v>
      </c>
      <c r="M141" s="3">
        <v>5881.5516129032239</v>
      </c>
      <c r="N141" s="3"/>
      <c r="O141" s="3">
        <v>9609.4645161290337</v>
      </c>
      <c r="P141" s="3">
        <v>5559.3516129032259</v>
      </c>
      <c r="Q141" s="3">
        <v>40116.212258064515</v>
      </c>
      <c r="R141" s="3">
        <v>342.02580645161294</v>
      </c>
    </row>
    <row r="142" spans="1:18">
      <c r="A142" s="2">
        <v>37043</v>
      </c>
      <c r="B142" s="4">
        <v>173.48085098705158</v>
      </c>
      <c r="C142" s="3">
        <v>431.91700000000009</v>
      </c>
      <c r="D142" s="3">
        <v>14898.004333333325</v>
      </c>
      <c r="E142" s="3">
        <v>1187.60907</v>
      </c>
      <c r="F142" s="3"/>
      <c r="G142" s="3">
        <v>6645.881666666668</v>
      </c>
      <c r="H142" s="3">
        <v>219.2326666666666</v>
      </c>
      <c r="I142" s="3">
        <v>2214.3620999999998</v>
      </c>
      <c r="J142" s="3">
        <v>13261.174000000005</v>
      </c>
      <c r="K142" s="3">
        <v>13016.53033333333</v>
      </c>
      <c r="L142" s="3">
        <v>1238.9353333333331</v>
      </c>
      <c r="M142" s="3">
        <v>5758.4816666666684</v>
      </c>
      <c r="N142" s="3"/>
      <c r="O142" s="3">
        <v>9244.1066666666684</v>
      </c>
      <c r="P142" s="3">
        <v>5293.0566666666664</v>
      </c>
      <c r="Q142" s="3">
        <v>37802.054000000004</v>
      </c>
      <c r="R142" s="3">
        <v>332.67200000000008</v>
      </c>
    </row>
    <row r="143" spans="1:18">
      <c r="A143" s="2">
        <v>37073</v>
      </c>
      <c r="B143" s="4">
        <v>123.16853068228887</v>
      </c>
      <c r="C143" s="3">
        <v>343.76322580645154</v>
      </c>
      <c r="D143" s="3">
        <v>13977.342903225805</v>
      </c>
      <c r="E143" s="3">
        <v>1171.3417370967741</v>
      </c>
      <c r="F143" s="3"/>
      <c r="G143" s="3">
        <v>6548.0703225806437</v>
      </c>
      <c r="H143" s="3">
        <v>207.85225806451612</v>
      </c>
      <c r="I143" s="3">
        <v>2142.5085483870967</v>
      </c>
      <c r="J143" s="3">
        <v>12557.821612903223</v>
      </c>
      <c r="K143" s="3">
        <v>12154.393870967746</v>
      </c>
      <c r="L143" s="3">
        <v>1206.3929032258065</v>
      </c>
      <c r="M143" s="3">
        <v>5465.4306451612902</v>
      </c>
      <c r="N143" s="3"/>
      <c r="O143" s="3">
        <v>8429.4580645161295</v>
      </c>
      <c r="P143" s="3">
        <v>4994.2590322580645</v>
      </c>
      <c r="Q143" s="3">
        <v>36334.838709677417</v>
      </c>
      <c r="R143" s="3">
        <v>315.36032258064517</v>
      </c>
    </row>
    <row r="144" spans="1:18">
      <c r="A144" s="2">
        <v>37104</v>
      </c>
      <c r="B144" s="4">
        <v>122.31840840306214</v>
      </c>
      <c r="C144" s="3">
        <v>318.44322580645161</v>
      </c>
      <c r="D144" s="3">
        <v>13422.627419354834</v>
      </c>
      <c r="E144" s="3">
        <v>1229.1227612580647</v>
      </c>
      <c r="F144" s="3"/>
      <c r="G144" s="3">
        <v>6477.9283870967756</v>
      </c>
      <c r="H144" s="3">
        <v>192.15354838709678</v>
      </c>
      <c r="I144" s="3">
        <v>1914.7336451612907</v>
      </c>
      <c r="J144" s="3">
        <v>11701.678387096774</v>
      </c>
      <c r="K144" s="3">
        <v>11594.531935483872</v>
      </c>
      <c r="L144" s="3">
        <v>1180.9177419354839</v>
      </c>
      <c r="M144" s="3">
        <v>5445.9806451612922</v>
      </c>
      <c r="N144" s="3"/>
      <c r="O144" s="3">
        <v>8391.8419354838716</v>
      </c>
      <c r="P144" s="3">
        <v>4896.9170967741929</v>
      </c>
      <c r="Q144" s="3">
        <v>35842.479354838702</v>
      </c>
      <c r="R144" s="3">
        <v>305.6854838709678</v>
      </c>
    </row>
    <row r="145" spans="1:18">
      <c r="A145" s="2">
        <v>37135</v>
      </c>
      <c r="B145" s="4">
        <v>124.23905732505766</v>
      </c>
      <c r="C145" s="3">
        <v>271.98413793103452</v>
      </c>
      <c r="D145" s="3">
        <v>11166.269310344825</v>
      </c>
      <c r="E145" s="3">
        <v>1160.2285585517241</v>
      </c>
      <c r="F145" s="3"/>
      <c r="G145" s="3">
        <v>5576.6796551724137</v>
      </c>
      <c r="H145" s="3">
        <v>183.62620689655168</v>
      </c>
      <c r="I145" s="3">
        <v>1814.3230344827587</v>
      </c>
      <c r="J145" s="3">
        <v>9922.8658620689694</v>
      </c>
      <c r="K145" s="3">
        <v>10021.50482758621</v>
      </c>
      <c r="L145" s="3">
        <v>1059.2462068965519</v>
      </c>
      <c r="M145" s="3">
        <v>4896.6968965517262</v>
      </c>
      <c r="N145" s="3"/>
      <c r="O145" s="3">
        <v>7350.5448275862054</v>
      </c>
      <c r="P145" s="3">
        <v>4138.8662068965514</v>
      </c>
      <c r="Q145" s="3">
        <v>29160.851379310348</v>
      </c>
      <c r="R145" s="3">
        <v>266.70448275862066</v>
      </c>
    </row>
    <row r="146" spans="1:18">
      <c r="A146" s="2">
        <v>37165</v>
      </c>
      <c r="B146" s="4">
        <v>134.8482129748952</v>
      </c>
      <c r="C146" s="3">
        <v>234.17400000000001</v>
      </c>
      <c r="D146" s="3">
        <v>10999.401666666668</v>
      </c>
      <c r="E146" s="3">
        <v>1086.8188417666665</v>
      </c>
      <c r="F146" s="3"/>
      <c r="G146" s="3">
        <v>5582.5113333333329</v>
      </c>
      <c r="H146" s="3">
        <v>172.95366666666669</v>
      </c>
      <c r="I146" s="3">
        <v>1682.3438999999996</v>
      </c>
      <c r="J146" s="3">
        <v>10151.823999999999</v>
      </c>
      <c r="K146" s="3">
        <v>10466.669000000002</v>
      </c>
      <c r="L146" s="3">
        <v>1079.0813333333333</v>
      </c>
      <c r="M146" s="3">
        <v>5070.6836666666668</v>
      </c>
      <c r="N146" s="3"/>
      <c r="O146" s="3">
        <v>7604.8600000000006</v>
      </c>
      <c r="P146" s="3">
        <v>4291.6516666666666</v>
      </c>
      <c r="Q146" s="3">
        <v>30289.308000000001</v>
      </c>
      <c r="R146" s="3">
        <v>275.53233333333333</v>
      </c>
    </row>
    <row r="147" spans="1:18">
      <c r="A147" s="2">
        <v>37196</v>
      </c>
      <c r="B147" s="4">
        <v>148.02607973108226</v>
      </c>
      <c r="C147" s="3">
        <v>220.16241379310335</v>
      </c>
      <c r="D147" s="3">
        <v>12746.553103448277</v>
      </c>
      <c r="E147" s="3">
        <v>1189.6138354482759</v>
      </c>
      <c r="F147" s="3"/>
      <c r="G147" s="3">
        <v>5699.0710344827576</v>
      </c>
      <c r="H147" s="3">
        <v>205.70758620689651</v>
      </c>
      <c r="I147" s="3">
        <v>1673.1283793103448</v>
      </c>
      <c r="J147" s="3">
        <v>10907.957241379308</v>
      </c>
      <c r="K147" s="3">
        <v>10515.150344827585</v>
      </c>
      <c r="L147" s="3">
        <v>1129.8682758620691</v>
      </c>
      <c r="M147" s="3">
        <v>5245.4265517241383</v>
      </c>
      <c r="N147" s="3"/>
      <c r="O147" s="3">
        <v>8309.1206896551739</v>
      </c>
      <c r="P147" s="3">
        <v>4519.5993103448291</v>
      </c>
      <c r="Q147" s="3">
        <v>31785.78413793103</v>
      </c>
      <c r="R147" s="3">
        <v>292.01586206896548</v>
      </c>
    </row>
    <row r="148" spans="1:18">
      <c r="A148" s="2">
        <v>37226</v>
      </c>
      <c r="B148" s="4">
        <v>152.77692998204668</v>
      </c>
      <c r="C148" s="3">
        <v>267.03500000000008</v>
      </c>
      <c r="D148" s="3">
        <v>13298.751333333341</v>
      </c>
      <c r="E148" s="3">
        <v>1188.5633998333335</v>
      </c>
      <c r="F148" s="3"/>
      <c r="G148" s="3">
        <v>6204.7003333333323</v>
      </c>
      <c r="H148" s="3">
        <v>225.15566666666672</v>
      </c>
      <c r="I148" s="3">
        <v>1688.3051999999996</v>
      </c>
      <c r="J148" s="3">
        <v>11481.025000000005</v>
      </c>
      <c r="K148" s="3">
        <v>10524.617999999999</v>
      </c>
      <c r="L148" s="3">
        <v>1145.0626666666669</v>
      </c>
      <c r="M148" s="3">
        <v>5183.3940000000011</v>
      </c>
      <c r="N148" s="3"/>
      <c r="O148" s="3">
        <v>8440.9233333333323</v>
      </c>
      <c r="P148" s="3">
        <v>4524.4983333333339</v>
      </c>
      <c r="Q148" s="3">
        <v>32023.442666666662</v>
      </c>
      <c r="R148" s="3">
        <v>292.37217217333335</v>
      </c>
    </row>
    <row r="149" spans="1:18">
      <c r="A149" s="2">
        <v>37257</v>
      </c>
      <c r="B149" s="4">
        <v>162.27429016746524</v>
      </c>
      <c r="C149" s="3">
        <v>378.42300000000012</v>
      </c>
      <c r="D149" s="3">
        <v>13463.838666666668</v>
      </c>
      <c r="E149" s="3">
        <v>1159.7964977333334</v>
      </c>
      <c r="F149" s="3"/>
      <c r="G149" s="3">
        <v>6613.5623333333324</v>
      </c>
      <c r="H149" s="3">
        <v>260.13899999999995</v>
      </c>
      <c r="I149" s="3">
        <v>1498.5893666666666</v>
      </c>
      <c r="J149" s="3">
        <v>11143.726666666667</v>
      </c>
      <c r="K149" s="3">
        <v>10371.382</v>
      </c>
      <c r="L149" s="3">
        <v>1141.4893333333337</v>
      </c>
      <c r="M149" s="3">
        <v>5196.9049999999988</v>
      </c>
      <c r="N149" s="3"/>
      <c r="O149" s="3">
        <v>8123.6399999999994</v>
      </c>
      <c r="P149" s="3">
        <v>4526.3106666666672</v>
      </c>
      <c r="Q149" s="3">
        <v>32084.365666666665</v>
      </c>
      <c r="R149" s="3">
        <v>293.51900000000006</v>
      </c>
    </row>
    <row r="150" spans="1:18">
      <c r="A150" s="2">
        <v>37288</v>
      </c>
      <c r="B150" s="4">
        <v>155.61083521444695</v>
      </c>
      <c r="C150" s="3">
        <v>407.96222222222218</v>
      </c>
      <c r="D150" s="3">
        <v>13104.188148148145</v>
      </c>
      <c r="E150" s="3">
        <v>1137.609331925926</v>
      </c>
      <c r="F150" s="3"/>
      <c r="G150" s="3">
        <v>6700.7855555555552</v>
      </c>
      <c r="H150" s="3">
        <v>262.30518518518522</v>
      </c>
      <c r="I150" s="3">
        <v>1508.0995185185193</v>
      </c>
      <c r="J150" s="3">
        <v>10706.127777777778</v>
      </c>
      <c r="K150" s="3">
        <v>9953.5351851851883</v>
      </c>
      <c r="L150" s="3">
        <v>1101.9233333333334</v>
      </c>
      <c r="M150" s="3">
        <v>5132.8681481481462</v>
      </c>
      <c r="N150" s="3"/>
      <c r="O150" s="3">
        <v>7884.637037037036</v>
      </c>
      <c r="P150" s="3">
        <v>4344.7588888888895</v>
      </c>
      <c r="Q150" s="3">
        <v>30946.939629629625</v>
      </c>
      <c r="R150" s="3">
        <v>286.98148148148147</v>
      </c>
    </row>
    <row r="151" spans="1:18">
      <c r="A151" s="2">
        <v>37316</v>
      </c>
      <c r="B151" s="4">
        <v>157.53571428571428</v>
      </c>
      <c r="C151" s="3">
        <v>407.5836666666666</v>
      </c>
      <c r="D151" s="3">
        <v>13845.063333333332</v>
      </c>
      <c r="E151" s="3">
        <v>1182.1975075000003</v>
      </c>
      <c r="F151" s="3"/>
      <c r="G151" s="3">
        <v>7257.9409999999971</v>
      </c>
      <c r="H151" s="3">
        <v>286.87299999999993</v>
      </c>
      <c r="I151" s="3">
        <v>1625.3826333333334</v>
      </c>
      <c r="J151" s="3">
        <v>11027.605</v>
      </c>
      <c r="K151" s="3">
        <v>11437.410666666667</v>
      </c>
      <c r="L151" s="3">
        <v>1153.6036666666666</v>
      </c>
      <c r="M151" s="3">
        <v>5256.3396666666677</v>
      </c>
      <c r="N151" s="3"/>
      <c r="O151" s="3">
        <v>8299.7866666666687</v>
      </c>
      <c r="P151" s="3">
        <v>4602.5619999999999</v>
      </c>
      <c r="Q151" s="3">
        <v>33176.741000000009</v>
      </c>
      <c r="R151" s="3">
        <v>299.50400000000002</v>
      </c>
    </row>
    <row r="152" spans="1:18">
      <c r="A152" s="2">
        <v>37347</v>
      </c>
      <c r="B152" s="4">
        <v>163.14335060449048</v>
      </c>
      <c r="C152" s="3">
        <v>404.67275862068976</v>
      </c>
      <c r="D152" s="3">
        <v>13343.902758620687</v>
      </c>
      <c r="E152" s="3">
        <v>1144.7484374482758</v>
      </c>
      <c r="F152" s="3"/>
      <c r="G152" s="3">
        <v>7420.7520689655175</v>
      </c>
      <c r="H152" s="3">
        <v>322.16379310344826</v>
      </c>
      <c r="I152" s="3">
        <v>1637.4827586206898</v>
      </c>
      <c r="J152" s="3">
        <v>11042.14931034483</v>
      </c>
      <c r="K152" s="3">
        <v>11391.59862068966</v>
      </c>
      <c r="L152" s="3">
        <v>1111.1796551724135</v>
      </c>
      <c r="M152" s="3">
        <v>5208.2103448275866</v>
      </c>
      <c r="N152" s="3"/>
      <c r="O152" s="3">
        <v>8208.2103448275848</v>
      </c>
      <c r="P152" s="3">
        <v>4527.3703448275865</v>
      </c>
      <c r="Q152" s="3">
        <v>33071.997931034486</v>
      </c>
      <c r="R152" s="3">
        <v>295.88344827586212</v>
      </c>
    </row>
    <row r="153" spans="1:18">
      <c r="A153" s="2">
        <v>37377</v>
      </c>
      <c r="B153" s="4">
        <v>179.28067165254291</v>
      </c>
      <c r="C153" s="3">
        <v>370.34419354838695</v>
      </c>
      <c r="D153" s="3">
        <v>12545.843548387094</v>
      </c>
      <c r="E153" s="3">
        <v>1132.6427796451612</v>
      </c>
      <c r="F153" s="3"/>
      <c r="G153" s="3">
        <v>7390.6712903225807</v>
      </c>
      <c r="H153" s="3">
        <v>340.93838709677425</v>
      </c>
      <c r="I153" s="3">
        <v>1599.1635161290319</v>
      </c>
      <c r="J153" s="3">
        <v>11706.926129032259</v>
      </c>
      <c r="K153" s="3">
        <v>11703.727419354844</v>
      </c>
      <c r="L153" s="3">
        <v>1079.5277419354838</v>
      </c>
      <c r="M153" s="3">
        <v>5174.7406451612906</v>
      </c>
      <c r="N153" s="3"/>
      <c r="O153" s="3">
        <v>7993.2129032258099</v>
      </c>
      <c r="P153" s="3">
        <v>4372.003548387097</v>
      </c>
      <c r="Q153" s="3">
        <v>31359.05032258065</v>
      </c>
      <c r="R153" s="3">
        <v>286.43032258064517</v>
      </c>
    </row>
    <row r="154" spans="1:18">
      <c r="A154" s="2">
        <v>37408</v>
      </c>
      <c r="B154" s="4">
        <v>195.51291906240712</v>
      </c>
      <c r="C154" s="3">
        <v>303.75733333333324</v>
      </c>
      <c r="D154" s="3">
        <v>11682.444333333331</v>
      </c>
      <c r="E154" s="3">
        <v>1062.0011043333334</v>
      </c>
      <c r="F154" s="3"/>
      <c r="G154" s="3">
        <v>6693.7576666666691</v>
      </c>
      <c r="H154" s="3">
        <v>319.512</v>
      </c>
      <c r="I154" s="3">
        <v>1564.1838333333333</v>
      </c>
      <c r="J154" s="3">
        <v>10945.820333333331</v>
      </c>
      <c r="K154" s="3">
        <v>10983.854000000001</v>
      </c>
      <c r="L154" s="3">
        <v>1014.7576666666668</v>
      </c>
      <c r="M154" s="3">
        <v>4771.610999999999</v>
      </c>
      <c r="N154" s="3"/>
      <c r="O154" s="3">
        <v>7249.5699999999988</v>
      </c>
      <c r="P154" s="3">
        <v>3948.7156666666674</v>
      </c>
      <c r="Q154" s="3">
        <v>28409.980666666674</v>
      </c>
      <c r="R154" s="3">
        <v>259.30933333333331</v>
      </c>
    </row>
    <row r="155" spans="1:18">
      <c r="A155" s="2">
        <v>37438</v>
      </c>
      <c r="B155" s="4">
        <v>138.76166666666666</v>
      </c>
      <c r="C155" s="3">
        <v>372.38387096774193</v>
      </c>
      <c r="D155" s="3">
        <v>10322.688387096776</v>
      </c>
      <c r="E155" s="3">
        <v>986.48153518387119</v>
      </c>
      <c r="F155" s="3"/>
      <c r="G155" s="3">
        <v>6256.9977419354836</v>
      </c>
      <c r="H155" s="3">
        <v>305.20806451612901</v>
      </c>
      <c r="I155" s="3">
        <v>1696.2831290322579</v>
      </c>
      <c r="J155" s="3">
        <v>10405.079999999998</v>
      </c>
      <c r="K155" s="3">
        <v>10340.127741935486</v>
      </c>
      <c r="L155" s="3">
        <v>905.00064516128998</v>
      </c>
      <c r="M155" s="3">
        <v>4238.2441935483876</v>
      </c>
      <c r="N155" s="3"/>
      <c r="O155" s="3">
        <v>6590.467741935483</v>
      </c>
      <c r="P155" s="3">
        <v>3470.9499999999994</v>
      </c>
      <c r="Q155" s="3">
        <v>25906.564838709673</v>
      </c>
      <c r="R155" s="3">
        <v>231.7103225806452</v>
      </c>
    </row>
    <row r="156" spans="1:18">
      <c r="A156" s="2">
        <v>37469</v>
      </c>
      <c r="B156" s="4">
        <v>137.41249999999999</v>
      </c>
      <c r="C156" s="3">
        <v>373.32032258064515</v>
      </c>
      <c r="D156" s="3">
        <v>9802.4016129032261</v>
      </c>
      <c r="E156" s="3">
        <v>1038.4257210322583</v>
      </c>
      <c r="F156" s="3"/>
      <c r="G156" s="3">
        <v>6019.6874193548401</v>
      </c>
      <c r="H156" s="3">
        <v>291.7354838709677</v>
      </c>
      <c r="I156" s="3">
        <v>1660.5644193548387</v>
      </c>
      <c r="J156" s="3">
        <v>10117.606774193549</v>
      </c>
      <c r="K156" s="3">
        <v>9770.1890322580657</v>
      </c>
      <c r="L156" s="3">
        <v>912.16967741935491</v>
      </c>
      <c r="M156" s="3">
        <v>4265.3025806451624</v>
      </c>
      <c r="N156" s="3"/>
      <c r="O156" s="3">
        <v>6351.5451612903253</v>
      </c>
      <c r="P156" s="3">
        <v>3386.70806451613</v>
      </c>
      <c r="Q156" s="3">
        <v>25475.602258064515</v>
      </c>
      <c r="R156" s="3">
        <v>226.70451612903227</v>
      </c>
    </row>
    <row r="157" spans="1:18">
      <c r="A157" s="2">
        <v>37500</v>
      </c>
      <c r="B157" s="4">
        <v>138.97380952380951</v>
      </c>
      <c r="C157" s="3">
        <v>380.84266666666673</v>
      </c>
      <c r="D157" s="3">
        <v>9643.4833333333354</v>
      </c>
      <c r="E157" s="3">
        <v>980.15459851999981</v>
      </c>
      <c r="F157" s="3"/>
      <c r="G157" s="3">
        <v>6000.7383333333337</v>
      </c>
      <c r="H157" s="3">
        <v>290.113</v>
      </c>
      <c r="I157" s="3">
        <v>1617.5732666666665</v>
      </c>
      <c r="J157" s="3">
        <v>9558.1386666666676</v>
      </c>
      <c r="K157" s="3">
        <v>9361.1169999999966</v>
      </c>
      <c r="L157" s="3">
        <v>870.04533333333325</v>
      </c>
      <c r="M157" s="3">
        <v>3969.4453333333336</v>
      </c>
      <c r="N157" s="3"/>
      <c r="O157" s="3">
        <v>5971.8766666666679</v>
      </c>
      <c r="P157" s="3">
        <v>3072.9623333333338</v>
      </c>
      <c r="Q157" s="3">
        <v>23591.734333333327</v>
      </c>
      <c r="R157" s="3">
        <v>210.69733333333335</v>
      </c>
    </row>
    <row r="158" spans="1:18">
      <c r="A158" s="2">
        <v>37530</v>
      </c>
      <c r="B158" s="4">
        <v>150.30181818181819</v>
      </c>
      <c r="C158" s="3">
        <v>425.52677419354842</v>
      </c>
      <c r="D158" s="3">
        <v>9207.8758064516151</v>
      </c>
      <c r="E158" s="3">
        <v>923.33938902580644</v>
      </c>
      <c r="F158" s="3"/>
      <c r="G158" s="3">
        <v>5906.2819354838712</v>
      </c>
      <c r="H158" s="3">
        <v>303.84161290322578</v>
      </c>
      <c r="I158" s="3">
        <v>1538.3227419354837</v>
      </c>
      <c r="J158" s="3">
        <v>9338.9622580645173</v>
      </c>
      <c r="K158" s="3">
        <v>8796.8925806451625</v>
      </c>
      <c r="L158" s="3">
        <v>854.59354838709692</v>
      </c>
      <c r="M158" s="3">
        <v>3973.636129032257</v>
      </c>
      <c r="N158" s="3"/>
      <c r="O158" s="3">
        <v>5799.7774193548385</v>
      </c>
      <c r="P158" s="3">
        <v>2967.965483870968</v>
      </c>
      <c r="Q158" s="3">
        <v>22328.274838709673</v>
      </c>
      <c r="R158" s="3">
        <v>205.57612903225805</v>
      </c>
    </row>
    <row r="159" spans="1:18">
      <c r="A159" s="2">
        <v>37561</v>
      </c>
      <c r="B159" s="4">
        <v>165.01947368421051</v>
      </c>
      <c r="C159" s="3">
        <v>459.97400000000005</v>
      </c>
      <c r="D159" s="3">
        <v>10052.531333333334</v>
      </c>
      <c r="E159" s="3">
        <v>960.02524056333345</v>
      </c>
      <c r="F159" s="3"/>
      <c r="G159" s="3">
        <v>5930.3036666666649</v>
      </c>
      <c r="H159" s="3">
        <v>311.0533299999999</v>
      </c>
      <c r="I159" s="3">
        <v>1465.9680333333336</v>
      </c>
      <c r="J159" s="3">
        <v>9835.4329999999991</v>
      </c>
      <c r="K159" s="3">
        <v>8707.104666666668</v>
      </c>
      <c r="L159" s="3">
        <v>911.5296666666668</v>
      </c>
      <c r="M159" s="3">
        <v>4096.9963333333335</v>
      </c>
      <c r="N159" s="3"/>
      <c r="O159" s="3">
        <v>6334.4766666666683</v>
      </c>
      <c r="P159" s="3">
        <v>3187.9086666666658</v>
      </c>
      <c r="Q159" s="3">
        <v>24297.020666666667</v>
      </c>
      <c r="R159" s="3">
        <v>215.82700000000008</v>
      </c>
    </row>
    <row r="160" spans="1:18">
      <c r="A160" s="2">
        <v>37591</v>
      </c>
      <c r="B160" s="4">
        <v>170.19350000000003</v>
      </c>
      <c r="C160" s="3">
        <v>504.89866666666671</v>
      </c>
      <c r="D160" s="3">
        <v>10927.829666666663</v>
      </c>
      <c r="E160" s="3">
        <v>981.0892885400001</v>
      </c>
      <c r="F160" s="3"/>
      <c r="G160" s="3">
        <v>6138.9773333333333</v>
      </c>
      <c r="H160" s="3">
        <v>312.68552999999986</v>
      </c>
      <c r="I160" s="3">
        <v>1402.6982333333335</v>
      </c>
      <c r="J160" s="3">
        <v>9717.1753333333345</v>
      </c>
      <c r="K160" s="3">
        <v>8673.2506666666686</v>
      </c>
      <c r="L160" s="3">
        <v>898.16700000000026</v>
      </c>
      <c r="M160" s="3">
        <v>3941.3833333333332</v>
      </c>
      <c r="N160" s="3"/>
      <c r="O160" s="3">
        <v>6273.5200000000013</v>
      </c>
      <c r="P160" s="3">
        <v>3118.0716666666663</v>
      </c>
      <c r="Q160" s="3">
        <v>24139.955333333332</v>
      </c>
      <c r="R160" s="3">
        <v>208.31833333333336</v>
      </c>
    </row>
    <row r="161" spans="1:18">
      <c r="A161" s="2">
        <v>37622</v>
      </c>
      <c r="B161" s="4">
        <v>180.46523809523811</v>
      </c>
      <c r="C161" s="3">
        <v>562.44193548387102</v>
      </c>
      <c r="D161" s="3">
        <v>11502.247741935487</v>
      </c>
      <c r="E161" s="3">
        <v>1009.393870967742</v>
      </c>
      <c r="F161" s="3"/>
      <c r="G161" s="3">
        <v>6176.5164516129034</v>
      </c>
      <c r="H161" s="3">
        <v>314.88050967741941</v>
      </c>
      <c r="I161" s="3">
        <v>1427.2759032258066</v>
      </c>
      <c r="J161" s="3">
        <v>9561.4825806451627</v>
      </c>
      <c r="K161" s="3">
        <v>8580.4464516129028</v>
      </c>
      <c r="L161" s="3">
        <v>896.54354838709696</v>
      </c>
      <c r="M161" s="3">
        <v>3808.2903225806463</v>
      </c>
      <c r="N161" s="3"/>
      <c r="O161" s="3">
        <v>6303.6129032258068</v>
      </c>
      <c r="P161" s="3">
        <v>3050.2583870967756</v>
      </c>
      <c r="Q161" s="3">
        <v>23516.316129032264</v>
      </c>
      <c r="R161" s="3">
        <v>200.26612903225808</v>
      </c>
    </row>
    <row r="162" spans="1:18">
      <c r="A162" s="2">
        <v>37653</v>
      </c>
      <c r="B162" s="4">
        <v>172.339</v>
      </c>
      <c r="C162" s="3">
        <v>576.36000000000013</v>
      </c>
      <c r="D162" s="3">
        <v>10374.380370370367</v>
      </c>
      <c r="E162" s="3">
        <v>1008.6833333333335</v>
      </c>
      <c r="F162" s="3"/>
      <c r="G162" s="3">
        <v>5881.4196296296295</v>
      </c>
      <c r="H162" s="3">
        <v>326.20446296296291</v>
      </c>
      <c r="I162" s="3">
        <v>1500.0454444444447</v>
      </c>
      <c r="J162" s="3">
        <v>9232.2699999999986</v>
      </c>
      <c r="K162" s="3">
        <v>8528.6996296296329</v>
      </c>
      <c r="L162" s="3">
        <v>839.14296296296288</v>
      </c>
      <c r="M162" s="3">
        <v>3640.3748148148152</v>
      </c>
      <c r="N162" s="3"/>
      <c r="O162" s="3">
        <v>5941.0148148148155</v>
      </c>
      <c r="P162" s="3">
        <v>2822.5603703703709</v>
      </c>
      <c r="Q162" s="3">
        <v>22760.581481481477</v>
      </c>
      <c r="R162" s="3">
        <v>185.18407407407409</v>
      </c>
    </row>
    <row r="163" spans="1:18">
      <c r="A163" s="2">
        <v>37681</v>
      </c>
      <c r="B163" s="4">
        <v>174.2345</v>
      </c>
      <c r="C163" s="3">
        <v>573.93161290322575</v>
      </c>
      <c r="D163" s="3">
        <v>10876.943225806453</v>
      </c>
      <c r="E163" s="3">
        <v>1017.2477419354841</v>
      </c>
      <c r="F163" s="3"/>
      <c r="G163" s="3">
        <v>5949.4267741935491</v>
      </c>
      <c r="H163" s="3">
        <v>342.15848064516126</v>
      </c>
      <c r="I163" s="3">
        <v>1484.3396774193552</v>
      </c>
      <c r="J163" s="3">
        <v>8993.3032258064522</v>
      </c>
      <c r="K163" s="3">
        <v>8179.3593548387089</v>
      </c>
      <c r="L163" s="3">
        <v>848.5241935483873</v>
      </c>
      <c r="M163" s="3">
        <v>3646.2332258064525</v>
      </c>
      <c r="N163" s="3"/>
      <c r="O163" s="3">
        <v>5940.6838709677413</v>
      </c>
      <c r="P163" s="3">
        <v>2707.34</v>
      </c>
      <c r="Q163" s="3">
        <v>22149.829677419355</v>
      </c>
      <c r="R163" s="3">
        <v>180.12870967741935</v>
      </c>
    </row>
    <row r="164" spans="1:18">
      <c r="A164" s="2">
        <v>37712</v>
      </c>
      <c r="B164" s="4">
        <v>179.47399999999999</v>
      </c>
      <c r="C164" s="3">
        <v>600.8663333333335</v>
      </c>
      <c r="D164" s="3">
        <v>12104.347666666667</v>
      </c>
      <c r="E164" s="3">
        <v>1068.7699999999998</v>
      </c>
      <c r="F164" s="3"/>
      <c r="G164" s="3">
        <v>6260.8513333333349</v>
      </c>
      <c r="H164" s="3">
        <v>350.10160999999994</v>
      </c>
      <c r="I164" s="3">
        <v>1549.0852666666667</v>
      </c>
      <c r="J164" s="3">
        <v>8626.0200000000023</v>
      </c>
      <c r="K164" s="3">
        <v>7887.8096666666688</v>
      </c>
      <c r="L164" s="3">
        <v>888.77333333333331</v>
      </c>
      <c r="M164" s="3">
        <v>3860.0310000000004</v>
      </c>
      <c r="N164" s="3"/>
      <c r="O164" s="3">
        <v>6454.7033333333338</v>
      </c>
      <c r="P164" s="3">
        <v>2871.0330000000008</v>
      </c>
      <c r="Q164" s="3">
        <v>23297.289999999997</v>
      </c>
      <c r="R164" s="3">
        <v>191.44700000000003</v>
      </c>
    </row>
    <row r="165" spans="1:18">
      <c r="A165" s="2">
        <v>37742</v>
      </c>
      <c r="B165" s="4">
        <v>195.54142857142855</v>
      </c>
      <c r="C165" s="3">
        <v>647.07225806451618</v>
      </c>
      <c r="D165" s="3">
        <v>13086.542258064517</v>
      </c>
      <c r="E165" s="3">
        <v>1198.7409677419357</v>
      </c>
      <c r="F165" s="3"/>
      <c r="G165" s="3">
        <v>6556.350967741937</v>
      </c>
      <c r="H165" s="3">
        <v>395.32838387096774</v>
      </c>
      <c r="I165" s="3">
        <v>1540.5933225806455</v>
      </c>
      <c r="J165" s="3">
        <v>9126.8922580645176</v>
      </c>
      <c r="K165" s="3">
        <v>8123.6822580645185</v>
      </c>
      <c r="L165" s="3">
        <v>936.58225806451617</v>
      </c>
      <c r="M165" s="3">
        <v>3988.7229032258056</v>
      </c>
      <c r="N165" s="3"/>
      <c r="O165" s="3">
        <v>6406.8419354838734</v>
      </c>
      <c r="P165" s="3">
        <v>2952.6474193548388</v>
      </c>
      <c r="Q165" s="3">
        <v>24082.747419354837</v>
      </c>
      <c r="R165" s="3">
        <v>194.32419354838717</v>
      </c>
    </row>
    <row r="166" spans="1:18">
      <c r="A166" s="2">
        <v>37773</v>
      </c>
      <c r="B166" s="4">
        <v>211.95555555555558</v>
      </c>
      <c r="C166" s="3">
        <v>750.59166666666647</v>
      </c>
      <c r="D166" s="3">
        <v>13479.100000000006</v>
      </c>
      <c r="E166" s="3">
        <v>1252.3726666666669</v>
      </c>
      <c r="F166" s="3"/>
      <c r="G166" s="3">
        <v>6982.961666666668</v>
      </c>
      <c r="H166" s="3">
        <v>437.9430000000001</v>
      </c>
      <c r="I166" s="3">
        <v>1539.1906666666664</v>
      </c>
      <c r="J166" s="3">
        <v>9745.2660000000014</v>
      </c>
      <c r="K166" s="3">
        <v>8907.2116666666698</v>
      </c>
      <c r="L166" s="3">
        <v>986.93500000000006</v>
      </c>
      <c r="M166" s="3">
        <v>4119.5793333333331</v>
      </c>
      <c r="N166" s="3"/>
      <c r="O166" s="3">
        <v>6839.4666666666681</v>
      </c>
      <c r="P166" s="3">
        <v>3112.2433333333342</v>
      </c>
      <c r="Q166" s="3">
        <v>25234.203666666665</v>
      </c>
      <c r="R166" s="3">
        <v>204.47199999999992</v>
      </c>
    </row>
    <row r="167" spans="1:18">
      <c r="A167" s="2">
        <v>37803</v>
      </c>
      <c r="B167" s="4">
        <v>225.37565217391312</v>
      </c>
      <c r="C167" s="3">
        <v>730.99935483870934</v>
      </c>
      <c r="D167" s="3">
        <v>13548.037419354836</v>
      </c>
      <c r="E167" s="3">
        <v>1267.0525806451617</v>
      </c>
      <c r="F167" s="3"/>
      <c r="G167" s="3">
        <v>7167.9896774193558</v>
      </c>
      <c r="H167" s="3">
        <v>432.42258064516125</v>
      </c>
      <c r="I167" s="3">
        <v>1503.0763870967742</v>
      </c>
      <c r="J167" s="3">
        <v>9957.8554838709661</v>
      </c>
      <c r="K167" s="3">
        <v>9649.1622580645162</v>
      </c>
      <c r="L167" s="3">
        <v>992.68354838709683</v>
      </c>
      <c r="M167" s="3">
        <v>4077.0141935483866</v>
      </c>
      <c r="N167" s="3"/>
      <c r="O167" s="3">
        <v>6908.9322580645157</v>
      </c>
      <c r="P167" s="3">
        <v>3125.4783870967749</v>
      </c>
      <c r="Q167" s="3">
        <v>24848.750000000004</v>
      </c>
      <c r="R167" s="3">
        <v>205.76387096774192</v>
      </c>
    </row>
    <row r="168" spans="1:18">
      <c r="A168" s="2">
        <v>37834</v>
      </c>
      <c r="B168" s="4">
        <v>219.29052631578944</v>
      </c>
      <c r="C168" s="3">
        <v>717.15258064516149</v>
      </c>
      <c r="D168" s="3">
        <v>14025.512580645163</v>
      </c>
      <c r="E168" s="3">
        <v>1360.7348064516132</v>
      </c>
      <c r="F168" s="3"/>
      <c r="G168" s="3">
        <v>7418.2248387096788</v>
      </c>
      <c r="H168" s="3">
        <v>456.39838709677412</v>
      </c>
      <c r="I168" s="3">
        <v>1454.2467419354844</v>
      </c>
      <c r="J168" s="3">
        <v>10426.894193548385</v>
      </c>
      <c r="K168" s="3">
        <v>9884.8735483870951</v>
      </c>
      <c r="L168" s="3">
        <v>989.64935483870954</v>
      </c>
      <c r="M168" s="3">
        <v>4180.0229032258048</v>
      </c>
      <c r="N168" s="3"/>
      <c r="O168" s="3">
        <v>7073.6709677419331</v>
      </c>
      <c r="P168" s="3">
        <v>3244.077741935484</v>
      </c>
      <c r="Q168" s="3">
        <v>25186.677419354837</v>
      </c>
      <c r="R168" s="3">
        <v>212.50741935483865</v>
      </c>
    </row>
    <row r="169" spans="1:18">
      <c r="A169" s="2">
        <v>37865</v>
      </c>
      <c r="B169" s="4">
        <v>220.93227272727273</v>
      </c>
      <c r="C169" s="3">
        <v>775.33133333333319</v>
      </c>
      <c r="D169" s="3">
        <v>16134.806333333328</v>
      </c>
      <c r="E169" s="3">
        <v>1376.4156333333335</v>
      </c>
      <c r="F169" s="3"/>
      <c r="G169" s="3">
        <v>7773.5370000000003</v>
      </c>
      <c r="H169" s="3">
        <v>500.1816666666669</v>
      </c>
      <c r="I169" s="3">
        <v>1404.7282999999998</v>
      </c>
      <c r="J169" s="3">
        <v>11065.764000000005</v>
      </c>
      <c r="K169" s="3">
        <v>10647.56966666667</v>
      </c>
      <c r="L169" s="3">
        <v>1018.7543333333331</v>
      </c>
      <c r="M169" s="3">
        <v>4232.9159999999993</v>
      </c>
      <c r="N169" s="3"/>
      <c r="O169" s="3">
        <v>7063.586666666667</v>
      </c>
      <c r="P169" s="3">
        <v>3327.8569999999991</v>
      </c>
      <c r="Q169" s="3">
        <v>25581.8</v>
      </c>
      <c r="R169" s="3">
        <v>216.94900000000001</v>
      </c>
    </row>
    <row r="170" spans="1:18">
      <c r="A170" s="2">
        <v>37895</v>
      </c>
      <c r="B170" s="4">
        <v>225.96181818181819</v>
      </c>
      <c r="C170" s="3">
        <v>879.02161290322579</v>
      </c>
      <c r="D170" s="3">
        <v>17732.847741935486</v>
      </c>
      <c r="E170" s="3">
        <v>1529.148483870968</v>
      </c>
      <c r="F170" s="3"/>
      <c r="G170" s="3">
        <v>7888.7525806451586</v>
      </c>
      <c r="H170" s="3">
        <v>541.68516129032275</v>
      </c>
      <c r="I170" s="3">
        <v>1374.7855483870967</v>
      </c>
      <c r="J170" s="3">
        <v>11881.079999999996</v>
      </c>
      <c r="K170" s="3">
        <v>10719.37806451613</v>
      </c>
      <c r="L170" s="3">
        <v>1037.5216129032258</v>
      </c>
      <c r="M170" s="3">
        <v>4290.8361290322573</v>
      </c>
      <c r="N170" s="3"/>
      <c r="O170" s="3">
        <v>6959.5483870967737</v>
      </c>
      <c r="P170" s="3">
        <v>3312.0683870967741</v>
      </c>
      <c r="Q170" s="3">
        <v>25534.290322580644</v>
      </c>
      <c r="R170" s="3">
        <v>217.15290322580648</v>
      </c>
    </row>
    <row r="171" spans="1:18">
      <c r="A171" s="2">
        <v>37926</v>
      </c>
      <c r="B171" s="4">
        <v>237.26722222222224</v>
      </c>
      <c r="C171" s="3">
        <v>951.63275862068986</v>
      </c>
      <c r="D171" s="3">
        <v>19004.806551724141</v>
      </c>
      <c r="E171" s="3">
        <v>1443.4472413793101</v>
      </c>
      <c r="F171" s="3"/>
      <c r="G171" s="3">
        <v>8399.9974137931058</v>
      </c>
      <c r="H171" s="3">
        <v>476.71551724137919</v>
      </c>
      <c r="I171" s="3">
        <v>1358.6295172413793</v>
      </c>
      <c r="J171" s="3">
        <v>12131.247241379306</v>
      </c>
      <c r="K171" s="3">
        <v>10236.998620689654</v>
      </c>
      <c r="L171" s="3">
        <v>1050.5786206896553</v>
      </c>
      <c r="M171" s="3">
        <v>4348.8141379310364</v>
      </c>
      <c r="N171" s="3"/>
      <c r="O171" s="3">
        <v>7214.7482758620681</v>
      </c>
      <c r="P171" s="3">
        <v>3408.2548275862064</v>
      </c>
      <c r="Q171" s="3">
        <v>26599.655172413793</v>
      </c>
      <c r="R171" s="3">
        <v>223.22655172413801</v>
      </c>
    </row>
    <row r="172" spans="1:18">
      <c r="A172" s="2">
        <v>37956</v>
      </c>
      <c r="B172" s="4">
        <v>243.57850000000002</v>
      </c>
      <c r="C172" s="3">
        <v>1020.0238709677418</v>
      </c>
      <c r="D172" s="3">
        <v>21253.533548387091</v>
      </c>
      <c r="E172" s="3">
        <v>1466.1147096774193</v>
      </c>
      <c r="F172" s="3"/>
      <c r="G172" s="3">
        <v>8542.1603225806448</v>
      </c>
      <c r="H172" s="3">
        <v>506.28419354838701</v>
      </c>
      <c r="I172" s="3">
        <v>1471.2068709677421</v>
      </c>
      <c r="J172" s="3">
        <v>12416.536451612905</v>
      </c>
      <c r="K172" s="3">
        <v>10314.673548387096</v>
      </c>
      <c r="L172" s="3">
        <v>1080.9174193548386</v>
      </c>
      <c r="M172" s="3">
        <v>4395.8599999999979</v>
      </c>
      <c r="N172" s="3"/>
      <c r="O172" s="3">
        <v>7525.3645161290324</v>
      </c>
      <c r="P172" s="3">
        <v>3489.139999999999</v>
      </c>
      <c r="Q172" s="3">
        <v>27295.935483870966</v>
      </c>
      <c r="R172" s="3">
        <v>226.08999999999997</v>
      </c>
    </row>
    <row r="173" spans="1:18">
      <c r="A173" s="2">
        <v>37987</v>
      </c>
      <c r="B173" s="4">
        <v>273.19899999999996</v>
      </c>
      <c r="C173" s="3">
        <v>1176.5786666666661</v>
      </c>
      <c r="D173" s="3">
        <v>23329.302333333337</v>
      </c>
      <c r="E173" s="3">
        <v>1460.8764333333334</v>
      </c>
      <c r="F173" s="3"/>
      <c r="G173" s="3">
        <v>9220.2963333333337</v>
      </c>
      <c r="H173" s="3">
        <v>542.1400000000001</v>
      </c>
      <c r="I173" s="3">
        <v>1585.6145000000004</v>
      </c>
      <c r="J173" s="3">
        <v>13316.149666666672</v>
      </c>
      <c r="K173" s="3">
        <v>10880.550666666668</v>
      </c>
      <c r="L173" s="3">
        <v>1130.8513333333331</v>
      </c>
      <c r="M173" s="3">
        <v>4473.7789999999995</v>
      </c>
      <c r="N173" s="3"/>
      <c r="O173" s="3">
        <v>7974.5099999999993</v>
      </c>
      <c r="P173" s="3">
        <v>3633.5713333333342</v>
      </c>
      <c r="Q173" s="3">
        <v>27743.933333333334</v>
      </c>
      <c r="R173" s="3">
        <v>235.19433333333336</v>
      </c>
    </row>
    <row r="174" spans="1:18">
      <c r="A174" s="2">
        <v>38018</v>
      </c>
      <c r="B174" s="4">
        <v>320.32400000000001</v>
      </c>
      <c r="C174" s="3">
        <v>1121.2813793103446</v>
      </c>
      <c r="D174" s="3">
        <v>21902.060344827583</v>
      </c>
      <c r="E174" s="3">
        <v>1470.7205172413794</v>
      </c>
      <c r="F174" s="3"/>
      <c r="G174" s="3">
        <v>9879.6786206896577</v>
      </c>
      <c r="H174" s="3">
        <v>566.58862068965516</v>
      </c>
      <c r="I174" s="3">
        <v>1678.7311034482764</v>
      </c>
      <c r="J174" s="3">
        <v>13601.786896551726</v>
      </c>
      <c r="K174" s="3">
        <v>10645.448620689651</v>
      </c>
      <c r="L174" s="3">
        <v>1143.3086206896553</v>
      </c>
      <c r="M174" s="3">
        <v>4444.7282758620686</v>
      </c>
      <c r="N174" s="3"/>
      <c r="O174" s="3">
        <v>8152.2758620689656</v>
      </c>
      <c r="P174" s="3">
        <v>3680.3937931034488</v>
      </c>
      <c r="Q174" s="3">
        <v>27778.793103448275</v>
      </c>
      <c r="R174" s="3">
        <v>239.74379310344824</v>
      </c>
    </row>
    <row r="175" spans="1:18">
      <c r="A175" s="2">
        <v>38047</v>
      </c>
      <c r="B175" s="4">
        <v>336.70227272727277</v>
      </c>
      <c r="C175" s="3">
        <v>1223.776451612903</v>
      </c>
      <c r="D175" s="3">
        <v>21968.459354838713</v>
      </c>
      <c r="E175" s="3">
        <v>1481.7578064516133</v>
      </c>
      <c r="F175" s="3"/>
      <c r="G175" s="3">
        <v>10110.165161290322</v>
      </c>
      <c r="H175" s="3">
        <v>608.89548387096784</v>
      </c>
      <c r="I175" s="3">
        <v>1708.7600967741935</v>
      </c>
      <c r="J175" s="3">
        <v>12983.196129032258</v>
      </c>
      <c r="K175" s="3">
        <v>11449.137419354842</v>
      </c>
      <c r="L175" s="3">
        <v>1123.9383870967742</v>
      </c>
      <c r="M175" s="3">
        <v>4446.8967741935494</v>
      </c>
      <c r="N175" s="3"/>
      <c r="O175" s="3">
        <v>8046.8290322580633</v>
      </c>
      <c r="P175" s="3">
        <v>3655.9251612903222</v>
      </c>
      <c r="Q175" s="3">
        <v>27434</v>
      </c>
      <c r="R175" s="3">
        <v>238.72580645161284</v>
      </c>
    </row>
    <row r="176" spans="1:18">
      <c r="A176" s="2">
        <v>38078</v>
      </c>
      <c r="B176" s="4">
        <v>368.91749999999996</v>
      </c>
      <c r="C176" s="3">
        <v>1159.7836666666667</v>
      </c>
      <c r="D176" s="3">
        <v>21936.415666666664</v>
      </c>
      <c r="E176" s="3">
        <v>1468.6504000000002</v>
      </c>
      <c r="F176" s="3"/>
      <c r="G176" s="3">
        <v>10627.196333333335</v>
      </c>
      <c r="H176" s="3">
        <v>636.87933333333342</v>
      </c>
      <c r="I176" s="3">
        <v>1694.0419666666664</v>
      </c>
      <c r="J176" s="3">
        <v>12543.528666666669</v>
      </c>
      <c r="K176" s="3">
        <v>11949.959999999994</v>
      </c>
      <c r="L176" s="3">
        <v>1134.8883333333333</v>
      </c>
      <c r="M176" s="3">
        <v>4513.8219999999992</v>
      </c>
      <c r="N176" s="3"/>
      <c r="O176" s="3">
        <v>8316.6766666666699</v>
      </c>
      <c r="P176" s="3">
        <v>3748.984333333332</v>
      </c>
      <c r="Q176" s="3">
        <v>28172.7</v>
      </c>
      <c r="R176" s="3">
        <v>244.12233333333324</v>
      </c>
    </row>
    <row r="177" spans="1:18">
      <c r="A177" s="2">
        <v>38108</v>
      </c>
      <c r="B177" s="4">
        <v>331.04399999999998</v>
      </c>
      <c r="C177" s="3">
        <v>960.59258064516098</v>
      </c>
      <c r="D177" s="3">
        <v>18904.257096774192</v>
      </c>
      <c r="E177" s="3">
        <v>1418.7344838709678</v>
      </c>
      <c r="F177" s="3"/>
      <c r="G177" s="3">
        <v>9880.1612903225814</v>
      </c>
      <c r="H177" s="3">
        <v>555.00064516129032</v>
      </c>
      <c r="I177" s="3">
        <v>1567.9928064516132</v>
      </c>
      <c r="J177" s="3">
        <v>11694.681290322576</v>
      </c>
      <c r="K177" s="3">
        <v>11187.762580645163</v>
      </c>
      <c r="L177" s="3">
        <v>1103.49</v>
      </c>
      <c r="M177" s="3">
        <v>4455.253870967741</v>
      </c>
      <c r="N177" s="3"/>
      <c r="O177" s="3">
        <v>7925.8193548387098</v>
      </c>
      <c r="P177" s="3">
        <v>3633.8025806451615</v>
      </c>
      <c r="Q177" s="3">
        <v>27471.967741935485</v>
      </c>
      <c r="R177" s="3">
        <v>236.40225806451616</v>
      </c>
    </row>
    <row r="178" spans="1:18">
      <c r="A178" s="2">
        <v>38139</v>
      </c>
      <c r="B178" s="4">
        <v>335.30849999999992</v>
      </c>
      <c r="C178" s="3">
        <v>927.34733333333293</v>
      </c>
      <c r="D178" s="3">
        <v>20199.978999999999</v>
      </c>
      <c r="E178" s="3">
        <v>1448.2585000000004</v>
      </c>
      <c r="F178" s="3"/>
      <c r="G178" s="3">
        <v>10160.280333333334</v>
      </c>
      <c r="H178" s="3">
        <v>537.78399999999988</v>
      </c>
      <c r="I178" s="3">
        <v>1464.481233333333</v>
      </c>
      <c r="J178" s="3">
        <v>12124.151000000002</v>
      </c>
      <c r="K178" s="3">
        <v>11508.154000000002</v>
      </c>
      <c r="L178" s="3">
        <v>1132.7069999999997</v>
      </c>
      <c r="M178" s="3">
        <v>4479.9883333333337</v>
      </c>
      <c r="N178" s="3"/>
      <c r="O178" s="3">
        <v>8065.6066666666684</v>
      </c>
      <c r="P178" s="3">
        <v>3712.2223333333332</v>
      </c>
      <c r="Q178" s="3">
        <v>27933.866666666665</v>
      </c>
      <c r="R178" s="3">
        <v>240.97633333333334</v>
      </c>
    </row>
    <row r="179" spans="1:18">
      <c r="A179" s="2">
        <v>38169</v>
      </c>
      <c r="B179" s="4">
        <v>327.59200000000004</v>
      </c>
      <c r="C179" s="3">
        <v>968.79741935483867</v>
      </c>
      <c r="D179" s="3">
        <v>21703.952903225807</v>
      </c>
      <c r="E179" s="3">
        <v>1498.066225806451</v>
      </c>
      <c r="F179" s="3"/>
      <c r="G179" s="3">
        <v>10037.243870967744</v>
      </c>
      <c r="H179" s="3">
        <v>520.43258064516124</v>
      </c>
      <c r="I179" s="3">
        <v>1423.9888387096773</v>
      </c>
      <c r="J179" s="3">
        <v>12210.120967741937</v>
      </c>
      <c r="K179" s="3">
        <v>11401.901612903226</v>
      </c>
      <c r="L179" s="3">
        <v>1106.498064516129</v>
      </c>
      <c r="M179" s="3">
        <v>4365.3119354838691</v>
      </c>
      <c r="N179" s="3"/>
      <c r="O179" s="3">
        <v>7977.9709677419332</v>
      </c>
      <c r="P179" s="3">
        <v>3631.5683870967741</v>
      </c>
      <c r="Q179" s="3">
        <v>27545.129032258064</v>
      </c>
      <c r="R179" s="3">
        <v>235.54000000000002</v>
      </c>
    </row>
    <row r="180" spans="1:18">
      <c r="A180" s="2">
        <v>38200</v>
      </c>
      <c r="B180" s="4">
        <v>314.8590476190476</v>
      </c>
      <c r="C180" s="3">
        <v>951.58870967741927</v>
      </c>
      <c r="D180" s="3">
        <v>22255.347419354839</v>
      </c>
      <c r="E180" s="3">
        <v>1565.8974838709678</v>
      </c>
      <c r="F180" s="3"/>
      <c r="G180" s="3">
        <v>10047.436129032258</v>
      </c>
      <c r="H180" s="3">
        <v>514.60967741935474</v>
      </c>
      <c r="I180" s="3">
        <v>1359.7458064516129</v>
      </c>
      <c r="J180" s="3">
        <v>12477.001290322582</v>
      </c>
      <c r="K180" s="3">
        <v>10991.881290322586</v>
      </c>
      <c r="L180" s="3">
        <v>1088.0022580645159</v>
      </c>
      <c r="M180" s="3">
        <v>4385.032258064517</v>
      </c>
      <c r="N180" s="3"/>
      <c r="O180" s="3">
        <v>7743.3967741935494</v>
      </c>
      <c r="P180" s="3">
        <v>3566.3832258064526</v>
      </c>
      <c r="Q180" s="3">
        <v>26724.483870967742</v>
      </c>
      <c r="R180" s="3">
        <v>231.44774193548389</v>
      </c>
    </row>
    <row r="181" spans="1:18">
      <c r="A181" s="2">
        <v>38231</v>
      </c>
      <c r="B181" s="4">
        <v>376.27136363636362</v>
      </c>
      <c r="C181" s="3">
        <v>1045.173</v>
      </c>
      <c r="D181" s="3">
        <v>22668.131000000001</v>
      </c>
      <c r="E181" s="3">
        <v>1653.4836666666667</v>
      </c>
      <c r="F181" s="3"/>
      <c r="G181" s="3">
        <v>10666.392666666665</v>
      </c>
      <c r="H181" s="3">
        <v>577.33833333333325</v>
      </c>
      <c r="I181" s="3">
        <v>1368.1893333333335</v>
      </c>
      <c r="J181" s="3">
        <v>13089.697666666667</v>
      </c>
      <c r="K181" s="3">
        <v>11061.90133333333</v>
      </c>
      <c r="L181" s="3">
        <v>1117.8943333333334</v>
      </c>
      <c r="M181" s="3">
        <v>4562.2113333333346</v>
      </c>
      <c r="N181" s="3"/>
      <c r="O181" s="3">
        <v>8044.5666666666666</v>
      </c>
      <c r="P181" s="3">
        <v>3680.1956666666661</v>
      </c>
      <c r="Q181" s="3">
        <v>27766.266666666666</v>
      </c>
      <c r="R181" s="3">
        <v>238.76066666666659</v>
      </c>
    </row>
    <row r="182" spans="1:18">
      <c r="A182" s="2">
        <v>38261</v>
      </c>
      <c r="B182" s="4">
        <v>397.87549999999999</v>
      </c>
      <c r="C182" s="3">
        <v>1197.8903225806448</v>
      </c>
      <c r="D182" s="3">
        <v>23387.3870967742</v>
      </c>
      <c r="E182" s="3">
        <v>1725.0543225806448</v>
      </c>
      <c r="F182" s="3"/>
      <c r="G182" s="3">
        <v>11143.579677419355</v>
      </c>
      <c r="H182" s="3">
        <v>646.22548387096799</v>
      </c>
      <c r="I182" s="3">
        <v>1359.3153870967744</v>
      </c>
      <c r="J182" s="3">
        <v>13107.92258064516</v>
      </c>
      <c r="K182" s="3">
        <v>11016.112903225809</v>
      </c>
      <c r="L182" s="3">
        <v>1117.9032258064519</v>
      </c>
      <c r="M182" s="3">
        <v>4644.8522580645158</v>
      </c>
      <c r="N182" s="3"/>
      <c r="O182" s="3">
        <v>8312.7096774193542</v>
      </c>
      <c r="P182" s="3">
        <v>3702.4806451612908</v>
      </c>
      <c r="Q182" s="3">
        <v>28477.645161290322</v>
      </c>
      <c r="R182" s="3">
        <v>240.89516129032256</v>
      </c>
    </row>
    <row r="183" spans="1:18">
      <c r="A183" s="2">
        <v>38292</v>
      </c>
      <c r="B183" s="4">
        <v>450.99599999999998</v>
      </c>
      <c r="C183" s="3">
        <v>1253.5793103448277</v>
      </c>
      <c r="D183" s="3">
        <v>24048.421724137927</v>
      </c>
      <c r="E183" s="3">
        <v>1759.2416896551722</v>
      </c>
      <c r="F183" s="3"/>
      <c r="G183" s="3">
        <v>11901.523448275864</v>
      </c>
      <c r="H183" s="3">
        <v>614.18862068965507</v>
      </c>
      <c r="I183" s="3">
        <v>1344.6781034482756</v>
      </c>
      <c r="J183" s="3">
        <v>13718.07827586207</v>
      </c>
      <c r="K183" s="3">
        <v>10971.511724137932</v>
      </c>
      <c r="L183" s="3">
        <v>1170.7558620689654</v>
      </c>
      <c r="M183" s="3">
        <v>4746.5355172413783</v>
      </c>
      <c r="N183" s="3"/>
      <c r="O183" s="3">
        <v>8599.5241379310355</v>
      </c>
      <c r="P183" s="3">
        <v>3789.3382758620678</v>
      </c>
      <c r="Q183" s="3">
        <v>29550</v>
      </c>
      <c r="R183" s="3">
        <v>246.935172413793</v>
      </c>
    </row>
    <row r="184" spans="1:18">
      <c r="A184" s="2">
        <v>38322</v>
      </c>
      <c r="B184" s="4">
        <v>456.32095238095229</v>
      </c>
      <c r="C184" s="3">
        <v>1279.5690322580645</v>
      </c>
      <c r="D184" s="3">
        <v>25554.736774193545</v>
      </c>
      <c r="E184" s="3">
        <v>1799.3984838709673</v>
      </c>
      <c r="F184" s="3"/>
      <c r="G184" s="3">
        <v>12482.998064516132</v>
      </c>
      <c r="H184" s="3">
        <v>528.01129032258075</v>
      </c>
      <c r="I184" s="3">
        <v>1304.4503225806454</v>
      </c>
      <c r="J184" s="3">
        <v>14119.9135483871</v>
      </c>
      <c r="K184" s="3">
        <v>11081.832903225806</v>
      </c>
      <c r="L184" s="3">
        <v>1198.7032258064519</v>
      </c>
      <c r="M184" s="3">
        <v>4746.5625806451608</v>
      </c>
      <c r="N184" s="3"/>
      <c r="O184" s="3">
        <v>8911.2516129032265</v>
      </c>
      <c r="P184" s="3">
        <v>3792.1616129032245</v>
      </c>
      <c r="Q184" s="3">
        <v>30415.806451612902</v>
      </c>
      <c r="R184" s="3">
        <v>249.91419354838709</v>
      </c>
    </row>
    <row r="185" spans="1:18">
      <c r="A185" s="2">
        <v>38353</v>
      </c>
      <c r="B185" s="4">
        <v>465.4665</v>
      </c>
      <c r="C185" s="3">
        <v>1343.1973333333333</v>
      </c>
      <c r="D185" s="3">
        <v>24544.832333333328</v>
      </c>
      <c r="E185" s="3">
        <v>1763.0116</v>
      </c>
      <c r="F185" s="3"/>
      <c r="G185" s="3">
        <v>12756.361000000003</v>
      </c>
      <c r="H185" s="3">
        <v>551.38533333333339</v>
      </c>
      <c r="I185" s="3">
        <v>1239.0696333333333</v>
      </c>
      <c r="J185" s="3">
        <v>13663.793</v>
      </c>
      <c r="K185" s="3">
        <v>11400.812000000004</v>
      </c>
      <c r="L185" s="3">
        <v>1182.951</v>
      </c>
      <c r="M185" s="3">
        <v>4826.3779999999997</v>
      </c>
      <c r="N185" s="3"/>
      <c r="O185" s="3">
        <v>9057.7233333333334</v>
      </c>
      <c r="P185" s="3">
        <v>3860.829333333334</v>
      </c>
      <c r="Q185" s="3">
        <v>31058.5</v>
      </c>
      <c r="R185" s="3">
        <v>253.71566666666661</v>
      </c>
    </row>
    <row r="186" spans="1:18">
      <c r="A186" s="2">
        <v>38384</v>
      </c>
      <c r="B186" s="4">
        <v>513.52850000000001</v>
      </c>
      <c r="C186" s="3">
        <v>1501.1499999999999</v>
      </c>
      <c r="D186" s="3">
        <v>26591.31214285715</v>
      </c>
      <c r="E186" s="3">
        <v>1838.0625000000002</v>
      </c>
      <c r="F186" s="3"/>
      <c r="G186" s="3">
        <v>13605.148214285718</v>
      </c>
      <c r="H186" s="3">
        <v>599.27392857142866</v>
      </c>
      <c r="I186" s="3">
        <v>1275.0080714285718</v>
      </c>
      <c r="J186" s="3">
        <v>13907.903571428575</v>
      </c>
      <c r="K186" s="3">
        <v>11549.243928571426</v>
      </c>
      <c r="L186" s="3">
        <v>1201.3242857142855</v>
      </c>
      <c r="M186" s="3">
        <v>5002.8275000000003</v>
      </c>
      <c r="N186" s="3"/>
      <c r="O186" s="3">
        <v>9466.8678571428591</v>
      </c>
      <c r="P186" s="3">
        <v>3996.4857142857154</v>
      </c>
      <c r="Q186" s="3">
        <v>31921.75</v>
      </c>
      <c r="R186" s="3">
        <v>263.91071428571439</v>
      </c>
    </row>
    <row r="187" spans="1:18">
      <c r="A187" s="2">
        <v>38412</v>
      </c>
      <c r="B187" s="4">
        <v>508.82800000000009</v>
      </c>
      <c r="C187" s="3">
        <v>1454.9199999999996</v>
      </c>
      <c r="D187" s="3">
        <v>27697.318064516134</v>
      </c>
      <c r="E187" s="3">
        <v>1929.5979032258069</v>
      </c>
      <c r="F187" s="3"/>
      <c r="G187" s="3">
        <v>13269.994838709676</v>
      </c>
      <c r="H187" s="3">
        <v>601.34225806451616</v>
      </c>
      <c r="I187" s="3">
        <v>1251.3151290322576</v>
      </c>
      <c r="J187" s="3">
        <v>13759.169032258056</v>
      </c>
      <c r="K187" s="3">
        <v>11824.579354838706</v>
      </c>
      <c r="L187" s="3">
        <v>1194.3777419354835</v>
      </c>
      <c r="M187" s="3">
        <v>4960.383870967742</v>
      </c>
      <c r="N187" s="3"/>
      <c r="O187" s="3">
        <v>9347.1354838709649</v>
      </c>
      <c r="P187" s="3">
        <v>4062.8341935483872</v>
      </c>
      <c r="Q187" s="3">
        <v>31961.903225806451</v>
      </c>
      <c r="R187" s="3">
        <v>263.49741935483871</v>
      </c>
    </row>
    <row r="188" spans="1:18">
      <c r="A188" s="2">
        <v>38443</v>
      </c>
      <c r="B188" s="4">
        <v>505.20523809523814</v>
      </c>
      <c r="C188" s="3">
        <v>1364.3446666666666</v>
      </c>
      <c r="D188" s="3">
        <v>25477.379333333331</v>
      </c>
      <c r="E188" s="3">
        <v>1974.4781999999998</v>
      </c>
      <c r="F188" s="3"/>
      <c r="G188" s="3">
        <v>12288.73233333333</v>
      </c>
      <c r="H188" s="3">
        <v>609.24600000000021</v>
      </c>
      <c r="I188" s="3">
        <v>1202.2217333333333</v>
      </c>
      <c r="J188" s="3">
        <v>13654.253666666662</v>
      </c>
      <c r="K188" s="3">
        <v>11398.689333333337</v>
      </c>
      <c r="L188" s="3">
        <v>1163.5819999999997</v>
      </c>
      <c r="M188" s="3">
        <v>4890.7723333333324</v>
      </c>
      <c r="N188" s="3"/>
      <c r="O188" s="3">
        <v>9190.213333333335</v>
      </c>
      <c r="P188" s="3">
        <v>4030.8726666666657</v>
      </c>
      <c r="Q188" s="3">
        <v>31894.400000000001</v>
      </c>
      <c r="R188" s="3">
        <v>261.74200000000002</v>
      </c>
    </row>
    <row r="189" spans="1:18">
      <c r="A189" s="2">
        <v>38473</v>
      </c>
      <c r="B189" s="4">
        <v>510.02649999999994</v>
      </c>
      <c r="C189" s="3">
        <v>1435.4970967741933</v>
      </c>
      <c r="D189" s="3">
        <v>24801.543548387097</v>
      </c>
      <c r="E189" s="3">
        <v>1962.86529032258</v>
      </c>
      <c r="F189" s="3"/>
      <c r="G189" s="3">
        <v>12711.927096774198</v>
      </c>
      <c r="H189" s="3">
        <v>591.52064516129042</v>
      </c>
      <c r="I189" s="3">
        <v>1107.8224838709675</v>
      </c>
      <c r="J189" s="3">
        <v>13833.921935483871</v>
      </c>
      <c r="K189" s="3">
        <v>11081.362258064519</v>
      </c>
      <c r="L189" s="3">
        <v>1178.2690322580643</v>
      </c>
      <c r="M189" s="3">
        <v>4925.6341935483861</v>
      </c>
      <c r="N189" s="3"/>
      <c r="O189" s="3">
        <v>9283.4903225806447</v>
      </c>
      <c r="P189" s="3">
        <v>4050.2248387096761</v>
      </c>
      <c r="Q189" s="3">
        <v>31450.580645161292</v>
      </c>
      <c r="R189" s="3">
        <v>262.08193548387106</v>
      </c>
    </row>
    <row r="190" spans="1:18">
      <c r="A190" s="2">
        <v>38504</v>
      </c>
      <c r="B190" s="4">
        <v>543.1738095238095</v>
      </c>
      <c r="C190" s="3">
        <v>1453.8690000000001</v>
      </c>
      <c r="D190" s="3">
        <v>25471.284000000003</v>
      </c>
      <c r="E190" s="3">
        <v>2039.2014999999997</v>
      </c>
      <c r="F190" s="3"/>
      <c r="G190" s="3">
        <v>13366.327000000001</v>
      </c>
      <c r="H190" s="3">
        <v>618.88099999999997</v>
      </c>
      <c r="I190" s="3">
        <v>1082.8682666666668</v>
      </c>
      <c r="J190" s="3">
        <v>13989.733333333332</v>
      </c>
      <c r="K190" s="3">
        <v>11405.703000000005</v>
      </c>
      <c r="L190" s="3">
        <v>1201.8313333333333</v>
      </c>
      <c r="M190" s="3">
        <v>5049.3066666666673</v>
      </c>
      <c r="N190" s="3"/>
      <c r="O190" s="3">
        <v>9614.0433333333331</v>
      </c>
      <c r="P190" s="3">
        <v>4192.8473333333332</v>
      </c>
      <c r="Q190" s="3">
        <v>32286</v>
      </c>
      <c r="R190" s="3">
        <v>274.21033333333332</v>
      </c>
    </row>
    <row r="191" spans="1:18">
      <c r="A191" s="2">
        <v>38534</v>
      </c>
      <c r="B191" s="4">
        <v>610.39473684210532</v>
      </c>
      <c r="C191" s="3">
        <v>1441.9299999999998</v>
      </c>
      <c r="D191" s="3">
        <v>25262.129999999997</v>
      </c>
      <c r="E191" s="3">
        <v>2107.332967741936</v>
      </c>
      <c r="F191" s="3"/>
      <c r="G191" s="3">
        <v>14006.248064516125</v>
      </c>
      <c r="H191" s="3">
        <v>680.86387096774206</v>
      </c>
      <c r="I191" s="3">
        <v>1043.350677419355</v>
      </c>
      <c r="J191" s="3">
        <v>14455.965806451615</v>
      </c>
      <c r="K191" s="3">
        <v>11715.964516129032</v>
      </c>
      <c r="L191" s="3">
        <v>1220.7529032258067</v>
      </c>
      <c r="M191" s="3">
        <v>5228.5545161290329</v>
      </c>
      <c r="N191" s="3"/>
      <c r="O191" s="3">
        <v>9940.835483870962</v>
      </c>
      <c r="P191" s="3">
        <v>4360.3451612903227</v>
      </c>
      <c r="Q191" s="3">
        <v>33158.870967741932</v>
      </c>
      <c r="R191" s="3">
        <v>280.81677419354838</v>
      </c>
    </row>
    <row r="192" spans="1:18">
      <c r="A192" s="2">
        <v>38565</v>
      </c>
      <c r="B192" s="4">
        <v>703.51863636363623</v>
      </c>
      <c r="C192" s="3">
        <v>1519.9290322580648</v>
      </c>
      <c r="D192" s="3">
        <v>26954.603870967738</v>
      </c>
      <c r="E192" s="3">
        <v>2128.8989999999999</v>
      </c>
      <c r="F192" s="3"/>
      <c r="G192" s="3">
        <v>14576.278709677419</v>
      </c>
      <c r="H192" s="3">
        <v>737.24967741935473</v>
      </c>
      <c r="I192" s="3">
        <v>1152.1399354838713</v>
      </c>
      <c r="J192" s="3">
        <v>15128.750322580643</v>
      </c>
      <c r="K192" s="3">
        <v>12201.070322580641</v>
      </c>
      <c r="L192" s="3">
        <v>1223.2725806451615</v>
      </c>
      <c r="M192" s="3">
        <v>5305.5745161290324</v>
      </c>
      <c r="N192" s="3"/>
      <c r="O192" s="3">
        <v>10083.790322580646</v>
      </c>
      <c r="P192" s="3">
        <v>4441.725161290321</v>
      </c>
      <c r="Q192" s="3">
        <v>33552.451612903227</v>
      </c>
      <c r="R192" s="3">
        <v>286.00903225806445</v>
      </c>
    </row>
    <row r="193" spans="1:18">
      <c r="A193" s="2">
        <v>38596</v>
      </c>
      <c r="B193" s="4">
        <v>699.10363636363638</v>
      </c>
      <c r="C193" s="3">
        <v>1631.8268965517238</v>
      </c>
      <c r="D193" s="3">
        <v>29727.296206896546</v>
      </c>
      <c r="E193" s="3">
        <v>2115.9669999999996</v>
      </c>
      <c r="F193" s="3"/>
      <c r="G193" s="3">
        <v>15350.361379310349</v>
      </c>
      <c r="H193" s="3">
        <v>821.18206896551715</v>
      </c>
      <c r="I193" s="3">
        <v>1184.9545172413796</v>
      </c>
      <c r="J193" s="3">
        <v>15168.815862068965</v>
      </c>
      <c r="K193" s="3">
        <v>12943.667241379306</v>
      </c>
      <c r="L193" s="3">
        <v>1226.6324137931035</v>
      </c>
      <c r="M193" s="3">
        <v>5387.5199999999995</v>
      </c>
      <c r="N193" s="3"/>
      <c r="O193" s="3">
        <v>10488.831034482761</v>
      </c>
      <c r="P193" s="3">
        <v>4489.4017241379315</v>
      </c>
      <c r="Q193" s="3">
        <v>34271.827586206899</v>
      </c>
      <c r="R193" s="3">
        <v>292.24413793103452</v>
      </c>
    </row>
    <row r="194" spans="1:18">
      <c r="A194" s="2">
        <v>38626</v>
      </c>
      <c r="B194" s="4">
        <v>713.20350000000008</v>
      </c>
      <c r="C194" s="3">
        <v>1622.8261290322575</v>
      </c>
      <c r="D194" s="3">
        <v>29907.59516129033</v>
      </c>
      <c r="E194" s="3">
        <v>2125.6259032258063</v>
      </c>
      <c r="F194" s="3"/>
      <c r="G194" s="3">
        <v>15370.681612903225</v>
      </c>
      <c r="H194" s="3">
        <v>838.72677419354829</v>
      </c>
      <c r="I194" s="3">
        <v>1135.1711612903225</v>
      </c>
      <c r="J194" s="3">
        <v>14668.18258064516</v>
      </c>
      <c r="K194" s="3">
        <v>13374.894838709677</v>
      </c>
      <c r="L194" s="3">
        <v>1193.8648387096778</v>
      </c>
      <c r="M194" s="3">
        <v>5293.3093548387096</v>
      </c>
      <c r="N194" s="3"/>
      <c r="O194" s="3">
        <v>10592.338709677415</v>
      </c>
      <c r="P194" s="3">
        <v>4467.999354838712</v>
      </c>
      <c r="Q194" s="3">
        <v>33195.419354838712</v>
      </c>
      <c r="R194" s="3">
        <v>289.46225806451611</v>
      </c>
    </row>
    <row r="195" spans="1:18">
      <c r="A195" s="2">
        <v>38657</v>
      </c>
      <c r="B195" s="4">
        <v>823.08899999999994</v>
      </c>
      <c r="C195" s="3">
        <v>1610.0437931034476</v>
      </c>
      <c r="D195" s="3">
        <v>31103.64724137932</v>
      </c>
      <c r="E195" s="3">
        <v>2046.1103448275853</v>
      </c>
      <c r="F195" s="3"/>
      <c r="G195" s="3">
        <v>16373.321379310346</v>
      </c>
      <c r="H195" s="3">
        <v>906.84344827586222</v>
      </c>
      <c r="I195" s="3">
        <v>1102.6147586206896</v>
      </c>
      <c r="J195" s="3">
        <v>14784.076896551724</v>
      </c>
      <c r="K195" s="3">
        <v>14385.002413793103</v>
      </c>
      <c r="L195" s="3">
        <v>1240.4472413793103</v>
      </c>
      <c r="M195" s="3">
        <v>5464.8068965517241</v>
      </c>
      <c r="N195" s="3"/>
      <c r="O195" s="3">
        <v>10513.913793103447</v>
      </c>
      <c r="P195" s="3">
        <v>4539.0158620689635</v>
      </c>
      <c r="Q195" s="3">
        <v>33816.689655172413</v>
      </c>
      <c r="R195" s="3">
        <v>298.66931034482758</v>
      </c>
    </row>
    <row r="196" spans="1:18">
      <c r="A196" s="2">
        <v>38687</v>
      </c>
      <c r="B196" s="4">
        <v>907.50150000000008</v>
      </c>
      <c r="C196" s="3">
        <v>1530.8535483870969</v>
      </c>
      <c r="D196" s="3">
        <v>33141.926451612897</v>
      </c>
      <c r="E196" s="3">
        <v>1989.0700967741936</v>
      </c>
      <c r="F196" s="3"/>
      <c r="G196" s="3">
        <v>17613.142580645166</v>
      </c>
      <c r="H196" s="3">
        <v>999.4667741935483</v>
      </c>
      <c r="I196" s="3">
        <v>1125.2087419354843</v>
      </c>
      <c r="J196" s="3">
        <v>15070.64096774194</v>
      </c>
      <c r="K196" s="3">
        <v>15632.273548387095</v>
      </c>
      <c r="L196" s="3">
        <v>1262.6232258064513</v>
      </c>
      <c r="M196" s="3">
        <v>5551.6054838709706</v>
      </c>
      <c r="N196" s="3"/>
      <c r="O196" s="3">
        <v>10614.951612903225</v>
      </c>
      <c r="P196" s="3">
        <v>4701.818064516131</v>
      </c>
      <c r="Q196" s="3">
        <v>35247.290322580644</v>
      </c>
      <c r="R196" s="3">
        <v>307.99419354838722</v>
      </c>
    </row>
    <row r="197" spans="1:18">
      <c r="A197" s="2">
        <v>38718</v>
      </c>
      <c r="B197" s="4">
        <v>1048.4665</v>
      </c>
      <c r="C197" s="3">
        <v>1664.6332258064522</v>
      </c>
      <c r="D197" s="3">
        <v>36213.364838709676</v>
      </c>
      <c r="E197" s="3">
        <v>2060.6022258064527</v>
      </c>
      <c r="F197" s="3"/>
      <c r="G197" s="3">
        <v>18699.573225806449</v>
      </c>
      <c r="H197" s="3">
        <v>1111.9590322580643</v>
      </c>
      <c r="I197" s="3">
        <v>1225.9485161290327</v>
      </c>
      <c r="J197" s="3">
        <v>15527.32032258065</v>
      </c>
      <c r="K197" s="3">
        <v>16144.134838709679</v>
      </c>
      <c r="L197" s="3">
        <v>1277.2641935483873</v>
      </c>
      <c r="M197" s="3">
        <v>5708.891290322581</v>
      </c>
      <c r="N197" s="3"/>
      <c r="O197" s="3">
        <v>10869.561290322581</v>
      </c>
      <c r="P197" s="3">
        <v>4841.4125806451602</v>
      </c>
      <c r="Q197" s="3">
        <v>36227.806451612902</v>
      </c>
      <c r="R197" s="3">
        <v>315.95258064516128</v>
      </c>
    </row>
    <row r="198" spans="1:18">
      <c r="A198" s="2">
        <v>38749</v>
      </c>
      <c r="B198" s="4">
        <v>1081.3045000000002</v>
      </c>
      <c r="C198" s="3">
        <v>1708.1928571428575</v>
      </c>
      <c r="D198" s="3">
        <v>37702.701428571432</v>
      </c>
      <c r="E198" s="3">
        <v>2128.3436428571431</v>
      </c>
      <c r="F198" s="3"/>
      <c r="G198" s="3">
        <v>18640.643928571433</v>
      </c>
      <c r="H198" s="3">
        <v>1265.5103571428572</v>
      </c>
      <c r="I198" s="3">
        <v>1279.3309642857146</v>
      </c>
      <c r="J198" s="3">
        <v>15571.331071428571</v>
      </c>
      <c r="K198" s="3">
        <v>16186.371071428568</v>
      </c>
      <c r="L198" s="3">
        <v>1277.1028571428576</v>
      </c>
      <c r="M198" s="3">
        <v>5806.955357142856</v>
      </c>
      <c r="N198" s="3"/>
      <c r="O198" s="3">
        <v>11443.332142857145</v>
      </c>
      <c r="P198" s="3">
        <v>4977.7067857142856</v>
      </c>
      <c r="Q198" s="3">
        <v>37213.428571428572</v>
      </c>
      <c r="R198" s="3">
        <v>325.85357142857146</v>
      </c>
    </row>
    <row r="199" spans="1:18">
      <c r="A199" s="2">
        <v>38777</v>
      </c>
      <c r="B199" s="4">
        <v>1105.9095454545457</v>
      </c>
      <c r="C199" s="3">
        <v>1795.0341935483877</v>
      </c>
      <c r="D199" s="3">
        <v>37811.491935483878</v>
      </c>
      <c r="E199" s="3">
        <v>2158.9569354838704</v>
      </c>
      <c r="F199" s="3"/>
      <c r="G199" s="3">
        <v>19061.333548387091</v>
      </c>
      <c r="H199" s="3">
        <v>1284.1190322580646</v>
      </c>
      <c r="I199" s="3">
        <v>1280.1613870967742</v>
      </c>
      <c r="J199" s="3">
        <v>15719.18258064516</v>
      </c>
      <c r="K199" s="3">
        <v>16285.091290322576</v>
      </c>
      <c r="L199" s="3">
        <v>1294.0012903225809</v>
      </c>
      <c r="M199" s="3">
        <v>5941.8364516129022</v>
      </c>
      <c r="N199" s="3"/>
      <c r="O199" s="3">
        <v>11832.980645161291</v>
      </c>
      <c r="P199" s="3">
        <v>5110.014193548388</v>
      </c>
      <c r="Q199" s="3">
        <v>37979.741935483871</v>
      </c>
      <c r="R199" s="3">
        <v>332.53290322580642</v>
      </c>
    </row>
    <row r="200" spans="1:18">
      <c r="A200" s="2">
        <v>38808</v>
      </c>
      <c r="B200" s="4">
        <v>1122.537777777778</v>
      </c>
      <c r="C200" s="3">
        <v>1871.0123333333336</v>
      </c>
      <c r="D200" s="3">
        <v>39116.166999999987</v>
      </c>
      <c r="E200" s="3">
        <v>2181.221066666667</v>
      </c>
      <c r="F200" s="3"/>
      <c r="G200" s="3">
        <v>19837.731666666663</v>
      </c>
      <c r="H200" s="3">
        <v>1412.5479999999998</v>
      </c>
      <c r="I200" s="3">
        <v>1373.6059666666667</v>
      </c>
      <c r="J200" s="3">
        <v>16499.583333333336</v>
      </c>
      <c r="K200" s="3">
        <v>17233.114333333331</v>
      </c>
      <c r="L200" s="3">
        <v>1301.1096666666667</v>
      </c>
      <c r="M200" s="3">
        <v>6046.3330000000005</v>
      </c>
      <c r="N200" s="3"/>
      <c r="O200" s="3">
        <v>11802.773333333329</v>
      </c>
      <c r="P200" s="3">
        <v>5182.6003333333319</v>
      </c>
      <c r="Q200" s="3">
        <v>38018.800000000003</v>
      </c>
      <c r="R200" s="3">
        <v>336.65099999999995</v>
      </c>
    </row>
    <row r="201" spans="1:18">
      <c r="A201" s="2">
        <v>38838</v>
      </c>
      <c r="B201" s="4">
        <v>986.68857142857144</v>
      </c>
      <c r="C201" s="3">
        <v>1752.6712903225812</v>
      </c>
      <c r="D201" s="3">
        <v>39199.525161290316</v>
      </c>
      <c r="E201" s="3">
        <v>2182.9754838709673</v>
      </c>
      <c r="F201" s="3"/>
      <c r="G201" s="3">
        <v>20420.74806451613</v>
      </c>
      <c r="H201" s="3">
        <v>1407.2770967741933</v>
      </c>
      <c r="I201" s="3">
        <v>1572.0382258064515</v>
      </c>
      <c r="J201" s="3">
        <v>16491.590322580643</v>
      </c>
      <c r="K201" s="3">
        <v>16440.955161290323</v>
      </c>
      <c r="L201" s="3">
        <v>1289.9529032258065</v>
      </c>
      <c r="M201" s="3">
        <v>5854.3383870967737</v>
      </c>
      <c r="N201" s="3"/>
      <c r="O201" s="3">
        <v>11581.532258064517</v>
      </c>
      <c r="P201" s="3">
        <v>5085.5496774193552</v>
      </c>
      <c r="Q201" s="3">
        <v>37259.93548387097</v>
      </c>
      <c r="R201" s="3">
        <v>328.60677419354846</v>
      </c>
    </row>
    <row r="202" spans="1:18">
      <c r="A202" s="2">
        <v>38869</v>
      </c>
      <c r="B202" s="4">
        <v>763.93299999999988</v>
      </c>
      <c r="C202" s="3">
        <v>1605.8180000000004</v>
      </c>
      <c r="D202" s="3">
        <v>35120.51633333334</v>
      </c>
      <c r="E202" s="3">
        <v>2086.6367333333333</v>
      </c>
      <c r="F202" s="3"/>
      <c r="G202" s="3">
        <v>18252.623333333333</v>
      </c>
      <c r="H202" s="3">
        <v>1233.7476666666662</v>
      </c>
      <c r="I202" s="3">
        <v>1607.5792666666671</v>
      </c>
      <c r="J202" s="3">
        <v>15744.586999999998</v>
      </c>
      <c r="K202" s="3">
        <v>15029.127666666665</v>
      </c>
      <c r="L202" s="3">
        <v>1254.7263333333333</v>
      </c>
      <c r="M202" s="3">
        <v>5670.5330000000004</v>
      </c>
      <c r="N202" s="3"/>
      <c r="O202" s="3">
        <v>11163.499999999996</v>
      </c>
      <c r="P202" s="3">
        <v>4794.7626666666665</v>
      </c>
      <c r="Q202" s="3">
        <v>35718.566666666666</v>
      </c>
      <c r="R202" s="3">
        <v>312.24433333333337</v>
      </c>
    </row>
    <row r="203" spans="1:18">
      <c r="A203" s="2">
        <v>38899</v>
      </c>
      <c r="B203" s="4">
        <v>834.8363157894737</v>
      </c>
      <c r="C203" s="3">
        <v>1677.7590322580645</v>
      </c>
      <c r="D203" s="3">
        <v>36267.675806451618</v>
      </c>
      <c r="E203" s="3">
        <v>2101.0566774193549</v>
      </c>
      <c r="F203" s="3"/>
      <c r="G203" s="3">
        <v>19559.689999999995</v>
      </c>
      <c r="H203" s="3">
        <v>1344.6022580645158</v>
      </c>
      <c r="I203" s="3">
        <v>1684.5430967741941</v>
      </c>
      <c r="J203" s="3">
        <v>16456.565483870963</v>
      </c>
      <c r="K203" s="3">
        <v>15143.246451612906</v>
      </c>
      <c r="L203" s="3">
        <v>1260.2070967741943</v>
      </c>
      <c r="M203" s="3">
        <v>5830.8445161290329</v>
      </c>
      <c r="N203" s="3"/>
      <c r="O203" s="3">
        <v>11528.906451612907</v>
      </c>
      <c r="P203" s="3">
        <v>4910.2532258064521</v>
      </c>
      <c r="Q203" s="3">
        <v>36139.096774193546</v>
      </c>
      <c r="R203" s="3">
        <v>319.32483870967746</v>
      </c>
    </row>
    <row r="204" spans="1:18">
      <c r="A204" s="2">
        <v>38930</v>
      </c>
      <c r="B204" s="4">
        <v>931.41952380952375</v>
      </c>
      <c r="C204" s="3">
        <v>1657.5106451612899</v>
      </c>
      <c r="D204" s="3">
        <v>36962.941935483868</v>
      </c>
      <c r="E204" s="3">
        <v>2155.7302903225809</v>
      </c>
      <c r="F204" s="3"/>
      <c r="G204" s="3">
        <v>20651.536451612898</v>
      </c>
      <c r="H204" s="3">
        <v>1446.5522580645165</v>
      </c>
      <c r="I204" s="3">
        <v>1605.094258064516</v>
      </c>
      <c r="J204" s="3">
        <v>17130.144516129036</v>
      </c>
      <c r="K204" s="3">
        <v>15784.309677419351</v>
      </c>
      <c r="L204" s="3">
        <v>1286.8212903225801</v>
      </c>
      <c r="M204" s="3">
        <v>5876.5032258064521</v>
      </c>
      <c r="N204" s="3"/>
      <c r="O204" s="3">
        <v>11967.599999999999</v>
      </c>
      <c r="P204" s="3">
        <v>5072.0464516129041</v>
      </c>
      <c r="Q204" s="3">
        <v>37183.096774193546</v>
      </c>
      <c r="R204" s="3">
        <v>328.99677419354845</v>
      </c>
    </row>
    <row r="205" spans="1:18">
      <c r="A205" s="2">
        <v>38961</v>
      </c>
      <c r="B205" s="4">
        <v>897.82190476190453</v>
      </c>
      <c r="C205" s="3">
        <v>1643.6962068965513</v>
      </c>
      <c r="D205" s="3">
        <v>36260.388275862075</v>
      </c>
      <c r="E205" s="3">
        <v>2226.4807586206898</v>
      </c>
      <c r="F205" s="3"/>
      <c r="G205" s="3">
        <v>21372.78448275862</v>
      </c>
      <c r="H205" s="3">
        <v>1379.01724137931</v>
      </c>
      <c r="I205" s="3">
        <v>1699.177068965517</v>
      </c>
      <c r="J205" s="3">
        <v>17351.963448275867</v>
      </c>
      <c r="K205" s="3">
        <v>15947.386206896548</v>
      </c>
      <c r="L205" s="3">
        <v>1316.4603448275857</v>
      </c>
      <c r="M205" s="3">
        <v>5896.9706896551716</v>
      </c>
      <c r="N205" s="3"/>
      <c r="O205" s="3">
        <v>12340.696551724137</v>
      </c>
      <c r="P205" s="3">
        <v>5155.537241379312</v>
      </c>
      <c r="Q205" s="3">
        <v>38012.620689655174</v>
      </c>
      <c r="R205" s="3">
        <v>335.74103448275861</v>
      </c>
    </row>
    <row r="206" spans="1:18">
      <c r="A206" s="2">
        <v>38991</v>
      </c>
      <c r="B206" s="4">
        <v>948.5238095238094</v>
      </c>
      <c r="C206" s="3">
        <v>1690.9696774193549</v>
      </c>
      <c r="D206" s="3">
        <v>38564.217096774191</v>
      </c>
      <c r="E206" s="3">
        <v>2346.8707419354846</v>
      </c>
      <c r="F206" s="3"/>
      <c r="G206" s="3">
        <v>22703.200967741926</v>
      </c>
      <c r="H206" s="3">
        <v>1415.5048387096776</v>
      </c>
      <c r="I206" s="3">
        <v>1782.2149354838712</v>
      </c>
      <c r="J206" s="3">
        <v>17993.913548387096</v>
      </c>
      <c r="K206" s="3">
        <v>16518.018387096778</v>
      </c>
      <c r="L206" s="3">
        <v>1362.9867741935479</v>
      </c>
      <c r="M206" s="3">
        <v>6101.2964516129041</v>
      </c>
      <c r="N206" s="3"/>
      <c r="O206" s="3">
        <v>13388.612903225805</v>
      </c>
      <c r="P206" s="3">
        <v>5339.245806451614</v>
      </c>
      <c r="Q206" s="3">
        <v>39242.806451612902</v>
      </c>
      <c r="R206" s="3">
        <v>350.30290322580635</v>
      </c>
    </row>
    <row r="207" spans="1:18">
      <c r="A207" s="2">
        <v>39022</v>
      </c>
      <c r="B207" s="4">
        <v>989.02750000000015</v>
      </c>
      <c r="C207" s="3">
        <v>1892.1619999999996</v>
      </c>
      <c r="D207" s="3">
        <v>41097.425000000003</v>
      </c>
      <c r="E207" s="3">
        <v>2466.7831333333329</v>
      </c>
      <c r="F207" s="3"/>
      <c r="G207" s="3">
        <v>24112.57133333333</v>
      </c>
      <c r="H207" s="3">
        <v>1496.9363333333329</v>
      </c>
      <c r="I207" s="3">
        <v>1952.5839000000003</v>
      </c>
      <c r="J207" s="3">
        <v>18970.597666666672</v>
      </c>
      <c r="K207" s="3">
        <v>16095.439666666663</v>
      </c>
      <c r="L207" s="3">
        <v>1388.7353333333333</v>
      </c>
      <c r="M207" s="3">
        <v>6167.7309999999998</v>
      </c>
      <c r="N207" s="3"/>
      <c r="O207" s="3">
        <v>14030.536666666661</v>
      </c>
      <c r="P207" s="3">
        <v>5411.5016666666679</v>
      </c>
      <c r="Q207" s="3">
        <v>40403.566666666666</v>
      </c>
      <c r="R207" s="3">
        <v>356.93500000000006</v>
      </c>
    </row>
    <row r="208" spans="1:18">
      <c r="A208" s="2">
        <v>39052</v>
      </c>
      <c r="B208" s="4">
        <v>1029.1044444444442</v>
      </c>
      <c r="C208" s="3">
        <v>2018.9803333333332</v>
      </c>
      <c r="D208" s="3">
        <v>43261.067333333332</v>
      </c>
      <c r="E208" s="3">
        <v>2642.0956666666661</v>
      </c>
      <c r="F208" s="3"/>
      <c r="G208" s="3">
        <v>25664.712</v>
      </c>
      <c r="H208" s="3">
        <v>1614.9083333333338</v>
      </c>
      <c r="I208" s="3">
        <v>2291.4421666666672</v>
      </c>
      <c r="J208" s="3">
        <v>19116.339</v>
      </c>
      <c r="K208" s="3">
        <v>16777.935333333338</v>
      </c>
      <c r="L208" s="3">
        <v>1414.8753333333336</v>
      </c>
      <c r="M208" s="3">
        <v>6170.2866666666678</v>
      </c>
      <c r="N208" s="3"/>
      <c r="O208" s="3">
        <v>14108.083333333334</v>
      </c>
      <c r="P208" s="3">
        <v>5441.0460000000003</v>
      </c>
      <c r="Q208" s="3">
        <v>40891.666666666664</v>
      </c>
      <c r="R208" s="3">
        <v>360.28966666666673</v>
      </c>
    </row>
    <row r="209" spans="1:18">
      <c r="A209" s="2">
        <v>39083</v>
      </c>
      <c r="B209" s="4">
        <v>1018.5109523809522</v>
      </c>
      <c r="C209" s="3">
        <v>2058.0841935483868</v>
      </c>
      <c r="D209" s="3">
        <v>43478.210000000006</v>
      </c>
      <c r="E209" s="3">
        <v>2781.924354838709</v>
      </c>
      <c r="F209" s="3"/>
      <c r="G209" s="3">
        <v>26525.694838709675</v>
      </c>
      <c r="H209" s="3">
        <v>1646.4929032258065</v>
      </c>
      <c r="I209" s="3">
        <v>2788.8401935483885</v>
      </c>
      <c r="J209" s="3">
        <v>20166.802903225805</v>
      </c>
      <c r="K209" s="3">
        <v>17257.13483870968</v>
      </c>
      <c r="L209" s="3">
        <v>1423.7674193548387</v>
      </c>
      <c r="M209" s="3">
        <v>6235.5067741935491</v>
      </c>
      <c r="N209" s="3"/>
      <c r="O209" s="3">
        <v>14372.845161290328</v>
      </c>
      <c r="P209" s="3">
        <v>5584.4967741935461</v>
      </c>
      <c r="Q209" s="3">
        <v>41985.612903225803</v>
      </c>
      <c r="R209" s="3">
        <v>370.90903225806443</v>
      </c>
    </row>
    <row r="210" spans="1:18">
      <c r="A210" s="2">
        <v>39114</v>
      </c>
      <c r="B210" s="4">
        <v>1019.6390000000001</v>
      </c>
      <c r="C210" s="3">
        <v>2131.176071428571</v>
      </c>
      <c r="D210" s="3">
        <v>45247.946428571435</v>
      </c>
      <c r="E210" s="3">
        <v>2980.8153928571437</v>
      </c>
      <c r="F210" s="3"/>
      <c r="G210" s="3">
        <v>28129.429285714283</v>
      </c>
      <c r="H210" s="3">
        <v>1700.2171428571432</v>
      </c>
      <c r="I210" s="3">
        <v>2855.4898928571433</v>
      </c>
      <c r="J210" s="3">
        <v>20532.007499999996</v>
      </c>
      <c r="K210" s="3">
        <v>17743.526428571429</v>
      </c>
      <c r="L210" s="3">
        <v>1446.178571428572</v>
      </c>
      <c r="M210" s="3">
        <v>6367.2632142857128</v>
      </c>
      <c r="N210" s="3"/>
      <c r="O210" s="3">
        <v>14757.78571428571</v>
      </c>
      <c r="P210" s="3">
        <v>5688.7064285714287</v>
      </c>
      <c r="Q210" s="3">
        <v>42579.178571428572</v>
      </c>
      <c r="R210" s="3">
        <v>379.1853571428573</v>
      </c>
    </row>
    <row r="211" spans="1:18">
      <c r="A211" s="2">
        <v>39142</v>
      </c>
      <c r="B211" s="4">
        <v>986.26714285714274</v>
      </c>
      <c r="C211" s="3">
        <v>2037.2106451612904</v>
      </c>
      <c r="D211" s="3">
        <v>43978.332580645154</v>
      </c>
      <c r="E211" s="3">
        <v>2897.8387419354844</v>
      </c>
      <c r="F211" s="3"/>
      <c r="G211" s="3">
        <v>27302.412580645159</v>
      </c>
      <c r="H211" s="3">
        <v>1630.5087096774191</v>
      </c>
      <c r="I211" s="3">
        <v>2984.6138387096767</v>
      </c>
      <c r="J211" s="3">
        <v>19345.010322580652</v>
      </c>
      <c r="K211" s="3">
        <v>17140.645806451615</v>
      </c>
      <c r="L211" s="3">
        <v>1406.4506451612906</v>
      </c>
      <c r="M211" s="3">
        <v>6209.565161290323</v>
      </c>
      <c r="N211" s="3"/>
      <c r="O211" s="3">
        <v>14206.4</v>
      </c>
      <c r="P211" s="3">
        <v>5499.7416129032254</v>
      </c>
      <c r="Q211" s="3">
        <v>40791.548387096773</v>
      </c>
      <c r="R211" s="3">
        <v>366.00258064516129</v>
      </c>
    </row>
    <row r="212" spans="1:18">
      <c r="A212" s="2">
        <v>39173</v>
      </c>
      <c r="B212" s="4">
        <v>1003.4578947368424</v>
      </c>
      <c r="C212" s="3">
        <v>2173.4779999999987</v>
      </c>
      <c r="D212" s="3">
        <v>47997.278333333343</v>
      </c>
      <c r="E212" s="3">
        <v>3074.1555666666663</v>
      </c>
      <c r="F212" s="3"/>
      <c r="G212" s="3">
        <v>29482.375333333333</v>
      </c>
      <c r="H212" s="3">
        <v>1729.9816666666659</v>
      </c>
      <c r="I212" s="3">
        <v>3527.8418999999999</v>
      </c>
      <c r="J212" s="3">
        <v>20387.554666666667</v>
      </c>
      <c r="K212" s="3">
        <v>17449.59233333333</v>
      </c>
      <c r="L212" s="3">
        <v>1462.9209999999996</v>
      </c>
      <c r="M212" s="3">
        <v>6429.5243333333337</v>
      </c>
      <c r="N212" s="3"/>
      <c r="O212" s="3">
        <v>14840.983333333332</v>
      </c>
      <c r="P212" s="3">
        <v>5824.0653333333312</v>
      </c>
      <c r="Q212" s="3">
        <v>43041.966666666667</v>
      </c>
      <c r="R212" s="3">
        <v>383.8443333333334</v>
      </c>
    </row>
    <row r="213" spans="1:18">
      <c r="A213" s="2">
        <v>39203</v>
      </c>
      <c r="B213" s="4">
        <v>961.74142857142851</v>
      </c>
      <c r="C213" s="3">
        <v>2167.3883870967738</v>
      </c>
      <c r="D213" s="3">
        <v>51171.928709677413</v>
      </c>
      <c r="E213" s="3">
        <v>3218.6948709677422</v>
      </c>
      <c r="F213" s="3"/>
      <c r="G213" s="3">
        <v>30279.013870967738</v>
      </c>
      <c r="H213" s="3">
        <v>1632.0048387096772</v>
      </c>
      <c r="I213" s="3">
        <v>4027.5472903225809</v>
      </c>
      <c r="J213" s="3">
        <v>20705.287419354838</v>
      </c>
      <c r="K213" s="3">
        <v>17546.66290322581</v>
      </c>
      <c r="L213" s="3">
        <v>1511.6335483870973</v>
      </c>
      <c r="M213" s="3">
        <v>6577.4419354838692</v>
      </c>
      <c r="N213" s="3"/>
      <c r="O213" s="3">
        <v>14859.922580645165</v>
      </c>
      <c r="P213" s="3">
        <v>6054.9058064516121</v>
      </c>
      <c r="Q213" s="3">
        <v>43609.741935483871</v>
      </c>
      <c r="R213" s="3">
        <v>391.93741935483854</v>
      </c>
    </row>
    <row r="214" spans="1:18">
      <c r="A214" s="2">
        <v>39234</v>
      </c>
      <c r="B214" s="4">
        <v>987.55421052631573</v>
      </c>
      <c r="C214" s="3">
        <v>2208.2476666666671</v>
      </c>
      <c r="D214" s="3">
        <v>53614.188666666676</v>
      </c>
      <c r="E214" s="3">
        <v>3367.1539666666667</v>
      </c>
      <c r="F214" s="3"/>
      <c r="G214" s="3">
        <v>31670.591333333334</v>
      </c>
      <c r="H214" s="3">
        <v>1642.5013333333334</v>
      </c>
      <c r="I214" s="3">
        <v>4012.0792333333347</v>
      </c>
      <c r="J214" s="3">
        <v>21196.52066666666</v>
      </c>
      <c r="K214" s="3">
        <v>17998.774333333331</v>
      </c>
      <c r="L214" s="3">
        <v>1515.5529999999994</v>
      </c>
      <c r="M214" s="3">
        <v>6604.2683333333325</v>
      </c>
      <c r="N214" s="3"/>
      <c r="O214" s="3">
        <v>14999.100000000004</v>
      </c>
      <c r="P214" s="3">
        <v>6024.2773333333316</v>
      </c>
      <c r="Q214" s="3">
        <v>42314.26666666667</v>
      </c>
      <c r="R214" s="3">
        <v>393.15533333333343</v>
      </c>
    </row>
    <row r="215" spans="1:18">
      <c r="A215" s="2">
        <v>39264</v>
      </c>
      <c r="B215" s="4">
        <v>1044.2675000000002</v>
      </c>
      <c r="C215" s="3">
        <v>2240.3000000000002</v>
      </c>
      <c r="D215" s="3">
        <v>56127.139677419356</v>
      </c>
      <c r="E215" s="3">
        <v>3387.3871290322572</v>
      </c>
      <c r="F215" s="3"/>
      <c r="G215" s="3">
        <v>31694.180645161301</v>
      </c>
      <c r="H215" s="3">
        <v>1748.9251612903226</v>
      </c>
      <c r="I215" s="3">
        <v>4012.0513225806458</v>
      </c>
      <c r="J215" s="3">
        <v>22805.612258064517</v>
      </c>
      <c r="K215" s="3">
        <v>17983.570645161293</v>
      </c>
      <c r="L215" s="3">
        <v>1519.838709677419</v>
      </c>
      <c r="M215" s="3">
        <v>6560.767741935485</v>
      </c>
      <c r="N215" s="3"/>
      <c r="O215" s="3">
        <v>14905.048387096775</v>
      </c>
      <c r="P215" s="3">
        <v>5971.4570967741929</v>
      </c>
      <c r="Q215" s="3">
        <v>41521.516129032258</v>
      </c>
      <c r="R215" s="3">
        <v>391.13096774193559</v>
      </c>
    </row>
    <row r="216" spans="1:18">
      <c r="A216" s="2">
        <v>39295</v>
      </c>
      <c r="B216" s="4">
        <v>1027.98</v>
      </c>
      <c r="C216" s="3">
        <v>2047.7090322580646</v>
      </c>
      <c r="D216" s="3">
        <v>52058.939032258073</v>
      </c>
      <c r="E216" s="3">
        <v>3200.9646451612907</v>
      </c>
      <c r="F216" s="3"/>
      <c r="G216" s="3">
        <v>29467.004838709676</v>
      </c>
      <c r="H216" s="3">
        <v>1659.0925806451614</v>
      </c>
      <c r="I216" s="3">
        <v>4828.0578064516121</v>
      </c>
      <c r="J216" s="3">
        <v>22214.709677419356</v>
      </c>
      <c r="K216" s="3">
        <v>16423.714838709675</v>
      </c>
      <c r="L216" s="3">
        <v>1454.2003225806454</v>
      </c>
      <c r="M216" s="3">
        <v>6168.1564516129029</v>
      </c>
      <c r="N216" s="3"/>
      <c r="O216" s="3">
        <v>14426.932258064517</v>
      </c>
      <c r="P216" s="3">
        <v>5524.4570967741947</v>
      </c>
      <c r="Q216" s="3">
        <v>39408.354838709674</v>
      </c>
      <c r="R216" s="3">
        <v>368.11967741935479</v>
      </c>
    </row>
    <row r="217" spans="1:18">
      <c r="A217" s="2">
        <v>39326</v>
      </c>
      <c r="B217" s="4">
        <v>1018.0840000000001</v>
      </c>
      <c r="C217" s="3">
        <v>2089.5963333333334</v>
      </c>
      <c r="D217" s="3">
        <v>56324.393000000018</v>
      </c>
      <c r="E217" s="3">
        <v>3213.2617666666656</v>
      </c>
      <c r="F217" s="3"/>
      <c r="G217" s="3">
        <v>30375.509666666661</v>
      </c>
      <c r="H217" s="3">
        <v>1688.9450000000008</v>
      </c>
      <c r="I217" s="3">
        <v>5361.078166666668</v>
      </c>
      <c r="J217" s="3">
        <v>25106.255000000001</v>
      </c>
      <c r="K217" s="3">
        <v>16283.69833333333</v>
      </c>
      <c r="L217" s="3">
        <v>1494.9259999999997</v>
      </c>
      <c r="M217" s="3">
        <v>6343.902</v>
      </c>
      <c r="N217" s="3"/>
      <c r="O217" s="3">
        <v>14237.743333333328</v>
      </c>
      <c r="P217" s="3">
        <v>5601.3169999999982</v>
      </c>
      <c r="Q217" s="3">
        <v>39528.26666666667</v>
      </c>
      <c r="R217" s="3">
        <v>372.49933333333331</v>
      </c>
    </row>
    <row r="218" spans="1:18">
      <c r="A218" s="2">
        <v>39356</v>
      </c>
      <c r="B218" s="4">
        <v>1022.2745454545455</v>
      </c>
      <c r="C218" s="3">
        <v>2273.8056666666671</v>
      </c>
      <c r="D218" s="3">
        <v>62628.934000000008</v>
      </c>
      <c r="E218" s="3">
        <v>3410.7734333333347</v>
      </c>
      <c r="F218" s="3"/>
      <c r="G218" s="3">
        <v>31911.776666666668</v>
      </c>
      <c r="H218" s="3">
        <v>1816.8390000000002</v>
      </c>
      <c r="I218" s="3">
        <v>5747.2964333333339</v>
      </c>
      <c r="J218" s="3">
        <v>29101.807666666668</v>
      </c>
      <c r="K218" s="3">
        <v>16901.33966666667</v>
      </c>
      <c r="L218" s="3">
        <v>1538.698333333333</v>
      </c>
      <c r="M218" s="3">
        <v>6602.8106666666663</v>
      </c>
      <c r="N218" s="3"/>
      <c r="O218" s="3">
        <v>15244.02</v>
      </c>
      <c r="P218" s="3">
        <v>5795.2206666666661</v>
      </c>
      <c r="Q218" s="3">
        <v>40318.966666666667</v>
      </c>
      <c r="R218" s="3">
        <v>384.53600000000012</v>
      </c>
    </row>
    <row r="219" spans="1:18">
      <c r="A219" s="2">
        <v>39387</v>
      </c>
      <c r="B219" s="4">
        <v>1083.1174999999998</v>
      </c>
      <c r="C219" s="3">
        <v>2267.2833333333338</v>
      </c>
      <c r="D219" s="3">
        <v>62847.612999999983</v>
      </c>
      <c r="E219" s="3">
        <v>3220.5328666666669</v>
      </c>
      <c r="F219" s="3"/>
      <c r="G219" s="3">
        <v>29392.989000000001</v>
      </c>
      <c r="H219" s="3">
        <v>1847.9026666666659</v>
      </c>
      <c r="I219" s="3">
        <v>5290.8852000000015</v>
      </c>
      <c r="J219" s="3">
        <v>28304.643333333323</v>
      </c>
      <c r="K219" s="3">
        <v>15519.879333333336</v>
      </c>
      <c r="L219" s="3">
        <v>1462.4480000000003</v>
      </c>
      <c r="M219" s="3">
        <v>6331.0036666666647</v>
      </c>
      <c r="N219" s="3"/>
      <c r="O219" s="3">
        <v>15669.69</v>
      </c>
      <c r="P219" s="3">
        <v>5567.2103333333353</v>
      </c>
      <c r="Q219" s="3">
        <v>38470.9</v>
      </c>
      <c r="R219" s="3">
        <v>366.28466666666668</v>
      </c>
    </row>
    <row r="220" spans="1:18">
      <c r="A220" s="2">
        <v>39417</v>
      </c>
      <c r="B220" s="4">
        <v>1069.7989473684211</v>
      </c>
      <c r="C220" s="3">
        <v>2182.4843333333338</v>
      </c>
      <c r="D220" s="3">
        <v>63519.472333333331</v>
      </c>
      <c r="E220" s="3">
        <v>3109.958000000001</v>
      </c>
      <c r="F220" s="3"/>
      <c r="G220" s="3">
        <v>30031.821999999993</v>
      </c>
      <c r="H220" s="3">
        <v>1902.7569999999998</v>
      </c>
      <c r="I220" s="3">
        <v>5074.0370666666659</v>
      </c>
      <c r="J220" s="3">
        <v>28057.493333333343</v>
      </c>
      <c r="K220" s="3">
        <v>15536.556333333338</v>
      </c>
      <c r="L220" s="3">
        <v>1480.9986666666666</v>
      </c>
      <c r="M220" s="3">
        <v>6443.5593333333345</v>
      </c>
      <c r="N220" s="3"/>
      <c r="O220" s="3">
        <v>15502.639999999996</v>
      </c>
      <c r="P220" s="3">
        <v>5627.9229999999998</v>
      </c>
      <c r="Q220" s="3">
        <v>38714.23333333333</v>
      </c>
      <c r="R220" s="3">
        <v>366.91399999999982</v>
      </c>
    </row>
    <row r="221" spans="1:18">
      <c r="A221" s="2">
        <v>39448</v>
      </c>
      <c r="B221" s="3">
        <v>953.03428571428572</v>
      </c>
      <c r="C221" s="3">
        <v>2047.4829032258067</v>
      </c>
      <c r="D221" s="3">
        <v>59670.910645161297</v>
      </c>
      <c r="E221" s="3">
        <v>2743.097322580647</v>
      </c>
      <c r="F221" s="3"/>
      <c r="G221" s="3">
        <v>27929.762580645165</v>
      </c>
      <c r="H221" s="3">
        <v>1796.9770967741931</v>
      </c>
      <c r="I221" s="3">
        <v>5091.9093548387082</v>
      </c>
      <c r="J221" s="3">
        <v>25679.512258064515</v>
      </c>
      <c r="K221" s="3">
        <v>13984.330967741935</v>
      </c>
      <c r="L221" s="3">
        <v>1376.9193548387098</v>
      </c>
      <c r="M221" s="3">
        <v>6057.5961290322566</v>
      </c>
      <c r="N221" s="3"/>
      <c r="O221" s="3">
        <v>13890.087096774192</v>
      </c>
      <c r="P221" s="3">
        <v>5179.6770967741923</v>
      </c>
      <c r="Q221" s="3">
        <v>36081.096774193546</v>
      </c>
      <c r="R221" s="3">
        <v>335.58709677419347</v>
      </c>
    </row>
    <row r="222" spans="1:18">
      <c r="A222" s="2">
        <v>39479</v>
      </c>
      <c r="B222" s="3">
        <v>928.22793103448294</v>
      </c>
      <c r="C222" s="3">
        <v>2065.0796551724134</v>
      </c>
      <c r="D222" s="3">
        <v>62152.477586206907</v>
      </c>
      <c r="E222" s="3">
        <v>2837.2624482758629</v>
      </c>
      <c r="F222" s="3"/>
      <c r="G222" s="3">
        <v>29090.645517241377</v>
      </c>
      <c r="H222" s="3">
        <v>1663.4634482758624</v>
      </c>
      <c r="I222" s="3">
        <v>4476.4405517241385</v>
      </c>
      <c r="J222" s="3">
        <v>23797.769999999997</v>
      </c>
      <c r="K222" s="3">
        <v>13491.340689655175</v>
      </c>
      <c r="L222" s="3">
        <v>1355.4158620689657</v>
      </c>
      <c r="M222" s="3">
        <v>5899.6993103448285</v>
      </c>
      <c r="N222" s="3"/>
      <c r="O222" s="3">
        <v>13165.468965517241</v>
      </c>
      <c r="P222" s="3">
        <v>4838.5058620689661</v>
      </c>
      <c r="Q222" s="3">
        <v>33811.517241379312</v>
      </c>
      <c r="R222" s="3">
        <v>321.58103448275858</v>
      </c>
    </row>
    <row r="223" spans="1:18">
      <c r="A223" s="2">
        <v>39508</v>
      </c>
      <c r="B223" s="3">
        <v>899.01193548387096</v>
      </c>
      <c r="C223" s="3">
        <v>2098.5287096774186</v>
      </c>
      <c r="D223" s="3">
        <v>61399.940322580675</v>
      </c>
      <c r="E223" s="3">
        <v>2828.1860322580646</v>
      </c>
      <c r="F223" s="3"/>
      <c r="G223" s="3">
        <v>29323.418387096775</v>
      </c>
      <c r="H223" s="3">
        <v>1624.9377419354842</v>
      </c>
      <c r="I223" s="3">
        <v>3941.909387096774</v>
      </c>
      <c r="J223" s="3">
        <v>22509.529999999992</v>
      </c>
      <c r="K223" s="3">
        <v>12650.964193548385</v>
      </c>
      <c r="L223" s="3">
        <v>1315.5519354838707</v>
      </c>
      <c r="M223" s="3">
        <v>5666.0512903225826</v>
      </c>
      <c r="N223" s="3"/>
      <c r="O223" s="3">
        <v>13034.903225806458</v>
      </c>
      <c r="P223" s="3">
        <v>4635.8348387096776</v>
      </c>
      <c r="Q223" s="3">
        <v>31787.419354838708</v>
      </c>
      <c r="R223" s="3">
        <v>305.64387096774192</v>
      </c>
    </row>
    <row r="224" spans="1:18">
      <c r="A224" s="2">
        <v>39539</v>
      </c>
      <c r="B224" s="3">
        <v>938.14</v>
      </c>
      <c r="C224" s="3">
        <v>2137.9920000000002</v>
      </c>
      <c r="D224" s="3">
        <v>64272.140999999989</v>
      </c>
      <c r="E224" s="3">
        <v>2985.9226999999996</v>
      </c>
      <c r="F224" s="3"/>
      <c r="G224" s="3">
        <v>31452.71000000001</v>
      </c>
      <c r="H224" s="3">
        <v>1665.3556666666664</v>
      </c>
      <c r="I224" s="3">
        <v>3399.0827666666664</v>
      </c>
      <c r="J224" s="3">
        <v>24603.135000000006</v>
      </c>
      <c r="K224" s="3">
        <v>13410.659666666665</v>
      </c>
      <c r="L224" s="3">
        <v>1371.1039999999998</v>
      </c>
      <c r="M224" s="3">
        <v>5994.6436666666659</v>
      </c>
      <c r="N224" s="3"/>
      <c r="O224" s="3">
        <v>13678.103333333333</v>
      </c>
      <c r="P224" s="3">
        <v>4902.7213333333348</v>
      </c>
      <c r="Q224" s="3">
        <v>33477.666666666664</v>
      </c>
      <c r="R224" s="3">
        <v>317.46399999999994</v>
      </c>
    </row>
    <row r="225" spans="1:18">
      <c r="A225" s="2">
        <v>39569</v>
      </c>
      <c r="B225" s="3">
        <v>1011.0664516129029</v>
      </c>
      <c r="C225" s="3">
        <v>2159.8470967741932</v>
      </c>
      <c r="D225" s="3">
        <v>71077.766451612901</v>
      </c>
      <c r="E225" s="3">
        <v>2986.0619354838714</v>
      </c>
      <c r="F225" s="3"/>
      <c r="G225" s="3">
        <v>31147.900645161288</v>
      </c>
      <c r="H225" s="3">
        <v>1843.2074193548385</v>
      </c>
      <c r="I225" s="3">
        <v>3569.7489677419362</v>
      </c>
      <c r="J225" s="3">
        <v>25269.68096774193</v>
      </c>
      <c r="K225" s="3">
        <v>14006.977096774193</v>
      </c>
      <c r="L225" s="3">
        <v>1401.638709677419</v>
      </c>
      <c r="M225" s="3">
        <v>6184.6329032258072</v>
      </c>
      <c r="N225" s="3"/>
      <c r="O225" s="3">
        <v>13895.8</v>
      </c>
      <c r="P225" s="3">
        <v>5016.7361290322569</v>
      </c>
      <c r="Q225" s="3">
        <v>33694.516129032258</v>
      </c>
      <c r="R225" s="3">
        <v>325.15516129032261</v>
      </c>
    </row>
    <row r="226" spans="1:18">
      <c r="A226" s="2">
        <v>39600</v>
      </c>
      <c r="B226" s="3">
        <v>980.84900000000027</v>
      </c>
      <c r="C226" s="3">
        <v>2105.9423333333339</v>
      </c>
      <c r="D226" s="3">
        <v>67211.878000000012</v>
      </c>
      <c r="E226" s="3">
        <v>3039.5816999999979</v>
      </c>
      <c r="F226" s="3"/>
      <c r="G226" s="3">
        <v>30295.726666666651</v>
      </c>
      <c r="H226" s="3">
        <v>1822.9956666666667</v>
      </c>
      <c r="I226" s="3">
        <v>3007.8429666666666</v>
      </c>
      <c r="J226" s="3">
        <v>23205.671333333325</v>
      </c>
      <c r="K226" s="3">
        <v>14067.146000000001</v>
      </c>
      <c r="L226" s="3">
        <v>1340.0229999999999</v>
      </c>
      <c r="M226" s="3">
        <v>5770.5980000000009</v>
      </c>
      <c r="N226" s="3"/>
      <c r="O226" s="3">
        <v>12708.98</v>
      </c>
      <c r="P226" s="3">
        <v>4657.9433333333345</v>
      </c>
      <c r="Q226" s="3">
        <v>30812.833333333332</v>
      </c>
      <c r="R226" s="3">
        <v>302.86166666666662</v>
      </c>
    </row>
    <row r="227" spans="1:18">
      <c r="A227" s="2">
        <v>39630</v>
      </c>
      <c r="B227" s="3">
        <v>924.67967741935456</v>
      </c>
      <c r="C227" s="3">
        <v>1941.3025806451615</v>
      </c>
      <c r="D227" s="3">
        <v>59609.077419354842</v>
      </c>
      <c r="E227" s="3">
        <v>2836.9611290322578</v>
      </c>
      <c r="F227" s="3"/>
      <c r="G227" s="3">
        <v>27844.024838709673</v>
      </c>
      <c r="H227" s="3">
        <v>1609.3248387096771</v>
      </c>
      <c r="I227" s="3">
        <v>2799.6746451612894</v>
      </c>
      <c r="J227" s="3">
        <v>22073.468387096767</v>
      </c>
      <c r="K227" s="3">
        <v>13140.379677419358</v>
      </c>
      <c r="L227" s="3">
        <v>1256.9593548387097</v>
      </c>
      <c r="M227" s="3">
        <v>5368.9187096774185</v>
      </c>
      <c r="N227" s="3"/>
      <c r="O227" s="3">
        <v>11691.11612903226</v>
      </c>
      <c r="P227" s="3">
        <v>4280.3787096774195</v>
      </c>
      <c r="Q227" s="3">
        <v>28296.677419354837</v>
      </c>
      <c r="R227" s="3">
        <v>279.02903225806449</v>
      </c>
    </row>
    <row r="228" spans="1:18">
      <c r="A228" s="2">
        <v>39661</v>
      </c>
      <c r="B228" s="3">
        <v>949.49064516129056</v>
      </c>
      <c r="C228" s="3">
        <v>1774.3064516129036</v>
      </c>
      <c r="D228" s="3">
        <v>55630.867419354814</v>
      </c>
      <c r="E228" s="3">
        <v>2915.5514516129037</v>
      </c>
      <c r="F228" s="3"/>
      <c r="G228" s="3">
        <v>26815.579032258058</v>
      </c>
      <c r="H228" s="3">
        <v>1400.2358064516127</v>
      </c>
      <c r="I228" s="3">
        <v>2507.9802580645173</v>
      </c>
      <c r="J228" s="3">
        <v>21442.861935483874</v>
      </c>
      <c r="K228" s="3">
        <v>12994.161935483869</v>
      </c>
      <c r="L228" s="3">
        <v>1282.9238709677425</v>
      </c>
      <c r="M228" s="3">
        <v>5474.2245161290311</v>
      </c>
      <c r="N228" s="3"/>
      <c r="O228" s="3">
        <v>11623.112903225801</v>
      </c>
      <c r="P228" s="3">
        <v>4415.9119354838704</v>
      </c>
      <c r="Q228" s="3">
        <v>28559.290322580644</v>
      </c>
      <c r="R228" s="3">
        <v>285.15870967741932</v>
      </c>
    </row>
    <row r="229" spans="1:18">
      <c r="A229" s="2">
        <v>39692</v>
      </c>
      <c r="B229" s="3">
        <v>994.14233333333323</v>
      </c>
      <c r="C229" s="3">
        <v>1650.1066666666666</v>
      </c>
      <c r="D229" s="3">
        <v>50980.748666666666</v>
      </c>
      <c r="E229" s="3">
        <v>2766.8390000000004</v>
      </c>
      <c r="F229" s="3"/>
      <c r="G229" s="3">
        <v>25459.108000000007</v>
      </c>
      <c r="H229" s="3">
        <v>1123.1640000000002</v>
      </c>
      <c r="I229" s="3">
        <v>2169.5674666666664</v>
      </c>
      <c r="J229" s="3">
        <v>19356.890333333333</v>
      </c>
      <c r="K229" s="3">
        <v>12108.598333333333</v>
      </c>
      <c r="L229" s="3">
        <v>1225.4736666666665</v>
      </c>
      <c r="M229" s="3">
        <v>5240.3889999999992</v>
      </c>
      <c r="N229" s="3"/>
      <c r="O229" s="3">
        <v>11291.136666666667</v>
      </c>
      <c r="P229" s="3">
        <v>4229.53</v>
      </c>
      <c r="Q229" s="3">
        <v>27557.7</v>
      </c>
      <c r="R229" s="3">
        <v>272.60066666666677</v>
      </c>
    </row>
    <row r="230" spans="1:18">
      <c r="A230" s="2">
        <v>39722</v>
      </c>
      <c r="B230" s="3">
        <v>816.26400000000024</v>
      </c>
      <c r="C230" s="3">
        <v>1175.8496666666667</v>
      </c>
      <c r="D230" s="3">
        <v>37626.05266666667</v>
      </c>
      <c r="E230" s="3">
        <v>2406.3717666666662</v>
      </c>
      <c r="F230" s="3"/>
      <c r="G230" s="3">
        <v>20305.268333333333</v>
      </c>
      <c r="H230" s="3">
        <v>682.63566666666657</v>
      </c>
      <c r="I230" s="3">
        <v>1979.7614666666664</v>
      </c>
      <c r="J230" s="3">
        <v>14995.361333333331</v>
      </c>
      <c r="K230" s="3">
        <v>8967.5993333333336</v>
      </c>
      <c r="L230" s="3">
        <v>960.49099999999987</v>
      </c>
      <c r="M230" s="3">
        <v>4240.8109999999988</v>
      </c>
      <c r="N230" s="3"/>
      <c r="O230" s="3">
        <v>9569.130000000001</v>
      </c>
      <c r="P230" s="3">
        <v>3446.6163333333325</v>
      </c>
      <c r="Q230" s="3">
        <v>21846.226666666669</v>
      </c>
      <c r="R230" s="3">
        <v>220.28966666666662</v>
      </c>
    </row>
    <row r="231" spans="1:18">
      <c r="A231" s="2">
        <v>39753</v>
      </c>
      <c r="B231" s="3">
        <v>774.28566666666688</v>
      </c>
      <c r="C231" s="3">
        <v>997.89233333333368</v>
      </c>
      <c r="D231" s="3">
        <v>35692.597999999998</v>
      </c>
      <c r="E231" s="3">
        <v>2492.9658333333336</v>
      </c>
      <c r="F231" s="3"/>
      <c r="G231" s="3">
        <v>19684.315333333328</v>
      </c>
      <c r="H231" s="3">
        <v>638.47766666666678</v>
      </c>
      <c r="I231" s="3">
        <v>1870.9089333333338</v>
      </c>
      <c r="J231" s="3">
        <v>13602.021333333332</v>
      </c>
      <c r="K231" s="3">
        <v>8471.491</v>
      </c>
      <c r="L231" s="3">
        <v>886.80166666666685</v>
      </c>
      <c r="M231" s="3">
        <v>4218.9173333333338</v>
      </c>
      <c r="N231" s="3"/>
      <c r="O231" s="3">
        <v>8829.8833333333332</v>
      </c>
      <c r="P231" s="3">
        <v>3284.2459999999992</v>
      </c>
      <c r="Q231" s="3">
        <v>20586.966666666667</v>
      </c>
      <c r="R231" s="3">
        <v>206.97333333333336</v>
      </c>
    </row>
    <row r="232" spans="1:18">
      <c r="A232" s="2">
        <v>39783</v>
      </c>
      <c r="B232" s="3">
        <v>845.37233333333313</v>
      </c>
      <c r="C232" s="3">
        <v>1057.1720000000003</v>
      </c>
      <c r="D232" s="3">
        <v>37591.123666666674</v>
      </c>
      <c r="E232" s="3">
        <v>2336.1749666666669</v>
      </c>
      <c r="F232" s="3"/>
      <c r="G232" s="3">
        <v>21593.836333333333</v>
      </c>
      <c r="H232" s="3">
        <v>611.99999999999989</v>
      </c>
      <c r="I232" s="3">
        <v>1951.2556333333337</v>
      </c>
      <c r="J232" s="3">
        <v>14560.119000000002</v>
      </c>
      <c r="K232" s="3">
        <v>8478.8196666666663</v>
      </c>
      <c r="L232" s="3">
        <v>877.71333333333325</v>
      </c>
      <c r="M232" s="3">
        <v>4257.8523333333324</v>
      </c>
      <c r="N232" s="3"/>
      <c r="O232" s="3">
        <v>9025.8466666666664</v>
      </c>
      <c r="P232" s="3">
        <v>3178.9136666666682</v>
      </c>
      <c r="Q232" s="3">
        <v>19208.5</v>
      </c>
      <c r="R232" s="3">
        <v>196.53533333333328</v>
      </c>
    </row>
    <row r="233" spans="1:18">
      <c r="A233" s="2">
        <v>39814</v>
      </c>
      <c r="B233" s="3">
        <v>856.24419354838699</v>
      </c>
      <c r="C233" s="3">
        <v>1112.3877419354833</v>
      </c>
      <c r="D233" s="3">
        <v>39560.941612903218</v>
      </c>
      <c r="E233" s="3">
        <v>2489.9388064516129</v>
      </c>
      <c r="F233" s="3"/>
      <c r="G233" s="3">
        <v>20838.005806451616</v>
      </c>
      <c r="H233" s="3">
        <v>607.9916129032257</v>
      </c>
      <c r="I233" s="3">
        <v>1934.8586774193548</v>
      </c>
      <c r="J233" s="3">
        <v>13683.916129032257</v>
      </c>
      <c r="K233" s="3">
        <v>8393.2835483870967</v>
      </c>
      <c r="L233" s="3">
        <v>867.71612903225832</v>
      </c>
      <c r="M233" s="3">
        <v>4287.8151612903221</v>
      </c>
      <c r="N233" s="3"/>
      <c r="O233" s="3">
        <v>8842.0387096774193</v>
      </c>
      <c r="P233" s="3">
        <v>3106.945806451612</v>
      </c>
      <c r="Q233" s="3">
        <v>18890.16129032258</v>
      </c>
      <c r="R233" s="3">
        <v>196.1016129032258</v>
      </c>
    </row>
    <row r="234" spans="1:18">
      <c r="A234" s="2">
        <v>39845</v>
      </c>
      <c r="B234" s="3">
        <v>861.17535714285714</v>
      </c>
      <c r="C234" s="3">
        <v>1080.5857142857144</v>
      </c>
      <c r="D234" s="3">
        <v>40154.913928571434</v>
      </c>
      <c r="E234" s="3">
        <v>2594.2137142857141</v>
      </c>
      <c r="F234" s="3"/>
      <c r="G234" s="3">
        <v>19124.381071428568</v>
      </c>
      <c r="H234" s="3">
        <v>663.20749999999987</v>
      </c>
      <c r="I234" s="3">
        <v>2203.7143928571431</v>
      </c>
      <c r="J234" s="3">
        <v>13187.166071428572</v>
      </c>
      <c r="K234" s="3">
        <v>7723.3600000000006</v>
      </c>
      <c r="L234" s="3">
        <v>807.78964285714312</v>
      </c>
      <c r="M234" s="3">
        <v>4078.721785714285</v>
      </c>
      <c r="N234" s="3"/>
      <c r="O234" s="3">
        <v>8071.6571428571433</v>
      </c>
      <c r="P234" s="3">
        <v>2916.0600000000004</v>
      </c>
      <c r="Q234" s="3">
        <v>17011.821428571428</v>
      </c>
      <c r="R234" s="3">
        <v>186.26642857142858</v>
      </c>
    </row>
    <row r="235" spans="1:18">
      <c r="A235" s="2">
        <v>39873</v>
      </c>
      <c r="B235" s="3">
        <v>856.76322580645149</v>
      </c>
      <c r="C235" s="3">
        <v>1051.04</v>
      </c>
      <c r="D235" s="3">
        <v>39453.443548387106</v>
      </c>
      <c r="E235" s="3">
        <v>2464.6093548387098</v>
      </c>
      <c r="F235" s="3"/>
      <c r="G235" s="3">
        <v>18875.65870967742</v>
      </c>
      <c r="H235" s="3">
        <v>752.68322580645167</v>
      </c>
      <c r="I235" s="3">
        <v>2227.7028387096775</v>
      </c>
      <c r="J235" s="3">
        <v>12809.716129032258</v>
      </c>
      <c r="K235" s="3">
        <v>7780.6845161290294</v>
      </c>
      <c r="L235" s="3">
        <v>756.15161290322555</v>
      </c>
      <c r="M235" s="3">
        <v>3761.5274193548398</v>
      </c>
      <c r="N235" s="3"/>
      <c r="O235" s="3">
        <v>7521.5774193548395</v>
      </c>
      <c r="P235" s="3">
        <v>2722.6829032258056</v>
      </c>
      <c r="Q235" s="3">
        <v>14584.838709677419</v>
      </c>
      <c r="R235" s="3">
        <v>169.91967741935488</v>
      </c>
    </row>
    <row r="236" spans="1:18">
      <c r="A236" s="2">
        <v>39904</v>
      </c>
      <c r="B236" s="3">
        <v>893.02966666666691</v>
      </c>
      <c r="C236" s="3">
        <v>1212.232666666667</v>
      </c>
      <c r="D236" s="3">
        <v>45309.506000000016</v>
      </c>
      <c r="E236" s="3">
        <v>2624.4624999999996</v>
      </c>
      <c r="F236" s="3"/>
      <c r="G236" s="3">
        <v>21438.961000000003</v>
      </c>
      <c r="H236" s="3">
        <v>894.50900000000001</v>
      </c>
      <c r="I236" s="3">
        <v>2458.3777999999993</v>
      </c>
      <c r="J236" s="3">
        <v>15033.460333333331</v>
      </c>
      <c r="K236" s="3">
        <v>8775.9986666666628</v>
      </c>
      <c r="L236" s="3">
        <v>851.25099999999986</v>
      </c>
      <c r="M236" s="3">
        <v>4047.2793333333339</v>
      </c>
      <c r="N236" s="3"/>
      <c r="O236" s="3">
        <v>8677.6533333333336</v>
      </c>
      <c r="P236" s="3">
        <v>3011.5973333333341</v>
      </c>
      <c r="Q236" s="3">
        <v>17770.133333333335</v>
      </c>
      <c r="R236" s="3">
        <v>190.79833333333323</v>
      </c>
    </row>
    <row r="237" spans="1:18">
      <c r="A237" s="2">
        <v>39934</v>
      </c>
      <c r="B237" s="3">
        <v>996.40774193548384</v>
      </c>
      <c r="C237" s="3">
        <v>1484.927419354839</v>
      </c>
      <c r="D237" s="3">
        <v>50582.823225806453</v>
      </c>
      <c r="E237" s="3">
        <v>2953.0547419354843</v>
      </c>
      <c r="F237" s="3"/>
      <c r="G237" s="3">
        <v>23738.729999999992</v>
      </c>
      <c r="H237" s="3">
        <v>1026.0141935483871</v>
      </c>
      <c r="I237" s="3">
        <v>2606.8307419354833</v>
      </c>
      <c r="J237" s="3">
        <v>17052.836129032265</v>
      </c>
      <c r="K237" s="3">
        <v>9266.4177419354837</v>
      </c>
      <c r="L237" s="3">
        <v>900.86161290322593</v>
      </c>
      <c r="M237" s="3">
        <v>4379.4719354838699</v>
      </c>
      <c r="N237" s="3"/>
      <c r="O237" s="3">
        <v>9242.8290322580651</v>
      </c>
      <c r="P237" s="3">
        <v>3236.5880645161287</v>
      </c>
      <c r="Q237" s="3">
        <v>19910.258064516129</v>
      </c>
      <c r="R237" s="3">
        <v>206.27645161290326</v>
      </c>
    </row>
    <row r="238" spans="1:18">
      <c r="A238" s="2">
        <v>39965</v>
      </c>
      <c r="B238" s="3">
        <v>1074.6590000000001</v>
      </c>
      <c r="C238" s="3">
        <v>1602.6810000000003</v>
      </c>
      <c r="D238" s="3">
        <v>52206.946333333355</v>
      </c>
      <c r="E238" s="3">
        <v>3160.8394333333331</v>
      </c>
      <c r="F238" s="3"/>
      <c r="G238" s="3">
        <v>24627.655666666669</v>
      </c>
      <c r="H238" s="3">
        <v>1064.0523333333335</v>
      </c>
      <c r="I238" s="3">
        <v>2829.3629999999994</v>
      </c>
      <c r="J238" s="3">
        <v>18390.491333333332</v>
      </c>
      <c r="K238" s="3">
        <v>9832.0570000000025</v>
      </c>
      <c r="L238" s="3">
        <v>927.57966666666641</v>
      </c>
      <c r="M238" s="3">
        <v>4353.9436666666652</v>
      </c>
      <c r="N238" s="3"/>
      <c r="O238" s="3">
        <v>9574.5966666666682</v>
      </c>
      <c r="P238" s="3">
        <v>3245.8386666666661</v>
      </c>
      <c r="Q238" s="3">
        <v>19636.364333333331</v>
      </c>
      <c r="R238" s="3">
        <v>208.85333333333332</v>
      </c>
    </row>
    <row r="239" spans="1:18">
      <c r="A239" s="2">
        <v>39995</v>
      </c>
      <c r="B239" s="3">
        <v>1114.2822580645163</v>
      </c>
      <c r="C239" s="3">
        <v>1600.8635483870967</v>
      </c>
      <c r="D239" s="3">
        <v>51872.346774193553</v>
      </c>
      <c r="E239" s="3">
        <v>3172.4660967741943</v>
      </c>
      <c r="F239" s="3"/>
      <c r="G239" s="3">
        <v>25220.439354838716</v>
      </c>
      <c r="H239" s="3">
        <v>965.69451612903231</v>
      </c>
      <c r="I239" s="3">
        <v>3205.0688064516139</v>
      </c>
      <c r="J239" s="3">
        <v>18827.769677419343</v>
      </c>
      <c r="K239" s="3">
        <v>9660.8516129032269</v>
      </c>
      <c r="L239" s="3">
        <v>931.44741935483853</v>
      </c>
      <c r="M239" s="3">
        <v>4363.5841935483868</v>
      </c>
      <c r="N239" s="3"/>
      <c r="O239" s="3">
        <v>9986.4129032258043</v>
      </c>
      <c r="P239" s="3">
        <v>3201.6316129032257</v>
      </c>
      <c r="Q239" s="3">
        <v>19245.386774193543</v>
      </c>
      <c r="R239" s="3">
        <v>209.82290322580647</v>
      </c>
    </row>
    <row r="240" spans="1:18">
      <c r="A240" s="2">
        <v>40026</v>
      </c>
      <c r="B240" s="3">
        <v>1186.7777419354834</v>
      </c>
      <c r="C240" s="3">
        <v>1775.9748387096774</v>
      </c>
      <c r="D240" s="3">
        <v>56652.711935483887</v>
      </c>
      <c r="E240" s="3">
        <v>3262.0267741935486</v>
      </c>
      <c r="F240" s="3"/>
      <c r="G240" s="3">
        <v>27996.77258064516</v>
      </c>
      <c r="H240" s="3">
        <v>1088.1893548387097</v>
      </c>
      <c r="I240" s="3">
        <v>3086.0568387096764</v>
      </c>
      <c r="J240" s="3">
        <v>20460.164516129033</v>
      </c>
      <c r="K240" s="3">
        <v>10429.501612903225</v>
      </c>
      <c r="L240" s="3">
        <v>1010.2722580645161</v>
      </c>
      <c r="M240" s="3">
        <v>4762.8654838709672</v>
      </c>
      <c r="N240" s="3"/>
      <c r="O240" s="3">
        <v>11025.429032258065</v>
      </c>
      <c r="P240" s="3">
        <v>3543.2493548387092</v>
      </c>
      <c r="Q240" s="3">
        <v>21642.849677419363</v>
      </c>
      <c r="R240" s="3">
        <v>231.00741935483873</v>
      </c>
    </row>
    <row r="241" spans="1:18">
      <c r="A241" s="2">
        <v>40057</v>
      </c>
      <c r="B241" s="3">
        <v>1245.0696428571428</v>
      </c>
      <c r="C241" s="3">
        <v>1925.7700000000002</v>
      </c>
      <c r="D241" s="3">
        <v>58946.37857142857</v>
      </c>
      <c r="E241" s="3">
        <v>3258.8737857142855</v>
      </c>
      <c r="F241" s="3"/>
      <c r="G241" s="3">
        <v>29028.817857142858</v>
      </c>
      <c r="H241" s="3">
        <v>1163.1885714285715</v>
      </c>
      <c r="I241" s="3">
        <v>2890.6650000000004</v>
      </c>
      <c r="J241" s="3">
        <v>20902.126428571431</v>
      </c>
      <c r="K241" s="3">
        <v>10309.320714285715</v>
      </c>
      <c r="L241" s="3">
        <v>1041.3935714285712</v>
      </c>
      <c r="M241" s="3">
        <v>5022.1242857142852</v>
      </c>
      <c r="N241" s="3"/>
      <c r="O241" s="3">
        <v>11524.339285714284</v>
      </c>
      <c r="P241" s="3">
        <v>3723.7807142857141</v>
      </c>
      <c r="Q241" s="3">
        <v>22892.806071428575</v>
      </c>
      <c r="R241" s="3">
        <v>239.69642857142853</v>
      </c>
    </row>
    <row r="242" spans="1:18">
      <c r="A242" s="2">
        <v>40087</v>
      </c>
      <c r="B242" s="3">
        <v>1311.604193548387</v>
      </c>
      <c r="C242" s="3">
        <v>2176.9764516129035</v>
      </c>
      <c r="D242" s="3">
        <v>63948.676451612919</v>
      </c>
      <c r="E242" s="3">
        <v>3410.337</v>
      </c>
      <c r="F242" s="3"/>
      <c r="G242" s="3">
        <v>29958.398064516132</v>
      </c>
      <c r="H242" s="3">
        <v>1295.6893548387097</v>
      </c>
      <c r="I242" s="3">
        <v>2947.2332580645157</v>
      </c>
      <c r="J242" s="3">
        <v>21650.708709677419</v>
      </c>
      <c r="K242" s="3">
        <v>10065.156774193547</v>
      </c>
      <c r="L242" s="3">
        <v>1066.2177419354839</v>
      </c>
      <c r="M242" s="3">
        <v>5153.4603225806459</v>
      </c>
      <c r="N242" s="3"/>
      <c r="O242" s="3">
        <v>11662.667741935482</v>
      </c>
      <c r="P242" s="3">
        <v>3772.2067741935489</v>
      </c>
      <c r="Q242" s="3">
        <v>23446.840000000004</v>
      </c>
      <c r="R242" s="3">
        <v>242.32612903225811</v>
      </c>
    </row>
    <row r="243" spans="1:18">
      <c r="A243" s="2">
        <v>40118</v>
      </c>
      <c r="B243" s="3">
        <v>1298.5979310344826</v>
      </c>
      <c r="C243" s="3">
        <v>2225.79724137931</v>
      </c>
      <c r="D243" s="3">
        <v>65611.607241379301</v>
      </c>
      <c r="E243" s="3">
        <v>3305.4290689655168</v>
      </c>
      <c r="F243" s="3"/>
      <c r="G243" s="3">
        <v>30480.436206896557</v>
      </c>
      <c r="H243" s="3">
        <v>1298.8810344827587</v>
      </c>
      <c r="I243" s="3">
        <v>3198.127</v>
      </c>
      <c r="J243" s="3">
        <v>22178.410000000003</v>
      </c>
      <c r="K243" s="3">
        <v>9645.1865517241349</v>
      </c>
      <c r="L243" s="3">
        <v>1086.4831034482763</v>
      </c>
      <c r="M243" s="3">
        <v>5233.0782758620708</v>
      </c>
      <c r="N243" s="3"/>
      <c r="O243" s="3">
        <v>11735.213793103447</v>
      </c>
      <c r="P243" s="3">
        <v>3745.5796551724138</v>
      </c>
      <c r="Q243" s="3">
        <v>22713.559655172412</v>
      </c>
      <c r="R243" s="3">
        <v>243.96000000000004</v>
      </c>
    </row>
    <row r="244" spans="1:18">
      <c r="A244" s="2">
        <v>40148</v>
      </c>
      <c r="B244" s="3">
        <v>1363.7822580645159</v>
      </c>
      <c r="C244" s="3">
        <v>2221.5458064516129</v>
      </c>
      <c r="D244" s="3">
        <v>68010.550645161304</v>
      </c>
      <c r="E244" s="3">
        <v>3452.8586774193559</v>
      </c>
      <c r="F244" s="3"/>
      <c r="G244" s="3">
        <v>32098.150645161288</v>
      </c>
      <c r="H244" s="3">
        <v>1342.8212903225808</v>
      </c>
      <c r="I244" s="3">
        <v>3216.2438064516141</v>
      </c>
      <c r="J244" s="3">
        <v>21746.99967741935</v>
      </c>
      <c r="K244" s="3">
        <v>10193.808709677418</v>
      </c>
      <c r="L244" s="3">
        <v>1110.8861290322582</v>
      </c>
      <c r="M244" s="3">
        <v>5311.9754838709678</v>
      </c>
      <c r="N244" s="3"/>
      <c r="O244" s="3">
        <v>11837.78387096774</v>
      </c>
      <c r="P244" s="3">
        <v>3850.5958064516126</v>
      </c>
      <c r="Q244" s="3">
        <v>22782.865806451617</v>
      </c>
      <c r="R244" s="3">
        <v>248.49096774193541</v>
      </c>
    </row>
    <row r="245" spans="1:18">
      <c r="A245" s="2">
        <v>40179</v>
      </c>
      <c r="B245" s="3">
        <v>1370.4406451612899</v>
      </c>
      <c r="C245" s="3">
        <v>2340.3909677419351</v>
      </c>
      <c r="D245" s="3">
        <v>68280.522903225807</v>
      </c>
      <c r="E245" s="3">
        <v>3739.2711290322591</v>
      </c>
      <c r="F245" s="3"/>
      <c r="G245" s="3">
        <v>31899.900967741942</v>
      </c>
      <c r="H245" s="3">
        <v>1411.9277419354839</v>
      </c>
      <c r="I245" s="3">
        <v>3167.1805806451625</v>
      </c>
      <c r="J245" s="3">
        <v>21399.728387096766</v>
      </c>
      <c r="K245" s="3">
        <v>10649.887096774191</v>
      </c>
      <c r="L245" s="3">
        <v>1120.0858064516126</v>
      </c>
      <c r="M245" s="3">
        <v>5401.0922580645147</v>
      </c>
      <c r="N245" s="3"/>
      <c r="O245" s="3">
        <v>11711.570967741938</v>
      </c>
      <c r="P245" s="3">
        <v>3917.1970967741941</v>
      </c>
      <c r="Q245" s="3">
        <v>23091.650645161295</v>
      </c>
      <c r="R245" s="3">
        <v>254.14290322580646</v>
      </c>
    </row>
    <row r="246" spans="1:18">
      <c r="A246" s="2">
        <v>40210</v>
      </c>
      <c r="B246" s="3">
        <v>1361.5064285714282</v>
      </c>
      <c r="C246" s="3">
        <v>2268.7992857142854</v>
      </c>
      <c r="D246" s="3">
        <v>65857.967857142867</v>
      </c>
      <c r="E246" s="3">
        <v>3797.7283571428561</v>
      </c>
      <c r="F246" s="3"/>
      <c r="G246" s="3">
        <v>31307.721071428579</v>
      </c>
      <c r="H246" s="3">
        <v>1348.2603571428572</v>
      </c>
      <c r="I246" s="3">
        <v>2998.2629999999999</v>
      </c>
      <c r="J246" s="3">
        <v>20207.297142857144</v>
      </c>
      <c r="K246" s="3">
        <v>10146.04357142857</v>
      </c>
      <c r="L246" s="3">
        <v>1088.5810714285712</v>
      </c>
      <c r="M246" s="3">
        <v>5231.0914285714271</v>
      </c>
      <c r="N246" s="3"/>
      <c r="O246" s="3">
        <v>10411.571428571429</v>
      </c>
      <c r="P246" s="3">
        <v>3679.4382142857139</v>
      </c>
      <c r="Q246" s="3">
        <v>21322.12178571428</v>
      </c>
      <c r="R246" s="3">
        <v>244.49500000000006</v>
      </c>
    </row>
    <row r="247" spans="1:18">
      <c r="A247" s="2">
        <v>40238</v>
      </c>
      <c r="B247" s="3">
        <v>1413.0358064516126</v>
      </c>
      <c r="C247" s="3">
        <v>2359.0080645161293</v>
      </c>
      <c r="D247" s="3">
        <v>69032.828387096772</v>
      </c>
      <c r="E247" s="3">
        <v>3779.9412258064522</v>
      </c>
      <c r="F247" s="3"/>
      <c r="G247" s="3">
        <v>32775.974516129034</v>
      </c>
      <c r="H247" s="3">
        <v>1412.1616129032257</v>
      </c>
      <c r="I247" s="3">
        <v>3053.2625806451601</v>
      </c>
      <c r="J247" s="3">
        <v>21093.496774193551</v>
      </c>
      <c r="K247" s="3">
        <v>10692.907419354837</v>
      </c>
      <c r="L247" s="3">
        <v>1152.4993548387097</v>
      </c>
      <c r="M247" s="3">
        <v>5627.119999999999</v>
      </c>
      <c r="N247" s="3"/>
      <c r="O247" s="3">
        <v>10971.161290322578</v>
      </c>
      <c r="P247" s="3">
        <v>3926.2535483870956</v>
      </c>
      <c r="Q247" s="3">
        <v>22545.733225806445</v>
      </c>
      <c r="R247" s="3">
        <v>259.05548387096775</v>
      </c>
    </row>
    <row r="248" spans="1:18">
      <c r="A248" s="2">
        <v>40269</v>
      </c>
      <c r="B248" s="3">
        <v>1466.8660000000004</v>
      </c>
      <c r="C248" s="3">
        <v>2429.5080000000007</v>
      </c>
      <c r="D248" s="3">
        <v>69939.536333333337</v>
      </c>
      <c r="E248" s="3">
        <v>3825.4602999999997</v>
      </c>
      <c r="F248" s="3"/>
      <c r="G248" s="3">
        <v>33565.448999999993</v>
      </c>
      <c r="H248" s="3">
        <v>1480.3960000000002</v>
      </c>
      <c r="I248" s="3">
        <v>3070.449133333334</v>
      </c>
      <c r="J248" s="3">
        <v>21639.123000000007</v>
      </c>
      <c r="K248" s="3">
        <v>11129.136666666664</v>
      </c>
      <c r="L248" s="3">
        <v>1196.1833333333332</v>
      </c>
      <c r="M248" s="3">
        <v>5729.0456666666669</v>
      </c>
      <c r="N248" s="3"/>
      <c r="O248" s="3">
        <v>11078.170000000004</v>
      </c>
      <c r="P248" s="3">
        <v>3986.2603333333332</v>
      </c>
      <c r="Q248" s="3">
        <v>22888.919333333328</v>
      </c>
      <c r="R248" s="3">
        <v>267.31033333333329</v>
      </c>
    </row>
    <row r="249" spans="1:18">
      <c r="A249" s="2">
        <v>40299</v>
      </c>
      <c r="B249" s="3">
        <v>1433.2400000000002</v>
      </c>
      <c r="C249" s="3">
        <v>2209.1558064516139</v>
      </c>
      <c r="D249" s="3">
        <v>62798.439032258073</v>
      </c>
      <c r="E249" s="3">
        <v>3822.5973225806461</v>
      </c>
      <c r="F249" s="3"/>
      <c r="G249" s="3">
        <v>31618.370322580649</v>
      </c>
      <c r="H249" s="3">
        <v>1327.6438709677416</v>
      </c>
      <c r="I249" s="3">
        <v>2680.5738064516127</v>
      </c>
      <c r="J249" s="3">
        <v>19981.504516129033</v>
      </c>
      <c r="K249" s="3">
        <v>10255.091935483868</v>
      </c>
      <c r="L249" s="3">
        <v>1122.9477419354839</v>
      </c>
      <c r="M249" s="3">
        <v>5237.3374193548389</v>
      </c>
      <c r="N249" s="3"/>
      <c r="O249" s="3">
        <v>9543.6322580645174</v>
      </c>
      <c r="P249" s="3">
        <v>3555.7341935483869</v>
      </c>
      <c r="Q249" s="3">
        <v>19879.928709677413</v>
      </c>
      <c r="R249" s="3">
        <v>246.15967741935484</v>
      </c>
    </row>
    <row r="250" spans="1:18">
      <c r="A250" s="2">
        <v>40330</v>
      </c>
      <c r="B250" s="3">
        <v>1456.8576666666665</v>
      </c>
      <c r="C250" s="3">
        <v>2265.8116666666665</v>
      </c>
      <c r="D250" s="3">
        <v>63400.028333333343</v>
      </c>
      <c r="E250" s="3">
        <v>4007.4651666666668</v>
      </c>
      <c r="F250" s="3"/>
      <c r="G250" s="3">
        <v>32018.530666666669</v>
      </c>
      <c r="H250" s="3">
        <v>1347.1686666666669</v>
      </c>
      <c r="I250" s="3">
        <v>2545.8499666666667</v>
      </c>
      <c r="J250" s="3">
        <v>20116.847333333339</v>
      </c>
      <c r="K250" s="3">
        <v>9799.0360000000001</v>
      </c>
      <c r="L250" s="3">
        <v>1084.5146666666665</v>
      </c>
      <c r="M250" s="3">
        <v>5141.3903333333328</v>
      </c>
      <c r="N250" s="3"/>
      <c r="O250" s="3">
        <v>9459.6266666666688</v>
      </c>
      <c r="P250" s="3">
        <v>3557.0376666666662</v>
      </c>
      <c r="Q250" s="3">
        <v>19768.099666666662</v>
      </c>
      <c r="R250" s="3">
        <v>249.43066666666664</v>
      </c>
    </row>
    <row r="251" spans="1:18">
      <c r="A251" s="2">
        <v>40360</v>
      </c>
      <c r="B251" s="3">
        <v>1520.88935483871</v>
      </c>
      <c r="C251" s="3">
        <v>2308.230322580645</v>
      </c>
      <c r="D251" s="3">
        <v>64036.806451612894</v>
      </c>
      <c r="E251" s="3">
        <v>4220.3787096774195</v>
      </c>
      <c r="F251" s="3"/>
      <c r="G251" s="3">
        <v>32092.950967741941</v>
      </c>
      <c r="H251" s="3">
        <v>1345.2729032258064</v>
      </c>
      <c r="I251" s="3">
        <v>2490.0752903225803</v>
      </c>
      <c r="J251" s="3">
        <v>20426.343870967747</v>
      </c>
      <c r="K251" s="3">
        <v>9445.0290322580622</v>
      </c>
      <c r="L251" s="3">
        <v>1075.3616129032255</v>
      </c>
      <c r="M251" s="3">
        <v>5149.2758064516138</v>
      </c>
      <c r="N251" s="3"/>
      <c r="O251" s="3">
        <v>10063.306451612905</v>
      </c>
      <c r="P251" s="3">
        <v>3533.1541935483874</v>
      </c>
      <c r="Q251" s="3">
        <v>20262.871612903236</v>
      </c>
      <c r="R251" s="3">
        <v>249.59096774193551</v>
      </c>
    </row>
    <row r="252" spans="1:18">
      <c r="A252" s="2">
        <v>40391</v>
      </c>
      <c r="B252" s="3">
        <v>1592.8003225806451</v>
      </c>
      <c r="C252" s="3">
        <v>2391.182903225807</v>
      </c>
      <c r="D252" s="3">
        <v>66627.319999999978</v>
      </c>
      <c r="E252" s="3">
        <v>4467.7540967741934</v>
      </c>
      <c r="F252" s="3"/>
      <c r="G252" s="3">
        <v>32217.017741935488</v>
      </c>
      <c r="H252" s="3">
        <v>1381.5074193548387</v>
      </c>
      <c r="I252" s="3">
        <v>2634.5347419354835</v>
      </c>
      <c r="J252" s="3">
        <v>21099.326774193549</v>
      </c>
      <c r="K252" s="3">
        <v>9276.4680645161316</v>
      </c>
      <c r="L252" s="3">
        <v>1086.9725806451613</v>
      </c>
      <c r="M252" s="3">
        <v>5269.0122580645157</v>
      </c>
      <c r="N252" s="3"/>
      <c r="O252" s="3">
        <v>10367.68064516129</v>
      </c>
      <c r="P252" s="3">
        <v>3610.8025806451606</v>
      </c>
      <c r="Q252" s="3">
        <v>20463.366451612903</v>
      </c>
      <c r="R252" s="3">
        <v>255.36709677419347</v>
      </c>
    </row>
    <row r="253" spans="1:18">
      <c r="A253" s="2">
        <v>40422</v>
      </c>
      <c r="B253" s="3">
        <v>1707.7372413793105</v>
      </c>
      <c r="C253" s="3">
        <v>2491.6620689655169</v>
      </c>
      <c r="D253" s="3">
        <v>67625.372758620695</v>
      </c>
      <c r="E253" s="3">
        <v>4731.3940689655165</v>
      </c>
      <c r="F253" s="3"/>
      <c r="G253" s="3">
        <v>32921.879999999997</v>
      </c>
      <c r="H253" s="3">
        <v>1423.2800000000004</v>
      </c>
      <c r="I253" s="3">
        <v>2634.1055379310351</v>
      </c>
      <c r="J253" s="3">
        <v>21663.484482758624</v>
      </c>
      <c r="K253" s="3">
        <v>9372.0634482758633</v>
      </c>
      <c r="L253" s="3">
        <v>1121.9075862068962</v>
      </c>
      <c r="M253" s="3">
        <v>5513.5513793103446</v>
      </c>
      <c r="N253" s="3"/>
      <c r="O253" s="3">
        <v>10635.068965517241</v>
      </c>
      <c r="P253" s="3">
        <v>3724.0441379310341</v>
      </c>
      <c r="Q253" s="3">
        <v>20618.572068965506</v>
      </c>
      <c r="R253" s="3">
        <v>262.65344827586205</v>
      </c>
    </row>
    <row r="254" spans="1:18">
      <c r="A254" s="2">
        <v>40452</v>
      </c>
      <c r="B254" s="3">
        <v>1846.8696774193552</v>
      </c>
      <c r="C254" s="3">
        <v>2778.4974193548396</v>
      </c>
      <c r="D254" s="3">
        <v>70627.989677419348</v>
      </c>
      <c r="E254" s="3">
        <v>4782.3962580645166</v>
      </c>
      <c r="F254" s="3"/>
      <c r="G254" s="3">
        <v>34744.062258064514</v>
      </c>
      <c r="H254" s="3">
        <v>1492.5025806451615</v>
      </c>
      <c r="I254" s="3">
        <v>2870.8853967741929</v>
      </c>
      <c r="J254" s="3">
        <v>23216.987096774184</v>
      </c>
      <c r="K254" s="3">
        <v>9449.5412903225842</v>
      </c>
      <c r="L254" s="3">
        <v>1171.3258064516128</v>
      </c>
      <c r="M254" s="3">
        <v>5682.949032258065</v>
      </c>
      <c r="N254" s="3"/>
      <c r="O254" s="3">
        <v>10760.445161290325</v>
      </c>
      <c r="P254" s="3">
        <v>3798.625161290322</v>
      </c>
      <c r="Q254" s="3">
        <v>21043.727741935483</v>
      </c>
      <c r="R254" s="3">
        <v>264.25322580645161</v>
      </c>
    </row>
    <row r="255" spans="1:18">
      <c r="A255" s="2">
        <v>40483</v>
      </c>
      <c r="B255" s="3">
        <v>1830.4623333333332</v>
      </c>
      <c r="C255" s="3">
        <v>3260.5546666666683</v>
      </c>
      <c r="D255" s="3">
        <v>70457.503333333341</v>
      </c>
      <c r="E255" s="3">
        <v>4969.4207333333343</v>
      </c>
      <c r="F255" s="3"/>
      <c r="G255" s="3">
        <v>36373.421666666669</v>
      </c>
      <c r="H255" s="3">
        <v>1552.5346666666669</v>
      </c>
      <c r="I255" s="3">
        <v>2972.3742099999999</v>
      </c>
      <c r="J255" s="3">
        <v>23829.086000000007</v>
      </c>
      <c r="K255" s="3">
        <v>9801.4760000000006</v>
      </c>
      <c r="L255" s="3">
        <v>1200.1130000000001</v>
      </c>
      <c r="M255" s="3">
        <v>5743.4440000000013</v>
      </c>
      <c r="N255" s="3"/>
      <c r="O255" s="3">
        <v>10126.533333333333</v>
      </c>
      <c r="P255" s="3">
        <v>3822.5836666666669</v>
      </c>
      <c r="Q255" s="3">
        <v>20652.878666666675</v>
      </c>
      <c r="R255" s="3">
        <v>268.67966666666666</v>
      </c>
    </row>
    <row r="256" spans="1:18">
      <c r="A256" s="2">
        <v>40513</v>
      </c>
      <c r="B256" s="3">
        <v>1833.2729032258062</v>
      </c>
      <c r="C256" s="3">
        <v>3432.0190322580643</v>
      </c>
      <c r="D256" s="3">
        <v>68594.489999999976</v>
      </c>
      <c r="E256" s="3">
        <v>4946.4432258064526</v>
      </c>
      <c r="F256" s="3"/>
      <c r="G256" s="3">
        <v>37871.798387096766</v>
      </c>
      <c r="H256" s="3">
        <v>1664.0254838709673</v>
      </c>
      <c r="I256" s="3">
        <v>2847.7419032258076</v>
      </c>
      <c r="J256" s="3">
        <v>23037.375161290322</v>
      </c>
      <c r="K256" s="3">
        <v>10253.729354838708</v>
      </c>
      <c r="L256" s="3">
        <v>1241.9970967741933</v>
      </c>
      <c r="M256" s="3">
        <v>5875.2090322580671</v>
      </c>
      <c r="N256" s="3"/>
      <c r="O256" s="3">
        <v>10014.699999999997</v>
      </c>
      <c r="P256" s="3">
        <v>3847.3409677419363</v>
      </c>
      <c r="Q256" s="3">
        <v>20369.750645161286</v>
      </c>
      <c r="R256" s="3">
        <v>276.57258064516134</v>
      </c>
    </row>
    <row r="257" spans="1:18">
      <c r="A257" s="2">
        <v>40544</v>
      </c>
      <c r="B257" s="3">
        <v>1779.9254838709678</v>
      </c>
      <c r="C257" s="3">
        <v>3588.5964516129025</v>
      </c>
      <c r="D257" s="3">
        <v>69589.839677419382</v>
      </c>
      <c r="E257" s="3">
        <v>4880.753225806453</v>
      </c>
      <c r="F257" s="3"/>
      <c r="G257" s="3">
        <v>37904.587096774194</v>
      </c>
      <c r="H257" s="3">
        <v>1725.1045161290324</v>
      </c>
      <c r="I257" s="3">
        <v>2772.6549838709684</v>
      </c>
      <c r="J257" s="3">
        <v>23811.549677419353</v>
      </c>
      <c r="K257" s="3">
        <v>10423.18548387097</v>
      </c>
      <c r="L257" s="3">
        <v>1280.9596774193546</v>
      </c>
      <c r="M257" s="3">
        <v>5956.760645161291</v>
      </c>
      <c r="N257" s="3"/>
      <c r="O257" s="3">
        <v>10287.051612903228</v>
      </c>
      <c r="P257" s="3">
        <v>3952.3170967741944</v>
      </c>
      <c r="Q257" s="3">
        <v>21309.977741935483</v>
      </c>
      <c r="R257" s="3">
        <v>281.35935483870969</v>
      </c>
    </row>
    <row r="258" spans="1:18">
      <c r="A258" s="2">
        <v>40575</v>
      </c>
      <c r="B258" s="3">
        <v>1697.0633333333333</v>
      </c>
      <c r="C258" s="3">
        <v>3520.7729629629634</v>
      </c>
      <c r="D258" s="3">
        <v>66496.682962962965</v>
      </c>
      <c r="E258" s="3">
        <v>4503.4014074074057</v>
      </c>
      <c r="F258" s="3"/>
      <c r="G258" s="3">
        <v>37180.935185185197</v>
      </c>
      <c r="H258" s="3">
        <v>1725.4562962962964</v>
      </c>
      <c r="I258" s="3">
        <v>2852.062325925926</v>
      </c>
      <c r="J258" s="3">
        <v>23297.679629629623</v>
      </c>
      <c r="K258" s="3">
        <v>10627.385925925926</v>
      </c>
      <c r="L258" s="3">
        <v>1323.34037037037</v>
      </c>
      <c r="M258" s="3">
        <v>6026.185185185187</v>
      </c>
      <c r="N258" s="3"/>
      <c r="O258" s="3">
        <v>10877.203703703706</v>
      </c>
      <c r="P258" s="3">
        <v>4089.2500000000005</v>
      </c>
      <c r="Q258" s="3">
        <v>22615.667407407407</v>
      </c>
      <c r="R258" s="3">
        <v>287.06111111111113</v>
      </c>
    </row>
    <row r="259" spans="1:18">
      <c r="A259" s="2">
        <v>40603</v>
      </c>
      <c r="B259" s="3">
        <v>1732.0880645161292</v>
      </c>
      <c r="C259" s="3">
        <v>3369.4961290322581</v>
      </c>
      <c r="D259" s="3">
        <v>67297.116129032249</v>
      </c>
      <c r="E259" s="3">
        <v>4458.3348387096776</v>
      </c>
      <c r="F259" s="3"/>
      <c r="G259" s="3">
        <v>36401.755161290326</v>
      </c>
      <c r="H259" s="3">
        <v>1763.8116129032255</v>
      </c>
      <c r="I259" s="3">
        <v>2941.4507451612899</v>
      </c>
      <c r="J259" s="3">
        <v>23089.379032258072</v>
      </c>
      <c r="K259" s="3">
        <v>9849.7583870967737</v>
      </c>
      <c r="L259" s="3">
        <v>1304.5174193548391</v>
      </c>
      <c r="M259" s="3">
        <v>5857.575806451614</v>
      </c>
      <c r="N259" s="3"/>
      <c r="O259" s="3">
        <v>10527.177419354839</v>
      </c>
      <c r="P259" s="3">
        <v>3939.3735483870969</v>
      </c>
      <c r="Q259" s="3">
        <v>21828.014838709674</v>
      </c>
      <c r="R259" s="3">
        <v>275.6051612903226</v>
      </c>
    </row>
    <row r="260" spans="1:18">
      <c r="A260" s="2">
        <v>40634</v>
      </c>
      <c r="B260" s="3">
        <v>1693.9443333333336</v>
      </c>
      <c r="C260" s="3">
        <v>3422.2580000000003</v>
      </c>
      <c r="D260" s="3">
        <v>67492.51866666667</v>
      </c>
      <c r="E260" s="3">
        <v>4719.8749333333335</v>
      </c>
      <c r="F260" s="3"/>
      <c r="G260" s="3">
        <v>37172.90400000001</v>
      </c>
      <c r="H260" s="3">
        <v>1800.3649999999993</v>
      </c>
      <c r="I260" s="3">
        <v>2996.2045700000008</v>
      </c>
      <c r="J260" s="3">
        <v>24033.355000000007</v>
      </c>
      <c r="K260" s="3">
        <v>9669.7459999999974</v>
      </c>
      <c r="L260" s="3">
        <v>1332.2123333333336</v>
      </c>
      <c r="M260" s="3">
        <v>6015.9219999999968</v>
      </c>
      <c r="N260" s="3"/>
      <c r="O260" s="3">
        <v>10699.99666666667</v>
      </c>
      <c r="P260" s="3">
        <v>4025.4026666666673</v>
      </c>
      <c r="Q260" s="3">
        <v>21995.485666666664</v>
      </c>
      <c r="R260" s="3">
        <v>279.90933333333334</v>
      </c>
    </row>
    <row r="261" spans="1:18">
      <c r="A261" s="2">
        <v>40664</v>
      </c>
      <c r="B261" s="3">
        <v>1702.050967741935</v>
      </c>
      <c r="C261" s="3">
        <v>3341.4648387096781</v>
      </c>
      <c r="D261" s="3">
        <v>63783.88483870968</v>
      </c>
      <c r="E261" s="3">
        <v>4828.6008709677426</v>
      </c>
      <c r="F261" s="3"/>
      <c r="G261" s="3">
        <v>35483.856129032261</v>
      </c>
      <c r="H261" s="3">
        <v>1644.574516129032</v>
      </c>
      <c r="I261" s="3">
        <v>2832.1970580645152</v>
      </c>
      <c r="J261" s="3">
        <v>23191.691612903229</v>
      </c>
      <c r="K261" s="3">
        <v>9693.5874193548334</v>
      </c>
      <c r="L261" s="3">
        <v>1338.1906451612899</v>
      </c>
      <c r="M261" s="3">
        <v>5948.9590322580652</v>
      </c>
      <c r="N261" s="3"/>
      <c r="O261" s="3">
        <v>10416.758064516129</v>
      </c>
      <c r="P261" s="3">
        <v>4003.6909677419362</v>
      </c>
      <c r="Q261" s="3">
        <v>21490.736129032255</v>
      </c>
      <c r="R261" s="3">
        <v>279.90516129032255</v>
      </c>
    </row>
    <row r="262" spans="1:18">
      <c r="A262" s="2">
        <v>40695</v>
      </c>
      <c r="B262" s="3">
        <v>1727.2263333333335</v>
      </c>
      <c r="C262" s="3">
        <v>3244.2906666666668</v>
      </c>
      <c r="D262" s="3">
        <v>62257.003666666671</v>
      </c>
      <c r="E262" s="3">
        <v>4730.1873666666661</v>
      </c>
      <c r="F262" s="3"/>
      <c r="G262" s="3">
        <v>35297.209666666669</v>
      </c>
      <c r="H262" s="3">
        <v>1652.7649999999994</v>
      </c>
      <c r="I262" s="3">
        <v>2708.4903866666664</v>
      </c>
      <c r="J262" s="3">
        <v>22353.812666666669</v>
      </c>
      <c r="K262" s="3">
        <v>9532.907666666666</v>
      </c>
      <c r="L262" s="3">
        <v>1284.751</v>
      </c>
      <c r="M262" s="3">
        <v>5783.162666666668</v>
      </c>
      <c r="N262" s="3"/>
      <c r="O262" s="3">
        <v>10078.83666666667</v>
      </c>
      <c r="P262" s="3">
        <v>3846.056</v>
      </c>
      <c r="Q262" s="3">
        <v>20072.037333333337</v>
      </c>
      <c r="R262" s="3">
        <v>269.01800000000003</v>
      </c>
    </row>
    <row r="263" spans="1:18">
      <c r="A263" s="2">
        <v>40725</v>
      </c>
      <c r="B263" s="3">
        <v>1647.5938709677416</v>
      </c>
      <c r="C263" s="3">
        <v>3367.0535483870976</v>
      </c>
      <c r="D263" s="3">
        <v>60517.051935483862</v>
      </c>
      <c r="E263" s="3">
        <v>4665.4023548387086</v>
      </c>
      <c r="F263" s="3"/>
      <c r="G263" s="3">
        <v>36125.735161290329</v>
      </c>
      <c r="H263" s="3">
        <v>1713.1235483870964</v>
      </c>
      <c r="I263" s="3">
        <v>2772.3998419354848</v>
      </c>
      <c r="J263" s="3">
        <v>22315.304193548385</v>
      </c>
      <c r="K263" s="3">
        <v>9993.5116129032249</v>
      </c>
      <c r="L263" s="3">
        <v>1326.3606451612898</v>
      </c>
      <c r="M263" s="3">
        <v>5911.4341935483881</v>
      </c>
      <c r="N263" s="3"/>
      <c r="O263" s="3">
        <v>9873.9806451612912</v>
      </c>
      <c r="P263" s="3">
        <v>3822.5280645161292</v>
      </c>
      <c r="Q263" s="3">
        <v>19088.687419354843</v>
      </c>
      <c r="R263" s="3">
        <v>270.20064516129037</v>
      </c>
    </row>
    <row r="264" spans="1:18">
      <c r="A264" s="2">
        <v>40756</v>
      </c>
      <c r="B264" s="3">
        <v>1604.8806451612907</v>
      </c>
      <c r="C264" s="3">
        <v>2963.3870967741927</v>
      </c>
      <c r="D264" s="3">
        <v>53638.547096774186</v>
      </c>
      <c r="E264" s="3">
        <v>4170.9179677419361</v>
      </c>
      <c r="F264" s="3"/>
      <c r="G264" s="3">
        <v>33833.076774193549</v>
      </c>
      <c r="H264" s="3">
        <v>1508.5903225806453</v>
      </c>
      <c r="I264" s="3">
        <v>2592.2518548387102</v>
      </c>
      <c r="J264" s="3">
        <v>20218.467741935481</v>
      </c>
      <c r="K264" s="3">
        <v>9039.9651612903235</v>
      </c>
      <c r="L264" s="3">
        <v>1181.2603225806449</v>
      </c>
      <c r="M264" s="3">
        <v>5244.3306451612916</v>
      </c>
      <c r="N264" s="3"/>
      <c r="O264" s="3">
        <v>8497.6838709677413</v>
      </c>
      <c r="P264" s="3">
        <v>3188.2803225806442</v>
      </c>
      <c r="Q264" s="3">
        <v>15523.482903225809</v>
      </c>
      <c r="R264" s="3">
        <v>233.84903225806454</v>
      </c>
    </row>
    <row r="265" spans="1:18">
      <c r="A265" s="2">
        <v>40787</v>
      </c>
      <c r="B265" s="3">
        <v>1633.8162068965521</v>
      </c>
      <c r="C265" s="3">
        <v>2701.6106896551732</v>
      </c>
      <c r="D265" s="3">
        <v>55595.302758620688</v>
      </c>
      <c r="E265" s="3">
        <v>4046.8369310344824</v>
      </c>
      <c r="F265" s="3"/>
      <c r="G265" s="3">
        <v>34227.839655172414</v>
      </c>
      <c r="H265" s="3">
        <v>1474.1058620689657</v>
      </c>
      <c r="I265" s="3">
        <v>2469.3501379310342</v>
      </c>
      <c r="J265" s="3">
        <v>19100.863103448282</v>
      </c>
      <c r="K265" s="3">
        <v>8724.0786206896573</v>
      </c>
      <c r="L265" s="3">
        <v>1174.1475862068964</v>
      </c>
      <c r="M265" s="3">
        <v>5236.0006896551731</v>
      </c>
      <c r="N265" s="3"/>
      <c r="O265" s="3">
        <v>8217.7896551724134</v>
      </c>
      <c r="P265" s="3">
        <v>2991.2703448275865</v>
      </c>
      <c r="Q265" s="3">
        <v>14389.2124137931</v>
      </c>
      <c r="R265" s="3">
        <v>226.1803448275862</v>
      </c>
    </row>
    <row r="266" spans="1:18">
      <c r="A266" s="2">
        <v>40817</v>
      </c>
      <c r="B266" s="3">
        <v>1609.6338709677418</v>
      </c>
      <c r="C266" s="3">
        <v>2645.8429032258068</v>
      </c>
      <c r="D266" s="3">
        <v>54643.838064516109</v>
      </c>
      <c r="E266" s="3">
        <v>4029.3445483870973</v>
      </c>
      <c r="F266" s="3"/>
      <c r="G266" s="3">
        <v>34572.166774193545</v>
      </c>
      <c r="H266" s="3">
        <v>1415.0632258064511</v>
      </c>
      <c r="I266" s="3">
        <v>2390.1730129032262</v>
      </c>
      <c r="J266" s="3">
        <v>18289.802903225802</v>
      </c>
      <c r="K266" s="3">
        <v>8736.8819354838724</v>
      </c>
      <c r="L266" s="3">
        <v>1207.1335483870967</v>
      </c>
      <c r="M266" s="3">
        <v>5411.5890322580635</v>
      </c>
      <c r="N266" s="3"/>
      <c r="O266" s="3">
        <v>8843.3612903225803</v>
      </c>
      <c r="P266" s="3">
        <v>3153.1264516129031</v>
      </c>
      <c r="Q266" s="3">
        <v>15877.08838709677</v>
      </c>
      <c r="R266" s="3">
        <v>236.36806451612907</v>
      </c>
    </row>
    <row r="267" spans="1:18">
      <c r="A267" s="2">
        <v>40848</v>
      </c>
      <c r="B267" s="3">
        <v>1559.3048275862066</v>
      </c>
      <c r="C267" s="3">
        <v>2603.4624137931037</v>
      </c>
      <c r="D267" s="3">
        <v>57119.617931034481</v>
      </c>
      <c r="E267" s="3">
        <v>4218.2284137931038</v>
      </c>
      <c r="F267" s="3"/>
      <c r="G267" s="3">
        <v>36291.669310344827</v>
      </c>
      <c r="H267" s="3">
        <v>1464.1668965517242</v>
      </c>
      <c r="I267" s="3">
        <v>2452.6965310344826</v>
      </c>
      <c r="J267" s="3">
        <v>18810.875517241373</v>
      </c>
      <c r="K267" s="3">
        <v>8481.9806896551727</v>
      </c>
      <c r="L267" s="3">
        <v>1222.2779310344831</v>
      </c>
      <c r="M267" s="3">
        <v>5397.5341379310348</v>
      </c>
      <c r="N267" s="3"/>
      <c r="O267" s="3">
        <v>8271.1689655172413</v>
      </c>
      <c r="P267" s="3">
        <v>3029.5293103448266</v>
      </c>
      <c r="Q267" s="3">
        <v>15017.121724137936</v>
      </c>
      <c r="R267" s="3">
        <v>233.28068965517247</v>
      </c>
    </row>
    <row r="268" spans="1:18">
      <c r="A268" s="2">
        <v>40878</v>
      </c>
      <c r="B268" s="3">
        <v>1577.1712903225812</v>
      </c>
      <c r="C268" s="3">
        <v>2499.7538709677424</v>
      </c>
      <c r="D268" s="3">
        <v>57384.634516129059</v>
      </c>
      <c r="E268" s="3">
        <v>4160.3888064516132</v>
      </c>
      <c r="F268" s="3"/>
      <c r="G268" s="3">
        <v>36748.743225806458</v>
      </c>
      <c r="H268" s="3">
        <v>1412.2412903225804</v>
      </c>
      <c r="I268" s="3">
        <v>2254.3582580645161</v>
      </c>
      <c r="J268" s="3">
        <v>18596.419677419355</v>
      </c>
      <c r="K268" s="3">
        <v>8497.7587096774205</v>
      </c>
      <c r="L268" s="3">
        <v>1245.2138709677417</v>
      </c>
      <c r="M268" s="3">
        <v>5489.1100000000015</v>
      </c>
      <c r="N268" s="3"/>
      <c r="O268" s="3">
        <v>8469.3354838709674</v>
      </c>
      <c r="P268" s="3">
        <v>3097.2880645161285</v>
      </c>
      <c r="Q268" s="3">
        <v>15081.189032258064</v>
      </c>
      <c r="R268" s="3">
        <v>239.29354838709676</v>
      </c>
    </row>
    <row r="269" spans="1:18">
      <c r="A269" s="2">
        <v>40909</v>
      </c>
      <c r="B269" s="3">
        <v>1600.8093548387099</v>
      </c>
      <c r="C269" s="3">
        <v>2783.8819354838702</v>
      </c>
      <c r="D269" s="3">
        <v>60639.583225806433</v>
      </c>
      <c r="E269" s="3">
        <v>4220.3829032258081</v>
      </c>
      <c r="F269" s="3"/>
      <c r="G269" s="3">
        <v>37111.066129032253</v>
      </c>
      <c r="H269" s="3">
        <v>1472.793225806452</v>
      </c>
      <c r="I269" s="3">
        <v>2259.3084709677428</v>
      </c>
      <c r="J269" s="3">
        <v>19491.089032258064</v>
      </c>
      <c r="K269" s="3">
        <v>8595.7990322580627</v>
      </c>
      <c r="L269" s="3">
        <v>1297.1954838709682</v>
      </c>
      <c r="M269" s="3">
        <v>5684.6648387096775</v>
      </c>
      <c r="N269" s="3"/>
      <c r="O269" s="3">
        <v>8513.935483870966</v>
      </c>
      <c r="P269" s="3">
        <v>3245.8554838709665</v>
      </c>
      <c r="Q269" s="3">
        <v>15359.965483870967</v>
      </c>
      <c r="R269" s="3">
        <v>251.85612903225802</v>
      </c>
    </row>
    <row r="270" spans="1:18">
      <c r="A270" s="2">
        <v>40940</v>
      </c>
      <c r="B270" s="3">
        <v>1681.8189655172414</v>
      </c>
      <c r="C270" s="3">
        <v>2769.1331034482764</v>
      </c>
      <c r="D270" s="3">
        <v>65493.747931034479</v>
      </c>
      <c r="E270" s="3">
        <v>4454.5827931034491</v>
      </c>
      <c r="F270" s="3"/>
      <c r="G270" s="3">
        <v>38003.382413793093</v>
      </c>
      <c r="H270" s="3">
        <v>1562.073103448276</v>
      </c>
      <c r="I270" s="3">
        <v>2367.0390137931035</v>
      </c>
      <c r="J270" s="3">
        <v>21123.329999999994</v>
      </c>
      <c r="K270" s="3">
        <v>9231.3851724137949</v>
      </c>
      <c r="L270" s="3">
        <v>1353.1034482758619</v>
      </c>
      <c r="M270" s="3">
        <v>5894.744827586208</v>
      </c>
      <c r="N270" s="3"/>
      <c r="O270" s="3">
        <v>8710.0379310344852</v>
      </c>
      <c r="P270" s="3">
        <v>3422.1693103448279</v>
      </c>
      <c r="Q270" s="3">
        <v>16457.248275862068</v>
      </c>
      <c r="R270" s="3">
        <v>263.93206896551726</v>
      </c>
    </row>
    <row r="271" spans="1:18">
      <c r="A271" s="2">
        <v>40969</v>
      </c>
      <c r="B271" s="3">
        <v>1727.6577419354842</v>
      </c>
      <c r="C271" s="3">
        <v>2706.6725806451614</v>
      </c>
      <c r="D271" s="3">
        <v>66643.747419354826</v>
      </c>
      <c r="E271" s="3">
        <v>4581.880580645161</v>
      </c>
      <c r="F271" s="3"/>
      <c r="G271" s="3">
        <v>38276.172580645158</v>
      </c>
      <c r="H271" s="3">
        <v>1575.9696774193553</v>
      </c>
      <c r="I271" s="3">
        <v>2387.6439838709675</v>
      </c>
      <c r="J271" s="3">
        <v>21035.855483870964</v>
      </c>
      <c r="K271" s="3">
        <v>9971.9670967741913</v>
      </c>
      <c r="L271" s="3">
        <v>1388.8809677419351</v>
      </c>
      <c r="M271" s="3">
        <v>5879.5283870967751</v>
      </c>
      <c r="N271" s="3"/>
      <c r="O271" s="3">
        <v>8326.8064516128998</v>
      </c>
      <c r="P271" s="3">
        <v>3494.3045161290315</v>
      </c>
      <c r="Q271" s="3">
        <v>16630.829354838708</v>
      </c>
      <c r="R271" s="3">
        <v>266.60806451612899</v>
      </c>
    </row>
    <row r="272" spans="1:18">
      <c r="A272" s="2">
        <v>41000</v>
      </c>
      <c r="B272" s="3">
        <v>1752.4456666666663</v>
      </c>
      <c r="C272" s="3">
        <v>2439.1070000000004</v>
      </c>
      <c r="D272" s="3">
        <v>62658.389333333325</v>
      </c>
      <c r="E272" s="3">
        <v>4584.661533333332</v>
      </c>
      <c r="F272" s="3"/>
      <c r="G272" s="3">
        <v>39315.838666666656</v>
      </c>
      <c r="H272" s="3">
        <v>1493.1776666666665</v>
      </c>
      <c r="I272" s="3">
        <v>2348.2747333333323</v>
      </c>
      <c r="J272" s="3">
        <v>20686.962333333326</v>
      </c>
      <c r="K272" s="3">
        <v>9632.3410000000022</v>
      </c>
      <c r="L272" s="3">
        <v>1387.8529999999998</v>
      </c>
      <c r="M272" s="3">
        <v>5728.3739999999971</v>
      </c>
      <c r="N272" s="3"/>
      <c r="O272" s="3">
        <v>7341.7666666666673</v>
      </c>
      <c r="P272" s="3">
        <v>3257.2763333333342</v>
      </c>
      <c r="Q272" s="3">
        <v>14783.003666666675</v>
      </c>
      <c r="R272" s="3">
        <v>257.65533333333332</v>
      </c>
    </row>
    <row r="273" spans="1:18">
      <c r="A273" s="2">
        <v>41030</v>
      </c>
      <c r="B273" s="3">
        <v>1749.7335483870963</v>
      </c>
      <c r="C273" s="3">
        <v>2256.4858064516134</v>
      </c>
      <c r="D273" s="3">
        <v>57332.203870967714</v>
      </c>
      <c r="E273" s="3">
        <v>4373.7824193548386</v>
      </c>
      <c r="F273" s="3"/>
      <c r="G273" s="3">
        <v>38287.606451612897</v>
      </c>
      <c r="H273" s="3">
        <v>1341.5703225806453</v>
      </c>
      <c r="I273" s="3">
        <v>2386.9115161290329</v>
      </c>
      <c r="J273" s="3">
        <v>19679.36032258064</v>
      </c>
      <c r="K273" s="3">
        <v>8887.2380645161284</v>
      </c>
      <c r="L273" s="3">
        <v>1338.6090322580646</v>
      </c>
      <c r="M273" s="3">
        <v>5467.9451612903222</v>
      </c>
      <c r="N273" s="3"/>
      <c r="O273" s="3">
        <v>6684.5161290322585</v>
      </c>
      <c r="P273" s="3">
        <v>3089.1712903225803</v>
      </c>
      <c r="Q273" s="3">
        <v>13522.835483870969</v>
      </c>
      <c r="R273" s="3">
        <v>246.8122580645161</v>
      </c>
    </row>
    <row r="274" spans="1:18">
      <c r="A274" s="2">
        <v>41061</v>
      </c>
      <c r="B274" s="3">
        <v>1652.9726666666672</v>
      </c>
      <c r="C274" s="3">
        <v>2257.775666666666</v>
      </c>
      <c r="D274" s="3">
        <v>54685.618666666647</v>
      </c>
      <c r="E274" s="3">
        <v>4319.366133333333</v>
      </c>
      <c r="F274" s="3"/>
      <c r="G274" s="3">
        <v>38125.762666666669</v>
      </c>
      <c r="H274" s="3">
        <v>1345.5193333333334</v>
      </c>
      <c r="I274" s="3">
        <v>2286.06396</v>
      </c>
      <c r="J274" s="3">
        <v>18925.55433333333</v>
      </c>
      <c r="K274" s="3">
        <v>8631.360333333334</v>
      </c>
      <c r="L274" s="3">
        <v>1323.9483333333333</v>
      </c>
      <c r="M274" s="3">
        <v>5453.1833333333334</v>
      </c>
      <c r="N274" s="3"/>
      <c r="O274" s="3">
        <v>6596.0066666666662</v>
      </c>
      <c r="P274" s="3">
        <v>3057.722999999999</v>
      </c>
      <c r="Q274" s="3">
        <v>13328.279666666665</v>
      </c>
      <c r="R274" s="3">
        <v>243.10766666666669</v>
      </c>
    </row>
    <row r="275" spans="1:18">
      <c r="A275" s="2">
        <v>41091</v>
      </c>
      <c r="B275" s="3">
        <v>1663.7925806451613</v>
      </c>
      <c r="C275" s="3">
        <v>2406.3812903225808</v>
      </c>
      <c r="D275" s="3">
        <v>54762.992903225815</v>
      </c>
      <c r="E275" s="3">
        <v>4355.2127741935492</v>
      </c>
      <c r="F275" s="3"/>
      <c r="G275" s="3">
        <v>40589.206451612903</v>
      </c>
      <c r="H275" s="3">
        <v>1410.9954838709682</v>
      </c>
      <c r="I275" s="3">
        <v>2172.6752548387099</v>
      </c>
      <c r="J275" s="3">
        <v>19397.369354838713</v>
      </c>
      <c r="K275" s="3">
        <v>8763.4806451612894</v>
      </c>
      <c r="L275" s="3">
        <v>1361.6664516129031</v>
      </c>
      <c r="M275" s="3">
        <v>5638.3529032258075</v>
      </c>
      <c r="N275" s="3"/>
      <c r="O275" s="3">
        <v>6631.7161290322574</v>
      </c>
      <c r="P275" s="3">
        <v>3201.102903225807</v>
      </c>
      <c r="Q275" s="3">
        <v>13616.881290322577</v>
      </c>
      <c r="R275" s="3">
        <v>256.4296774193549</v>
      </c>
    </row>
    <row r="276" spans="1:18">
      <c r="A276" s="2">
        <v>41122</v>
      </c>
      <c r="B276" s="3">
        <v>1665.2716666666663</v>
      </c>
      <c r="C276" s="3">
        <v>2431.6236666666659</v>
      </c>
      <c r="D276" s="3">
        <v>58260.665666666668</v>
      </c>
      <c r="E276" s="3">
        <v>4189.1640333333335</v>
      </c>
      <c r="F276" s="3"/>
      <c r="G276" s="3">
        <v>40484.84399999999</v>
      </c>
      <c r="H276" s="3">
        <v>1441.0663333333332</v>
      </c>
      <c r="I276" s="3">
        <v>2117.7016166666663</v>
      </c>
      <c r="J276" s="3">
        <v>19941.436333333335</v>
      </c>
      <c r="K276" s="3">
        <v>8934.8090000000011</v>
      </c>
      <c r="L276" s="3">
        <v>1403.7756666666669</v>
      </c>
      <c r="M276" s="3">
        <v>5799.4679999999998</v>
      </c>
      <c r="N276" s="3"/>
      <c r="O276" s="3">
        <v>7170.4599999999982</v>
      </c>
      <c r="P276" s="3">
        <v>3426.8180000000007</v>
      </c>
      <c r="Q276" s="3">
        <v>14682.163333333332</v>
      </c>
      <c r="R276" s="3">
        <v>268.31866666666667</v>
      </c>
    </row>
    <row r="277" spans="1:18">
      <c r="A277" s="2">
        <v>41153</v>
      </c>
      <c r="B277" s="3">
        <v>1688.1206666666665</v>
      </c>
      <c r="C277" s="3">
        <v>2460.7679999999991</v>
      </c>
      <c r="D277" s="3">
        <v>59845.897666666686</v>
      </c>
      <c r="E277" s="3">
        <v>4191.4173000000001</v>
      </c>
      <c r="F277" s="3"/>
      <c r="G277" s="3">
        <v>40299.063666666647</v>
      </c>
      <c r="H277" s="3">
        <v>1477.201</v>
      </c>
      <c r="I277" s="3">
        <v>2074.2303500000003</v>
      </c>
      <c r="J277" s="3">
        <v>20250.491666666665</v>
      </c>
      <c r="K277" s="3">
        <v>8962.8273333333327</v>
      </c>
      <c r="L277" s="3">
        <v>1441.7909999999999</v>
      </c>
      <c r="M277" s="3">
        <v>5804.7316666666684</v>
      </c>
      <c r="N277" s="3"/>
      <c r="O277" s="3">
        <v>7903.41</v>
      </c>
      <c r="P277" s="3">
        <v>3487.1870000000013</v>
      </c>
      <c r="Q277" s="3">
        <v>15839.380000000005</v>
      </c>
      <c r="R277" s="3">
        <v>272.0569999999999</v>
      </c>
    </row>
    <row r="278" spans="1:18">
      <c r="A278" s="2">
        <v>41183</v>
      </c>
      <c r="B278" s="3">
        <v>1747.854333333333</v>
      </c>
      <c r="C278" s="3">
        <v>2419.8093333333336</v>
      </c>
      <c r="D278" s="3">
        <v>58625.19466666667</v>
      </c>
      <c r="E278" s="3">
        <v>4264.0591999999997</v>
      </c>
      <c r="F278" s="3"/>
      <c r="G278" s="3">
        <v>41865.418333333335</v>
      </c>
      <c r="H278" s="3">
        <v>1458.3326666666665</v>
      </c>
      <c r="I278" s="3">
        <v>2097.9173566666668</v>
      </c>
      <c r="J278" s="3">
        <v>21273.051999999992</v>
      </c>
      <c r="K278" s="3">
        <v>8826.6353333333318</v>
      </c>
      <c r="L278" s="3">
        <v>1435.8463333333336</v>
      </c>
      <c r="M278" s="3">
        <v>5835.3096666666661</v>
      </c>
      <c r="N278" s="3"/>
      <c r="O278" s="3">
        <v>7829.6566666666658</v>
      </c>
      <c r="P278" s="3">
        <v>3438.5606666666667</v>
      </c>
      <c r="Q278" s="3">
        <v>15673.823666666669</v>
      </c>
      <c r="R278" s="3">
        <v>271.7116666666667</v>
      </c>
    </row>
    <row r="279" spans="1:18">
      <c r="A279" s="2">
        <v>41214</v>
      </c>
      <c r="B279" s="3">
        <v>1744.7996666666666</v>
      </c>
      <c r="C279" s="3">
        <v>2350.1646666666657</v>
      </c>
      <c r="D279" s="3">
        <v>57192.822666666674</v>
      </c>
      <c r="E279" s="3">
        <v>4196.9548333333341</v>
      </c>
      <c r="F279" s="3"/>
      <c r="G279" s="3">
        <v>41369.18233333333</v>
      </c>
      <c r="H279" s="3">
        <v>1406.047</v>
      </c>
      <c r="I279" s="3">
        <v>2046.5607733333336</v>
      </c>
      <c r="J279" s="3">
        <v>21648.047666666673</v>
      </c>
      <c r="K279" s="3">
        <v>9067.4473333333335</v>
      </c>
      <c r="L279" s="3">
        <v>1393.3983333333338</v>
      </c>
      <c r="M279" s="3">
        <v>5781.7123333333338</v>
      </c>
      <c r="N279" s="3"/>
      <c r="O279" s="3">
        <v>7782.4966666666687</v>
      </c>
      <c r="P279" s="3">
        <v>3457.5063333333337</v>
      </c>
      <c r="Q279" s="3">
        <v>15413.132666666668</v>
      </c>
      <c r="R279" s="3">
        <v>271.03233333333327</v>
      </c>
    </row>
    <row r="280" spans="1:18">
      <c r="A280" s="2">
        <v>41244</v>
      </c>
      <c r="B280" s="3">
        <v>1808.344838709678</v>
      </c>
      <c r="C280" s="3">
        <v>2671.5841935483872</v>
      </c>
      <c r="D280" s="3">
        <v>59693.867741935508</v>
      </c>
      <c r="E280" s="3">
        <v>4235.1643225806456</v>
      </c>
      <c r="F280" s="3"/>
      <c r="G280" s="3">
        <v>43148.606451612897</v>
      </c>
      <c r="H280" s="3">
        <v>1458.7119354838712</v>
      </c>
      <c r="I280" s="3">
        <v>2121.8097064516128</v>
      </c>
      <c r="J280" s="3">
        <v>22412.926774193544</v>
      </c>
      <c r="K280" s="3">
        <v>9835.5099999999984</v>
      </c>
      <c r="L280" s="3">
        <v>1420.4254838709683</v>
      </c>
      <c r="M280" s="3">
        <v>5921.8280645161267</v>
      </c>
      <c r="N280" s="3"/>
      <c r="O280" s="3">
        <v>8069.4258064516134</v>
      </c>
      <c r="P280" s="3">
        <v>3628.5370967741928</v>
      </c>
      <c r="Q280" s="3">
        <v>16035.928387096779</v>
      </c>
      <c r="R280" s="3">
        <v>279.34677419354841</v>
      </c>
    </row>
    <row r="281" spans="1:18">
      <c r="A281" s="2">
        <v>41275</v>
      </c>
      <c r="B281" s="3">
        <v>1848.0312903225808</v>
      </c>
      <c r="C281" s="3">
        <v>3170.773225806452</v>
      </c>
      <c r="D281" s="3">
        <v>61568.41225806452</v>
      </c>
      <c r="E281" s="3">
        <v>4463.8036129032253</v>
      </c>
      <c r="F281" s="3"/>
      <c r="G281" s="3">
        <v>45022.704516129044</v>
      </c>
      <c r="H281" s="3">
        <v>1518.2819354838705</v>
      </c>
      <c r="I281" s="3">
        <v>2299.5156096774199</v>
      </c>
      <c r="J281" s="3">
        <v>23437.657741935494</v>
      </c>
      <c r="K281" s="3">
        <v>10739.116451612903</v>
      </c>
      <c r="L281" s="3">
        <v>1479.2061290322579</v>
      </c>
      <c r="M281" s="3">
        <v>6153.5332258064536</v>
      </c>
      <c r="N281" s="3"/>
      <c r="O281" s="3">
        <v>8570.0903225806451</v>
      </c>
      <c r="P281" s="3">
        <v>3732.2583870967746</v>
      </c>
      <c r="Q281" s="3">
        <v>17384.45612903226</v>
      </c>
      <c r="R281" s="3">
        <v>287.37999999999988</v>
      </c>
    </row>
    <row r="282" spans="1:18">
      <c r="A282" s="2">
        <v>41306</v>
      </c>
      <c r="B282" s="3">
        <v>1862.7253571428571</v>
      </c>
      <c r="C282" s="3">
        <v>3273.9417857142862</v>
      </c>
      <c r="D282" s="3">
        <v>58060.575000000004</v>
      </c>
      <c r="E282" s="3">
        <v>4570.8925714285706</v>
      </c>
      <c r="F282" s="3"/>
      <c r="G282" s="3">
        <v>44597.00499999999</v>
      </c>
      <c r="H282" s="3">
        <v>1515.4449999999997</v>
      </c>
      <c r="I282" s="3">
        <v>2395.1226214285716</v>
      </c>
      <c r="J282" s="3">
        <v>23196.256428571418</v>
      </c>
      <c r="K282" s="3">
        <v>11298.362499999999</v>
      </c>
      <c r="L282" s="3">
        <v>1513.8103571428571</v>
      </c>
      <c r="M282" s="3">
        <v>6317.0475000000015</v>
      </c>
      <c r="N282" s="3"/>
      <c r="O282" s="3">
        <v>8152.0071428571418</v>
      </c>
      <c r="P282" s="3">
        <v>3684.5775000000008</v>
      </c>
      <c r="Q282" s="3">
        <v>16498.700357142858</v>
      </c>
      <c r="R282" s="3">
        <v>287.20607142857142</v>
      </c>
    </row>
    <row r="283" spans="1:18">
      <c r="A283" s="2">
        <v>41334</v>
      </c>
      <c r="B283" s="3">
        <v>1789.4441935483876</v>
      </c>
      <c r="C283" s="3">
        <v>3361.2751612903226</v>
      </c>
      <c r="D283" s="3">
        <v>56770.112580645167</v>
      </c>
      <c r="E283" s="3">
        <v>4476.4736774193543</v>
      </c>
      <c r="F283" s="3"/>
      <c r="G283" s="3">
        <v>43487.019677419376</v>
      </c>
      <c r="H283" s="3">
        <v>1467.334193548387</v>
      </c>
      <c r="I283" s="3">
        <v>2298.9641096774199</v>
      </c>
      <c r="J283" s="3">
        <v>22532.248064516127</v>
      </c>
      <c r="K283" s="3">
        <v>12249.147741935487</v>
      </c>
      <c r="L283" s="3">
        <v>1551.5512903225808</v>
      </c>
      <c r="M283" s="3">
        <v>6433.4216129032247</v>
      </c>
      <c r="N283" s="3"/>
      <c r="O283" s="3">
        <v>8330.9580645161295</v>
      </c>
      <c r="P283" s="3">
        <v>3781.6470967741925</v>
      </c>
      <c r="Q283" s="3">
        <v>15829.339999999995</v>
      </c>
      <c r="R283" s="3">
        <v>294.19645161290327</v>
      </c>
    </row>
    <row r="284" spans="1:18">
      <c r="A284" s="2">
        <v>41365</v>
      </c>
      <c r="B284" s="3">
        <v>1725.6143333333337</v>
      </c>
      <c r="C284" s="3">
        <v>3493.3033333333337</v>
      </c>
      <c r="D284" s="3">
        <v>54703.096666666672</v>
      </c>
      <c r="E284" s="3">
        <v>4306.2167333333337</v>
      </c>
      <c r="F284" s="3"/>
      <c r="G284" s="3">
        <v>43123.606333333337</v>
      </c>
      <c r="H284" s="3">
        <v>1382.3806666666665</v>
      </c>
      <c r="I284" s="3">
        <v>2210.9332999999997</v>
      </c>
      <c r="J284" s="3">
        <v>22082.60933333333</v>
      </c>
      <c r="K284" s="3">
        <v>13287.606666666668</v>
      </c>
      <c r="L284" s="3">
        <v>1570.4896666666666</v>
      </c>
      <c r="M284" s="3">
        <v>6356.2430000000013</v>
      </c>
      <c r="N284" s="3"/>
      <c r="O284" s="3">
        <v>8045.0533333333324</v>
      </c>
      <c r="P284" s="3">
        <v>3729.267666666668</v>
      </c>
      <c r="Q284" s="3">
        <v>15846.532666666668</v>
      </c>
      <c r="R284" s="3">
        <v>291.11700000000002</v>
      </c>
    </row>
    <row r="285" spans="1:18">
      <c r="A285" s="2">
        <v>41395</v>
      </c>
      <c r="B285" s="3">
        <v>1686.9235483870968</v>
      </c>
      <c r="C285" s="3">
        <v>3689.954516129033</v>
      </c>
      <c r="D285" s="3">
        <v>55466.607419354841</v>
      </c>
      <c r="E285" s="3">
        <v>4264.4006129032277</v>
      </c>
      <c r="F285" s="3"/>
      <c r="G285" s="3">
        <v>41499.670645161292</v>
      </c>
      <c r="H285" s="3">
        <v>1401.1200000000001</v>
      </c>
      <c r="I285" s="3">
        <v>2259.5063096774197</v>
      </c>
      <c r="J285" s="3">
        <v>22930.315483870978</v>
      </c>
      <c r="K285" s="3">
        <v>14473.320000000003</v>
      </c>
      <c r="L285" s="3">
        <v>1640.5329032258066</v>
      </c>
      <c r="M285" s="3">
        <v>6639.2848387096765</v>
      </c>
      <c r="N285" s="3"/>
      <c r="O285" s="3">
        <v>8476.3032258064522</v>
      </c>
      <c r="P285" s="3">
        <v>3961.8658064516121</v>
      </c>
      <c r="Q285" s="3">
        <v>17208.492258064514</v>
      </c>
      <c r="R285" s="3">
        <v>304.49096774193544</v>
      </c>
    </row>
    <row r="286" spans="1:18">
      <c r="A286" s="2">
        <v>41426</v>
      </c>
      <c r="B286" s="3">
        <v>1634.8893103448274</v>
      </c>
      <c r="C286" s="3">
        <v>3219.4713793103442</v>
      </c>
      <c r="D286" s="3">
        <v>49743.994137931026</v>
      </c>
      <c r="E286" s="3">
        <v>4002.4699310344831</v>
      </c>
      <c r="F286" s="3"/>
      <c r="G286" s="3">
        <v>39610.667931034484</v>
      </c>
      <c r="H286" s="3">
        <v>1318.3931034482757</v>
      </c>
      <c r="I286" s="3">
        <v>2142.4377034482759</v>
      </c>
      <c r="J286" s="3">
        <v>21130.025172413796</v>
      </c>
      <c r="K286" s="3">
        <v>13136.107931034483</v>
      </c>
      <c r="L286" s="3">
        <v>1619.5962068965514</v>
      </c>
      <c r="M286" s="3">
        <v>6311.8286206896564</v>
      </c>
      <c r="N286" s="3"/>
      <c r="O286" s="3">
        <v>8034.8931034482775</v>
      </c>
      <c r="P286" s="3">
        <v>3798.563793103448</v>
      </c>
      <c r="Q286" s="3">
        <v>16097.424137931037</v>
      </c>
      <c r="R286" s="3">
        <v>290.14999999999998</v>
      </c>
    </row>
    <row r="287" spans="1:18">
      <c r="A287" s="2">
        <v>41456</v>
      </c>
      <c r="B287" s="3">
        <v>1643.155185185185</v>
      </c>
      <c r="C287" s="3">
        <v>3276.7229629629633</v>
      </c>
      <c r="D287" s="3">
        <v>47043.483333333344</v>
      </c>
      <c r="E287" s="3">
        <v>3821.8412222222223</v>
      </c>
      <c r="F287" s="3"/>
      <c r="G287" s="3">
        <v>40481.885185185187</v>
      </c>
      <c r="H287" s="3">
        <v>1383.3414814814814</v>
      </c>
      <c r="I287" s="3">
        <v>2013.4857222222217</v>
      </c>
      <c r="J287" s="3">
        <v>21290.154444444441</v>
      </c>
      <c r="K287" s="3">
        <v>14334.381851851851</v>
      </c>
      <c r="L287" s="3">
        <v>1667.4848148148149</v>
      </c>
      <c r="M287" s="3">
        <v>6519.1340740740761</v>
      </c>
      <c r="N287" s="3"/>
      <c r="O287" s="3">
        <v>8031.1481481481505</v>
      </c>
      <c r="P287" s="3">
        <v>3876.44</v>
      </c>
      <c r="Q287" s="3">
        <v>15903.886296296296</v>
      </c>
      <c r="R287" s="3">
        <v>295.77518518518525</v>
      </c>
    </row>
    <row r="288" spans="1:18">
      <c r="A288" s="2">
        <v>41487</v>
      </c>
      <c r="B288" s="3">
        <v>1723.5650000000003</v>
      </c>
      <c r="C288" s="3">
        <v>3739.9946153846158</v>
      </c>
      <c r="D288" s="3">
        <v>50132.846538461541</v>
      </c>
      <c r="E288" s="3">
        <v>3705.1586538461538</v>
      </c>
      <c r="F288" s="3"/>
      <c r="G288" s="3">
        <v>41493.415769230771</v>
      </c>
      <c r="H288" s="3">
        <v>1384.1803846153848</v>
      </c>
      <c r="I288" s="3">
        <v>2070.4435807692312</v>
      </c>
      <c r="J288" s="3">
        <v>22043.066153846157</v>
      </c>
      <c r="K288" s="3">
        <v>13745.331153846155</v>
      </c>
      <c r="L288" s="3">
        <v>1671.6338461538462</v>
      </c>
      <c r="M288" s="3">
        <v>6525.6315384615382</v>
      </c>
      <c r="N288" s="3"/>
      <c r="O288" s="3">
        <v>8612.703846153845</v>
      </c>
      <c r="P288" s="3">
        <v>4051.3211538461537</v>
      </c>
      <c r="Q288" s="3">
        <v>17080.924615384618</v>
      </c>
      <c r="R288" s="3">
        <v>303.79346153846149</v>
      </c>
    </row>
    <row r="289" spans="1:18">
      <c r="A289" s="2">
        <v>41518</v>
      </c>
      <c r="B289" s="3">
        <v>1758.5429629629632</v>
      </c>
      <c r="C289" s="3">
        <v>4509.1333333333323</v>
      </c>
      <c r="D289" s="3">
        <v>53538.714444444435</v>
      </c>
      <c r="E289" s="3">
        <v>3810.3961111111112</v>
      </c>
      <c r="F289" s="3"/>
      <c r="G289" s="3">
        <v>40846.699629629627</v>
      </c>
      <c r="H289" s="3">
        <v>1445.7525925925922</v>
      </c>
      <c r="I289" s="3">
        <v>2183.9993222222229</v>
      </c>
      <c r="J289" s="3">
        <v>22927.741111111114</v>
      </c>
      <c r="K289" s="3">
        <v>14362.178148148148</v>
      </c>
      <c r="L289" s="3">
        <v>1683.0451851851849</v>
      </c>
      <c r="M289" s="3">
        <v>6549.5</v>
      </c>
      <c r="N289" s="3"/>
      <c r="O289" s="3">
        <v>8909.6481481481478</v>
      </c>
      <c r="P289" s="3">
        <v>4113.8481481481494</v>
      </c>
      <c r="Q289" s="3">
        <v>17500.785185185185</v>
      </c>
      <c r="R289" s="3">
        <v>309.68740740740736</v>
      </c>
    </row>
    <row r="290" spans="1:18">
      <c r="A290" s="2">
        <v>41548</v>
      </c>
      <c r="B290" s="3">
        <v>1763.912142857143</v>
      </c>
      <c r="C290" s="3">
        <v>5234.2742857142848</v>
      </c>
      <c r="D290" s="3">
        <v>54094.071071428574</v>
      </c>
      <c r="E290" s="3">
        <v>3855.3796428571436</v>
      </c>
      <c r="F290" s="3"/>
      <c r="G290" s="3">
        <v>40686.672857142854</v>
      </c>
      <c r="H290" s="3">
        <v>1505.7321428571429</v>
      </c>
      <c r="I290" s="3">
        <v>2185.4187928571428</v>
      </c>
      <c r="J290" s="3">
        <v>23101.328571428574</v>
      </c>
      <c r="K290" s="3">
        <v>14325.95571428571</v>
      </c>
      <c r="L290" s="3">
        <v>1720.0635714285711</v>
      </c>
      <c r="M290" s="3">
        <v>6568.8192857142858</v>
      </c>
      <c r="N290" s="3"/>
      <c r="O290" s="3">
        <v>9701.7428571428572</v>
      </c>
      <c r="P290" s="3">
        <v>4228.8167857142853</v>
      </c>
      <c r="Q290" s="3">
        <v>18840.055357142857</v>
      </c>
      <c r="R290" s="3">
        <v>314.9375</v>
      </c>
    </row>
    <row r="291" spans="1:18">
      <c r="A291" s="2">
        <v>41579</v>
      </c>
      <c r="B291" s="3">
        <v>1675.8080000000002</v>
      </c>
      <c r="C291" s="3">
        <v>5427.3063999999986</v>
      </c>
      <c r="D291" s="3">
        <v>52899.7984</v>
      </c>
      <c r="E291" s="3">
        <v>3800.7635999999993</v>
      </c>
      <c r="F291" s="3"/>
      <c r="G291" s="3">
        <v>40770.820800000009</v>
      </c>
      <c r="H291" s="3">
        <v>1496.8979999999997</v>
      </c>
      <c r="I291" s="3">
        <v>2159.5687279999997</v>
      </c>
      <c r="J291" s="3">
        <v>23284.699200000003</v>
      </c>
      <c r="K291" s="3">
        <v>14866.893199999999</v>
      </c>
      <c r="L291" s="3">
        <v>1784.5296000000003</v>
      </c>
      <c r="M291" s="3">
        <v>6695.6675999999998</v>
      </c>
      <c r="N291" s="3"/>
      <c r="O291" s="3">
        <v>9741.0719999999983</v>
      </c>
      <c r="P291" s="3">
        <v>4279.2747999999983</v>
      </c>
      <c r="Q291" s="3">
        <v>18938.107599999999</v>
      </c>
      <c r="R291" s="3">
        <v>322.87040000000002</v>
      </c>
    </row>
    <row r="292" spans="1:18">
      <c r="A292" s="2">
        <v>41609</v>
      </c>
      <c r="B292" s="3">
        <v>1614.7985714285714</v>
      </c>
      <c r="C292" s="3">
        <v>5347.8571428571422</v>
      </c>
      <c r="D292" s="3">
        <v>50945.00642857144</v>
      </c>
      <c r="E292" s="3">
        <v>3697.1046428571422</v>
      </c>
      <c r="F292" s="3"/>
      <c r="G292" s="3">
        <v>42287.892142857148</v>
      </c>
      <c r="H292" s="3">
        <v>1476.9707142857146</v>
      </c>
      <c r="I292" s="3">
        <v>2161.9758107142857</v>
      </c>
      <c r="J292" s="3">
        <v>23355.122499999998</v>
      </c>
      <c r="K292" s="3">
        <v>15709.263928571427</v>
      </c>
      <c r="L292" s="3">
        <v>1810.1407142857145</v>
      </c>
      <c r="M292" s="3">
        <v>6592.8110714285722</v>
      </c>
      <c r="N292" s="3"/>
      <c r="O292" s="3">
        <v>9607.8571428571413</v>
      </c>
      <c r="P292" s="3">
        <v>4174.9642857142853</v>
      </c>
      <c r="Q292" s="3">
        <v>18430.217500000006</v>
      </c>
      <c r="R292" s="3">
        <v>319.40214285714285</v>
      </c>
    </row>
    <row r="293" spans="1:18">
      <c r="A293" s="2">
        <v>41640</v>
      </c>
      <c r="B293" s="3">
        <v>1536.0910714285712</v>
      </c>
      <c r="C293" s="3">
        <v>5608.545357142857</v>
      </c>
      <c r="D293" s="3">
        <v>49283.029285714278</v>
      </c>
      <c r="E293" s="3">
        <v>3624.6139285714285</v>
      </c>
      <c r="F293" s="3"/>
      <c r="G293" s="3">
        <v>41764.3967857143</v>
      </c>
      <c r="H293" s="3">
        <v>1481.6239285714287</v>
      </c>
      <c r="I293" s="3">
        <v>2038.5729428571428</v>
      </c>
      <c r="J293" s="3">
        <v>22737.974285714288</v>
      </c>
      <c r="K293" s="3">
        <v>15714.812857142857</v>
      </c>
      <c r="L293" s="3">
        <v>1825.0589285714284</v>
      </c>
      <c r="M293" s="3">
        <v>6720.699642857142</v>
      </c>
      <c r="N293" s="3"/>
      <c r="O293" s="3">
        <v>10137.42142857143</v>
      </c>
      <c r="P293" s="3">
        <v>4249.9514285714276</v>
      </c>
      <c r="Q293" s="3">
        <v>19539.588928571429</v>
      </c>
      <c r="R293" s="3">
        <v>329.27928571428566</v>
      </c>
    </row>
    <row r="294" spans="1:18">
      <c r="A294" s="2">
        <v>41671</v>
      </c>
      <c r="B294" s="3">
        <v>1504.1141666666665</v>
      </c>
      <c r="C294" s="3">
        <v>5893.7729166666677</v>
      </c>
      <c r="D294" s="3">
        <v>47443.822499999987</v>
      </c>
      <c r="E294" s="3">
        <v>3577.9883333333332</v>
      </c>
      <c r="F294" s="3"/>
      <c r="G294" s="3">
        <v>40072.828333333331</v>
      </c>
      <c r="H294" s="3">
        <v>1476.2141666666666</v>
      </c>
      <c r="I294" s="3">
        <v>2079.3007124999999</v>
      </c>
      <c r="J294" s="3">
        <v>22173.011666666669</v>
      </c>
      <c r="K294" s="3">
        <v>14625.325833333329</v>
      </c>
      <c r="L294" s="3">
        <v>1817.3658333333335</v>
      </c>
      <c r="M294" s="3">
        <v>6685.1887499999984</v>
      </c>
      <c r="N294" s="3"/>
      <c r="O294" s="3">
        <v>10048.375</v>
      </c>
      <c r="P294" s="3">
        <v>4297.1604166666675</v>
      </c>
      <c r="Q294" s="3">
        <v>20030.264999999996</v>
      </c>
      <c r="R294" s="3">
        <v>330.61708333333331</v>
      </c>
    </row>
    <row r="295" spans="1:18">
      <c r="A295" s="2">
        <v>41699</v>
      </c>
      <c r="B295" s="3">
        <v>1599.6285185185186</v>
      </c>
      <c r="C295" s="3">
        <v>5937.0848148148152</v>
      </c>
      <c r="D295" s="3">
        <v>47070.945925925938</v>
      </c>
      <c r="E295" s="3">
        <v>3678.2644444444445</v>
      </c>
      <c r="F295" s="3"/>
      <c r="G295" s="3">
        <v>39165.347777777773</v>
      </c>
      <c r="H295" s="3">
        <v>1320.217037037037</v>
      </c>
      <c r="I295" s="3">
        <v>2037.9519740740741</v>
      </c>
      <c r="J295" s="3">
        <v>21984.149259259266</v>
      </c>
      <c r="K295" s="3">
        <v>14655.853703703706</v>
      </c>
      <c r="L295" s="3">
        <v>1863.0840740740739</v>
      </c>
      <c r="M295" s="3">
        <v>6631.32</v>
      </c>
      <c r="N295" s="3"/>
      <c r="O295" s="3">
        <v>10095.199999999999</v>
      </c>
      <c r="P295" s="3">
        <v>4339.6951851851845</v>
      </c>
      <c r="Q295" s="3">
        <v>20833.318518518518</v>
      </c>
      <c r="R295" s="3">
        <v>330.21148148148143</v>
      </c>
    </row>
    <row r="296" spans="1:18">
      <c r="A296" s="2">
        <v>41730</v>
      </c>
      <c r="B296" s="3">
        <v>1673.2957692307693</v>
      </c>
      <c r="C296" s="3">
        <v>6520.0138461538454</v>
      </c>
      <c r="D296" s="3">
        <v>51541.75153846154</v>
      </c>
      <c r="E296" s="3">
        <v>3849.2280769230761</v>
      </c>
      <c r="F296" s="3"/>
      <c r="G296" s="3">
        <v>40581.904230769229</v>
      </c>
      <c r="H296" s="3">
        <v>1339.4265384615383</v>
      </c>
      <c r="I296" s="3">
        <v>2074.7878115384619</v>
      </c>
      <c r="J296" s="3">
        <v>22614.878846153846</v>
      </c>
      <c r="K296" s="3">
        <v>14470.753461538461</v>
      </c>
      <c r="L296" s="3">
        <v>1862.438846153846</v>
      </c>
      <c r="M296" s="3">
        <v>6648.3815384615382</v>
      </c>
      <c r="N296" s="3"/>
      <c r="O296" s="3">
        <v>10387.034615384611</v>
      </c>
      <c r="P296" s="3">
        <v>4435.9734615384605</v>
      </c>
      <c r="Q296" s="3">
        <v>21648.349615384614</v>
      </c>
      <c r="R296" s="3">
        <v>334.08115384615388</v>
      </c>
    </row>
    <row r="297" spans="1:18">
      <c r="A297" s="2">
        <v>41760</v>
      </c>
      <c r="B297" s="3">
        <v>1670.0134615384618</v>
      </c>
      <c r="C297" s="3">
        <v>7108.9461538461537</v>
      </c>
      <c r="D297" s="3">
        <v>53072.153461538459</v>
      </c>
      <c r="E297" s="3">
        <v>3927.958076923077</v>
      </c>
      <c r="F297" s="3"/>
      <c r="G297" s="3">
        <v>41703.415384615379</v>
      </c>
      <c r="H297" s="3">
        <v>1387.9411538461536</v>
      </c>
      <c r="I297" s="3">
        <v>2028.7051461538463</v>
      </c>
      <c r="J297" s="3">
        <v>22523.509615384617</v>
      </c>
      <c r="K297" s="3">
        <v>14345.914230769229</v>
      </c>
      <c r="L297" s="3">
        <v>1889.3711538461537</v>
      </c>
      <c r="M297" s="3">
        <v>6832.4119230769238</v>
      </c>
      <c r="N297" s="3"/>
      <c r="O297" s="3">
        <v>10545.3</v>
      </c>
      <c r="P297" s="3">
        <v>4482.8449999999993</v>
      </c>
      <c r="Q297" s="3">
        <v>21180.598461538462</v>
      </c>
      <c r="R297" s="3">
        <v>340.13269230769225</v>
      </c>
    </row>
    <row r="298" spans="1:18">
      <c r="A298" s="2">
        <v>41791</v>
      </c>
      <c r="B298" s="3">
        <v>1704.2684615384615</v>
      </c>
      <c r="C298" s="3">
        <v>7809.9050000000007</v>
      </c>
      <c r="D298" s="3">
        <v>53720.746153846158</v>
      </c>
      <c r="E298" s="3">
        <v>3890.7307692307686</v>
      </c>
      <c r="F298" s="3"/>
      <c r="G298" s="3">
        <v>42591.993461538455</v>
      </c>
      <c r="H298" s="3">
        <v>1484.6223076923075</v>
      </c>
      <c r="I298" s="3">
        <v>2042.4070461538458</v>
      </c>
      <c r="J298" s="3">
        <v>23144.120769230765</v>
      </c>
      <c r="K298" s="3">
        <v>15116.139615384613</v>
      </c>
      <c r="L298" s="3">
        <v>1946.9938461538466</v>
      </c>
      <c r="M298" s="3">
        <v>6805.9234615384612</v>
      </c>
      <c r="N298" s="3"/>
      <c r="O298" s="3">
        <v>11022.000000000002</v>
      </c>
      <c r="P298" s="3">
        <v>4522.4799999999996</v>
      </c>
      <c r="Q298" s="3">
        <v>21893.799615384618</v>
      </c>
      <c r="R298" s="3">
        <v>345.68692307692305</v>
      </c>
    </row>
    <row r="299" spans="1:18">
      <c r="A299" s="2">
        <v>41821</v>
      </c>
      <c r="B299" s="3">
        <v>1694.8225925925926</v>
      </c>
      <c r="C299" s="3">
        <v>8361.5481111111094</v>
      </c>
      <c r="D299" s="3">
        <v>55729.613333333342</v>
      </c>
      <c r="E299" s="3">
        <v>3926.8003703703694</v>
      </c>
      <c r="F299" s="3"/>
      <c r="G299" s="3">
        <v>43895.405185185191</v>
      </c>
      <c r="H299" s="3">
        <v>1449.0729629629632</v>
      </c>
      <c r="I299" s="3">
        <v>2084.2700370370371</v>
      </c>
      <c r="J299" s="3">
        <v>23717.11037037037</v>
      </c>
      <c r="K299" s="3">
        <v>15364.255925925927</v>
      </c>
      <c r="L299" s="3">
        <v>1974.1929629629624</v>
      </c>
      <c r="M299" s="3">
        <v>6772.3574074074049</v>
      </c>
      <c r="N299" s="3"/>
      <c r="O299" s="3">
        <v>10750.7</v>
      </c>
      <c r="P299" s="3">
        <v>4362.1607407407409</v>
      </c>
      <c r="Q299" s="3">
        <v>20966.343333333334</v>
      </c>
      <c r="R299" s="3">
        <v>341.55851851851844</v>
      </c>
    </row>
    <row r="300" spans="1:18">
      <c r="A300" s="2">
        <v>41852</v>
      </c>
      <c r="B300" s="3">
        <v>1733.6274074074074</v>
      </c>
      <c r="C300" s="3">
        <v>8777.3658148148152</v>
      </c>
      <c r="D300" s="3">
        <v>57645.633703703708</v>
      </c>
      <c r="E300" s="3">
        <v>3942.3951851851848</v>
      </c>
      <c r="F300" s="3"/>
      <c r="G300" s="3">
        <v>44838.91851851852</v>
      </c>
      <c r="H300" s="3">
        <v>1400.9014814814814</v>
      </c>
      <c r="I300" s="3">
        <v>2216.4629666666669</v>
      </c>
      <c r="J300" s="3">
        <v>24779.931111111116</v>
      </c>
      <c r="K300" s="3">
        <v>15329.435555555556</v>
      </c>
      <c r="L300" s="3">
        <v>1960.2714814814822</v>
      </c>
      <c r="M300" s="3">
        <v>6708.0548148148155</v>
      </c>
      <c r="N300" s="3"/>
      <c r="O300" s="3">
        <v>10416.562962962964</v>
      </c>
      <c r="P300" s="3">
        <v>4242.5251851851845</v>
      </c>
      <c r="Q300" s="3">
        <v>19851.824444444446</v>
      </c>
      <c r="R300" s="3">
        <v>333.47222222222229</v>
      </c>
    </row>
    <row r="301" spans="1:18">
      <c r="A301" s="2">
        <v>41883</v>
      </c>
      <c r="B301" s="3">
        <v>1729.7680769230769</v>
      </c>
      <c r="C301" s="3">
        <v>11307.647615384612</v>
      </c>
      <c r="D301" s="3">
        <v>58258.985384615386</v>
      </c>
      <c r="E301" s="3">
        <v>4015.3653846153848</v>
      </c>
      <c r="F301" s="3"/>
      <c r="G301" s="3">
        <v>45648.255769230767</v>
      </c>
      <c r="H301" s="3">
        <v>1442.9815384615383</v>
      </c>
      <c r="I301" s="3">
        <v>2320.0171846153839</v>
      </c>
      <c r="J301" s="3">
        <v>24391.868461538459</v>
      </c>
      <c r="K301" s="3">
        <v>15972.753076923082</v>
      </c>
      <c r="L301" s="3">
        <v>1994.1392307692308</v>
      </c>
      <c r="M301" s="3">
        <v>6779.2276923076925</v>
      </c>
      <c r="N301" s="3"/>
      <c r="O301" s="3">
        <v>10907.25</v>
      </c>
      <c r="P301" s="3">
        <v>4428.5107692307702</v>
      </c>
      <c r="Q301" s="3">
        <v>20908.223846153844</v>
      </c>
      <c r="R301" s="3">
        <v>344.69538461538463</v>
      </c>
    </row>
    <row r="302" spans="1:18">
      <c r="A302" s="2">
        <v>41913</v>
      </c>
      <c r="B302" s="3">
        <v>1622.9503703703701</v>
      </c>
      <c r="C302" s="3">
        <v>10556.612703703706</v>
      </c>
      <c r="D302" s="3">
        <v>54348.14370370371</v>
      </c>
      <c r="E302" s="3">
        <v>3839.2296296296299</v>
      </c>
      <c r="F302" s="3"/>
      <c r="G302" s="3">
        <v>43870.965925925921</v>
      </c>
      <c r="H302" s="3">
        <v>1392.7085185185188</v>
      </c>
      <c r="I302" s="3">
        <v>2354.9997074074076</v>
      </c>
      <c r="J302" s="3">
        <v>23247.047777777785</v>
      </c>
      <c r="K302" s="3">
        <v>15363.123333333335</v>
      </c>
      <c r="L302" s="3">
        <v>1936.3955555555558</v>
      </c>
      <c r="M302" s="3">
        <v>6406.1222222222214</v>
      </c>
      <c r="N302" s="3"/>
      <c r="O302" s="3">
        <v>10259.977777777776</v>
      </c>
      <c r="P302" s="3">
        <v>4129.7462962962964</v>
      </c>
      <c r="Q302" s="3">
        <v>19345.944074074068</v>
      </c>
      <c r="R302" s="3">
        <v>326.23518518518512</v>
      </c>
    </row>
    <row r="303" spans="1:18">
      <c r="A303" s="2">
        <v>41944</v>
      </c>
      <c r="B303" s="3">
        <v>1600.4476000000004</v>
      </c>
      <c r="C303" s="3">
        <v>10199.310360000001</v>
      </c>
      <c r="D303" s="3">
        <v>53673.520400000009</v>
      </c>
      <c r="E303" s="3">
        <v>3934.4287999999997</v>
      </c>
      <c r="F303" s="3"/>
      <c r="G303" s="3">
        <v>44342.643999999993</v>
      </c>
      <c r="H303" s="3">
        <v>1513.7632000000001</v>
      </c>
      <c r="I303" s="3">
        <v>2494.0800239999999</v>
      </c>
      <c r="J303" s="3">
        <v>23785.704399999995</v>
      </c>
      <c r="K303" s="3">
        <v>17143.8436</v>
      </c>
      <c r="L303" s="3">
        <v>2045.6220000000001</v>
      </c>
      <c r="M303" s="3">
        <v>6644.9575999999997</v>
      </c>
      <c r="N303" s="3"/>
      <c r="O303" s="3">
        <v>10385.240000000002</v>
      </c>
      <c r="P303" s="3">
        <v>4263.322799999999</v>
      </c>
      <c r="Q303" s="3">
        <v>19439.7444</v>
      </c>
      <c r="R303" s="3">
        <v>339.57799999999997</v>
      </c>
    </row>
    <row r="304" spans="1:18">
      <c r="A304" s="2">
        <v>41974</v>
      </c>
      <c r="B304" s="3">
        <v>1477.2371428571435</v>
      </c>
      <c r="C304" s="3">
        <v>8579.3585714285709</v>
      </c>
      <c r="D304" s="3">
        <v>50066.924285714274</v>
      </c>
      <c r="E304" s="3">
        <v>3852.5321428571428</v>
      </c>
      <c r="F304" s="3"/>
      <c r="G304" s="3">
        <v>42501.667499999996</v>
      </c>
      <c r="H304" s="3">
        <v>1464.6453571428576</v>
      </c>
      <c r="I304" s="3">
        <v>3006.2038964285703</v>
      </c>
      <c r="J304" s="3">
        <v>23388.396785714289</v>
      </c>
      <c r="K304" s="3">
        <v>17571.887142857147</v>
      </c>
      <c r="L304" s="3">
        <v>2057.2010714285711</v>
      </c>
      <c r="M304" s="3">
        <v>6550.8396428571423</v>
      </c>
      <c r="N304" s="3"/>
      <c r="O304" s="3">
        <v>10445.324999999999</v>
      </c>
      <c r="P304" s="3">
        <v>4266.4121428571425</v>
      </c>
      <c r="Q304" s="3">
        <v>19239.043571428574</v>
      </c>
      <c r="R304" s="3">
        <v>341.15714285714301</v>
      </c>
    </row>
    <row r="305" spans="1:18">
      <c r="A305" s="2">
        <v>42005</v>
      </c>
      <c r="B305" s="3">
        <v>1417.0523076923075</v>
      </c>
      <c r="C305" s="3">
        <v>8538.5091538461529</v>
      </c>
      <c r="D305" s="3">
        <v>48496.42846153846</v>
      </c>
      <c r="E305" s="3">
        <v>3801.786153846153</v>
      </c>
      <c r="F305" s="3">
        <v>421.51100000000002</v>
      </c>
      <c r="G305" s="3">
        <v>41966.032307692309</v>
      </c>
      <c r="H305" s="3">
        <v>1559.1907692307691</v>
      </c>
      <c r="I305" s="3">
        <v>3292.1215653846157</v>
      </c>
      <c r="J305" s="3">
        <v>24182.48961538462</v>
      </c>
      <c r="K305" s="3">
        <v>17282.202692307692</v>
      </c>
      <c r="L305" s="3">
        <v>2031.3900000000003</v>
      </c>
      <c r="M305" s="3">
        <v>6612.1053846153845</v>
      </c>
      <c r="N305" s="3">
        <v>10135.388666666664</v>
      </c>
      <c r="O305" s="3">
        <v>10195.107692307693</v>
      </c>
      <c r="P305" s="3">
        <v>4378.2061538461548</v>
      </c>
      <c r="Q305" s="3">
        <v>19357.843076923069</v>
      </c>
      <c r="R305" s="3">
        <v>351.45384615384614</v>
      </c>
    </row>
    <row r="306" spans="1:18">
      <c r="A306" s="2">
        <v>42036</v>
      </c>
      <c r="B306" s="3">
        <v>1395.0808000000002</v>
      </c>
      <c r="C306" s="3">
        <v>9283.0223999999998</v>
      </c>
      <c r="D306" s="3">
        <v>50111.711200000012</v>
      </c>
      <c r="E306" s="3">
        <v>3958.0196000000001</v>
      </c>
      <c r="F306" s="3">
        <v>422.11129132142838</v>
      </c>
      <c r="G306" s="3">
        <v>42937.322800000002</v>
      </c>
      <c r="H306" s="3">
        <v>1756.0416000000002</v>
      </c>
      <c r="I306" s="3">
        <v>3203.2015880000008</v>
      </c>
      <c r="J306" s="3">
        <v>24690.217200000006</v>
      </c>
      <c r="K306" s="3">
        <v>18041.202399999995</v>
      </c>
      <c r="L306" s="3">
        <v>2080.8383999999996</v>
      </c>
      <c r="M306" s="3">
        <v>6876.358000000002</v>
      </c>
      <c r="N306" s="3">
        <v>10977.12964285714</v>
      </c>
      <c r="O306" s="3">
        <v>10732.883999999998</v>
      </c>
      <c r="P306" s="3">
        <v>4768.2839999999987</v>
      </c>
      <c r="Q306" s="3">
        <v>21312.419600000001</v>
      </c>
      <c r="R306" s="3">
        <v>378.17719999999991</v>
      </c>
    </row>
    <row r="307" spans="1:18">
      <c r="A307" s="2">
        <v>42064</v>
      </c>
      <c r="B307" s="3">
        <v>1294.2051851851854</v>
      </c>
      <c r="C307" s="3">
        <v>10497.970592592595</v>
      </c>
      <c r="D307" s="3">
        <v>50412.498518518514</v>
      </c>
      <c r="E307" s="3">
        <v>3894.4577777777781</v>
      </c>
      <c r="F307" s="3">
        <v>419.81464883870973</v>
      </c>
      <c r="G307" s="3">
        <v>43723.222592592603</v>
      </c>
      <c r="H307" s="3">
        <v>1660.4707407407407</v>
      </c>
      <c r="I307" s="3">
        <v>3477.0193999999997</v>
      </c>
      <c r="J307" s="3">
        <v>24311.875185185181</v>
      </c>
      <c r="K307" s="3">
        <v>19193.167777777773</v>
      </c>
      <c r="L307" s="3">
        <v>2079.9285185185181</v>
      </c>
      <c r="M307" s="3">
        <v>6886.512962962961</v>
      </c>
      <c r="N307" s="3">
        <v>11786.739677419357</v>
      </c>
      <c r="O307" s="3">
        <v>11213.599999999999</v>
      </c>
      <c r="P307" s="3">
        <v>5002.3648148148159</v>
      </c>
      <c r="Q307" s="3">
        <v>22748.328888888889</v>
      </c>
      <c r="R307" s="3">
        <v>396.30703703703716</v>
      </c>
    </row>
    <row r="308" spans="1:18">
      <c r="A308" s="2">
        <v>42095</v>
      </c>
      <c r="B308" s="3">
        <v>1358.6465384615383</v>
      </c>
      <c r="C308" s="3">
        <v>11731.317653846154</v>
      </c>
      <c r="D308" s="3">
        <v>54411.07076923077</v>
      </c>
      <c r="E308" s="3">
        <v>4026.5442307692301</v>
      </c>
      <c r="F308" s="3">
        <v>427.34058680000015</v>
      </c>
      <c r="G308" s="3">
        <v>45000.850000000006</v>
      </c>
      <c r="H308" s="3">
        <v>1676.2461538461537</v>
      </c>
      <c r="I308" s="3">
        <v>4167.4623846153836</v>
      </c>
      <c r="J308" s="3">
        <v>27141.084230769229</v>
      </c>
      <c r="K308" s="3">
        <v>19776.960384615388</v>
      </c>
      <c r="L308" s="3">
        <v>2093.3450000000003</v>
      </c>
      <c r="M308" s="3">
        <v>6996.2792307692334</v>
      </c>
      <c r="N308" s="3">
        <v>11958.129333333329</v>
      </c>
      <c r="O308" s="3">
        <v>11579.211538461539</v>
      </c>
      <c r="P308" s="3">
        <v>5164.4438461538457</v>
      </c>
      <c r="Q308" s="3">
        <v>23471.159999999996</v>
      </c>
      <c r="R308" s="3">
        <v>405.85461538461539</v>
      </c>
    </row>
    <row r="309" spans="1:18">
      <c r="A309" s="2">
        <v>42125</v>
      </c>
      <c r="B309" s="3">
        <v>1360.2084615384617</v>
      </c>
      <c r="C309" s="3">
        <v>11810.611692307693</v>
      </c>
      <c r="D309" s="3">
        <v>55774.836538461539</v>
      </c>
      <c r="E309" s="3">
        <v>4076.1523076923086</v>
      </c>
      <c r="F309" s="3">
        <v>426.35600932258046</v>
      </c>
      <c r="G309" s="3">
        <v>44979.771538461551</v>
      </c>
      <c r="H309" s="3">
        <v>1675.7884615384621</v>
      </c>
      <c r="I309" s="3">
        <v>4462.4676730769243</v>
      </c>
      <c r="J309" s="3">
        <v>27713.173076923067</v>
      </c>
      <c r="K309" s="3">
        <v>19907.75230769231</v>
      </c>
      <c r="L309" s="3">
        <v>2113.288461538461</v>
      </c>
      <c r="M309" s="3">
        <v>6987.6546153846139</v>
      </c>
      <c r="N309" s="3">
        <v>11591.358387096776</v>
      </c>
      <c r="O309" s="3">
        <v>11367.946153846153</v>
      </c>
      <c r="P309" s="3">
        <v>5057.3915384615384</v>
      </c>
      <c r="Q309" s="3">
        <v>23359.240000000005</v>
      </c>
      <c r="R309" s="3">
        <v>399.89115384615383</v>
      </c>
    </row>
    <row r="310" spans="1:18">
      <c r="A310" s="2">
        <v>42156</v>
      </c>
      <c r="B310" s="3">
        <v>1320.2834615384613</v>
      </c>
      <c r="C310" s="3">
        <v>11347.399615384616</v>
      </c>
      <c r="D310" s="3">
        <v>53490.571538461532</v>
      </c>
      <c r="E310" s="3">
        <v>3931.8288461538459</v>
      </c>
      <c r="F310" s="3">
        <v>428.58748269999995</v>
      </c>
      <c r="G310" s="3">
        <v>44889.083076923082</v>
      </c>
      <c r="H310" s="3">
        <v>1650.7830769230766</v>
      </c>
      <c r="I310" s="3">
        <v>4772.9796499999993</v>
      </c>
      <c r="J310" s="3">
        <v>27006.297307692301</v>
      </c>
      <c r="K310" s="3">
        <v>20408.956153846157</v>
      </c>
      <c r="L310" s="3">
        <v>2099.3330769230765</v>
      </c>
      <c r="M310" s="3">
        <v>6780.1311538461559</v>
      </c>
      <c r="N310" s="3">
        <v>11235.028333333332</v>
      </c>
      <c r="O310" s="3">
        <v>11087.469230769229</v>
      </c>
      <c r="P310" s="3">
        <v>4927.3403846153842</v>
      </c>
      <c r="Q310" s="3">
        <v>23015.648461538458</v>
      </c>
      <c r="R310" s="3">
        <v>390.42384615384617</v>
      </c>
    </row>
    <row r="311" spans="1:18">
      <c r="A311" s="2">
        <v>42186</v>
      </c>
      <c r="B311" s="3">
        <v>1310.607777777778</v>
      </c>
      <c r="C311" s="3">
        <v>11672.801629629628</v>
      </c>
      <c r="D311" s="3">
        <v>51584.728630325924</v>
      </c>
      <c r="E311" s="3">
        <v>3852.1296296296291</v>
      </c>
      <c r="F311" s="3">
        <v>424.79775596774203</v>
      </c>
      <c r="G311" s="3">
        <v>44839.994814814818</v>
      </c>
      <c r="H311" s="3">
        <v>1627.5511111111109</v>
      </c>
      <c r="I311" s="3">
        <v>3855.655892592592</v>
      </c>
      <c r="J311" s="3">
        <v>25128.422592592589</v>
      </c>
      <c r="K311" s="3">
        <v>20383.808888888889</v>
      </c>
      <c r="L311" s="3">
        <v>2092.8751851851853</v>
      </c>
      <c r="M311" s="3">
        <v>6647.6277777777768</v>
      </c>
      <c r="N311" s="3">
        <v>11303.707741935486</v>
      </c>
      <c r="O311" s="3">
        <v>11121.933333333334</v>
      </c>
      <c r="P311" s="3">
        <v>4958.7525925925929</v>
      </c>
      <c r="Q311" s="3">
        <v>23042.835185185188</v>
      </c>
      <c r="R311" s="3">
        <v>392.35481481481486</v>
      </c>
    </row>
    <row r="312" spans="1:18">
      <c r="A312" s="2">
        <v>42217</v>
      </c>
      <c r="B312" s="3">
        <v>1247.8061538461538</v>
      </c>
      <c r="C312" s="3">
        <v>11008.730192307694</v>
      </c>
      <c r="D312" s="3">
        <v>47741.04448275383</v>
      </c>
      <c r="E312" s="3">
        <v>3796.4211538461541</v>
      </c>
      <c r="F312" s="3">
        <v>416.7216697419355</v>
      </c>
      <c r="G312" s="3">
        <v>43759.223461538451</v>
      </c>
      <c r="H312" s="3">
        <v>1688.408461538462</v>
      </c>
      <c r="I312" s="3">
        <v>3599.52778076923</v>
      </c>
      <c r="J312" s="3">
        <v>23264.977307692308</v>
      </c>
      <c r="K312" s="3">
        <v>19950.088461538464</v>
      </c>
      <c r="L312" s="3">
        <v>2041.1500000000003</v>
      </c>
      <c r="M312" s="3">
        <v>6452.623076923077</v>
      </c>
      <c r="N312" s="3">
        <v>10825.598387096778</v>
      </c>
      <c r="O312" s="3">
        <v>10744.603846153846</v>
      </c>
      <c r="P312" s="3">
        <v>4889.6053846153864</v>
      </c>
      <c r="Q312" s="3">
        <v>22835.487692307695</v>
      </c>
      <c r="R312" s="3">
        <v>380.06730769230774</v>
      </c>
    </row>
    <row r="313" spans="1:18">
      <c r="A313" s="2">
        <v>42248</v>
      </c>
      <c r="B313" s="3">
        <v>1234.5096000000001</v>
      </c>
      <c r="C313" s="3">
        <v>10475.779359999999</v>
      </c>
      <c r="D313" s="3">
        <v>46370.731722887998</v>
      </c>
      <c r="E313" s="3">
        <v>3757.4904000000006</v>
      </c>
      <c r="F313" s="3">
        <v>410.61077806666668</v>
      </c>
      <c r="G313" s="3">
        <v>42942.200400000002</v>
      </c>
      <c r="H313" s="3">
        <v>1690.9116000000004</v>
      </c>
      <c r="I313" s="3">
        <v>3133.5398920000007</v>
      </c>
      <c r="J313" s="3">
        <v>21347.586399999997</v>
      </c>
      <c r="K313" s="3">
        <v>17971.098400000006</v>
      </c>
      <c r="L313" s="3">
        <v>1943.7587999999994</v>
      </c>
      <c r="M313" s="3">
        <v>6087.4543999999996</v>
      </c>
      <c r="N313" s="3">
        <v>9950.144666666667</v>
      </c>
      <c r="O313" s="3">
        <v>9758.340000000002</v>
      </c>
      <c r="P313" s="3">
        <v>4527.7400000000007</v>
      </c>
      <c r="Q313" s="3">
        <v>21540.290400000002</v>
      </c>
      <c r="R313" s="3">
        <v>353.40800000000013</v>
      </c>
    </row>
    <row r="314" spans="1:18">
      <c r="A314" s="2">
        <v>42278</v>
      </c>
      <c r="B314" s="3">
        <v>1248.4496153846155</v>
      </c>
      <c r="C314" s="3">
        <v>11125.715769230768</v>
      </c>
      <c r="D314" s="3">
        <v>47440.817592257699</v>
      </c>
      <c r="E314" s="3">
        <v>3813.8342307692301</v>
      </c>
      <c r="F314" s="3">
        <v>407.84612212903215</v>
      </c>
      <c r="G314" s="3">
        <v>44206.613076923073</v>
      </c>
      <c r="H314" s="3">
        <v>1700.6796153846149</v>
      </c>
      <c r="I314" s="3">
        <v>3274.0677576923076</v>
      </c>
      <c r="J314" s="3">
        <v>22577.150384615376</v>
      </c>
      <c r="K314" s="3">
        <v>18368.299615384611</v>
      </c>
      <c r="L314" s="3">
        <v>2023.8611538461539</v>
      </c>
      <c r="M314" s="3">
        <v>6341.0046153846133</v>
      </c>
      <c r="N314" s="3">
        <v>10220.588064516132</v>
      </c>
      <c r="O314" s="3">
        <v>10174.899999999998</v>
      </c>
      <c r="P314" s="3">
        <v>4712.7134615384612</v>
      </c>
      <c r="Q314" s="3">
        <v>22198.886538461535</v>
      </c>
      <c r="R314" s="3">
        <v>363.89346153846151</v>
      </c>
    </row>
    <row r="315" spans="1:18">
      <c r="A315" s="2">
        <v>42309</v>
      </c>
      <c r="B315" s="3">
        <v>1162.7903846153845</v>
      </c>
      <c r="C315" s="3">
        <v>13210.338076923075</v>
      </c>
      <c r="D315" s="3">
        <v>47001.121971357694</v>
      </c>
      <c r="E315" s="3">
        <v>3796.3392307692307</v>
      </c>
      <c r="F315" s="3">
        <v>405.89770816666675</v>
      </c>
      <c r="G315" s="3">
        <v>44482.361538461533</v>
      </c>
      <c r="H315" s="3">
        <v>1776.5103846153847</v>
      </c>
      <c r="I315" s="3">
        <v>3554.0484615384612</v>
      </c>
      <c r="J315" s="3">
        <v>22516.39</v>
      </c>
      <c r="K315" s="3">
        <v>19551.001923076921</v>
      </c>
      <c r="L315" s="3">
        <v>2080.08</v>
      </c>
      <c r="M315" s="3">
        <v>6307.2307692307704</v>
      </c>
      <c r="N315" s="3">
        <v>10992.732333333332</v>
      </c>
      <c r="O315" s="3">
        <v>10315.323076923076</v>
      </c>
      <c r="P315" s="3">
        <v>4909.49</v>
      </c>
      <c r="Q315" s="3">
        <v>22277.226538461542</v>
      </c>
      <c r="R315" s="3">
        <v>378.47615384615386</v>
      </c>
    </row>
    <row r="316" spans="1:18">
      <c r="A316" s="2">
        <v>42339</v>
      </c>
      <c r="B316" s="3">
        <v>1112.5059259259262</v>
      </c>
      <c r="C316" s="3">
        <v>12281.794518518516</v>
      </c>
      <c r="D316" s="3">
        <v>44576.738336785187</v>
      </c>
      <c r="E316" s="3">
        <v>3614.5903703703702</v>
      </c>
      <c r="F316" s="3">
        <v>403.82036499999987</v>
      </c>
      <c r="G316" s="3">
        <v>43007.483703703714</v>
      </c>
      <c r="H316" s="3">
        <v>1742.5548148148146</v>
      </c>
      <c r="I316" s="3">
        <v>3545.3875407407404</v>
      </c>
      <c r="J316" s="3">
        <v>21916.878888888892</v>
      </c>
      <c r="K316" s="3">
        <v>19172.790370370371</v>
      </c>
      <c r="L316" s="3">
        <v>2052.6422222222222</v>
      </c>
      <c r="M316" s="3">
        <v>6163.5566666666673</v>
      </c>
      <c r="N316" s="3">
        <v>10661.759677419357</v>
      </c>
      <c r="O316" s="3">
        <v>9769.2777777777774</v>
      </c>
      <c r="P316" s="3">
        <v>4661.5011111111098</v>
      </c>
      <c r="Q316" s="3">
        <v>21501.352222222224</v>
      </c>
      <c r="R316" s="3">
        <v>365.28703703703701</v>
      </c>
    </row>
    <row r="317" spans="1:18">
      <c r="A317" s="2">
        <v>42370</v>
      </c>
      <c r="B317" s="3">
        <v>1127.5025000000001</v>
      </c>
      <c r="C317" s="3">
        <v>10727.946964285717</v>
      </c>
      <c r="D317" s="3">
        <v>39633.619287407142</v>
      </c>
      <c r="E317" s="3">
        <v>3563.7403571428563</v>
      </c>
      <c r="F317" s="3">
        <v>401.58533880645172</v>
      </c>
      <c r="G317" s="3">
        <v>41610.716071428571</v>
      </c>
      <c r="H317" s="3">
        <v>1709.8757142857141</v>
      </c>
      <c r="I317" s="3">
        <v>3004.4968714285715</v>
      </c>
      <c r="J317" s="3">
        <v>19872.941071428573</v>
      </c>
      <c r="K317" s="3">
        <v>17446.297857142858</v>
      </c>
      <c r="L317" s="3">
        <v>1924.7014285714286</v>
      </c>
      <c r="M317" s="3">
        <v>5947.3682142857151</v>
      </c>
      <c r="N317" s="3">
        <v>9893.0990322580637</v>
      </c>
      <c r="O317" s="3">
        <v>8828.6142857142841</v>
      </c>
      <c r="P317" s="3">
        <v>4357.1732142857154</v>
      </c>
      <c r="Q317" s="3">
        <v>19466.16</v>
      </c>
      <c r="R317" s="3">
        <v>341.22285714285721</v>
      </c>
    </row>
    <row r="318" spans="1:18">
      <c r="A318" s="2">
        <v>42401</v>
      </c>
      <c r="B318" s="3">
        <v>1214.1811538461538</v>
      </c>
      <c r="C318" s="3">
        <v>11827.475730769229</v>
      </c>
      <c r="D318" s="3">
        <v>40990.139615499997</v>
      </c>
      <c r="E318" s="3">
        <v>3693.0961538461538</v>
      </c>
      <c r="F318" s="3">
        <v>399.57870168965508</v>
      </c>
      <c r="G318" s="3">
        <v>43179.280384615384</v>
      </c>
      <c r="H318" s="3">
        <v>1775.0842307692308</v>
      </c>
      <c r="I318" s="3">
        <v>2795.4897961538454</v>
      </c>
      <c r="J318" s="3">
        <v>19147.211538461543</v>
      </c>
      <c r="K318" s="3">
        <v>16251.829230769226</v>
      </c>
      <c r="L318" s="3">
        <v>1903.1380769230771</v>
      </c>
      <c r="M318" s="3">
        <v>5887.2576923076931</v>
      </c>
      <c r="N318" s="3">
        <v>9290.6596551724106</v>
      </c>
      <c r="O318" s="3">
        <v>8249.3653846153884</v>
      </c>
      <c r="P318" s="3">
        <v>4186.0342307692299</v>
      </c>
      <c r="Q318" s="3">
        <v>17081.512307692308</v>
      </c>
      <c r="R318" s="3">
        <v>324.45461538461529</v>
      </c>
    </row>
    <row r="319" spans="1:18">
      <c r="A319" s="2">
        <v>42430</v>
      </c>
      <c r="B319" s="3">
        <v>1302.5375862068963</v>
      </c>
      <c r="C319" s="3">
        <v>12941.299551724132</v>
      </c>
      <c r="D319" s="3">
        <v>49289.965250962079</v>
      </c>
      <c r="E319" s="3">
        <v>3870.238068965516</v>
      </c>
      <c r="F319" s="3">
        <v>393.23233483870956</v>
      </c>
      <c r="G319" s="3">
        <v>45102.731034482757</v>
      </c>
      <c r="H319" s="3">
        <v>1876.4865517241381</v>
      </c>
      <c r="I319" s="3">
        <v>2903.5029172413792</v>
      </c>
      <c r="J319" s="3">
        <v>20301.980344827589</v>
      </c>
      <c r="K319" s="3">
        <v>16900.04</v>
      </c>
      <c r="L319" s="3">
        <v>2022.3727586206899</v>
      </c>
      <c r="M319" s="3">
        <v>6155.0231034482777</v>
      </c>
      <c r="N319" s="3">
        <v>9860.4867741935468</v>
      </c>
      <c r="O319" s="3">
        <v>8882.065517241379</v>
      </c>
      <c r="P319" s="3">
        <v>4425.0724137931029</v>
      </c>
      <c r="Q319" s="3">
        <v>18422.987586206902</v>
      </c>
      <c r="R319" s="3">
        <v>339.6541379310346</v>
      </c>
    </row>
    <row r="320" spans="1:18">
      <c r="A320" s="2">
        <v>42461</v>
      </c>
      <c r="B320" s="3">
        <v>1350.6048000000001</v>
      </c>
      <c r="C320" s="3">
        <v>13158.177240000001</v>
      </c>
      <c r="D320" s="3">
        <v>51906.469390579994</v>
      </c>
      <c r="E320" s="3">
        <v>3955.284000000001</v>
      </c>
      <c r="F320" s="3">
        <v>393.27016823333332</v>
      </c>
      <c r="G320" s="3">
        <v>45450.870800000004</v>
      </c>
      <c r="H320" s="3">
        <v>1912.3396000000002</v>
      </c>
      <c r="I320" s="3">
        <v>3005.7124359999998</v>
      </c>
      <c r="J320" s="3">
        <v>20955.229199999998</v>
      </c>
      <c r="K320" s="3">
        <v>16557.664000000001</v>
      </c>
      <c r="L320" s="3">
        <v>2075.1572000000001</v>
      </c>
      <c r="M320" s="3">
        <v>6268.5792000000019</v>
      </c>
      <c r="N320" s="3">
        <v>10007.014666666666</v>
      </c>
      <c r="O320" s="3">
        <v>8835.1039999999994</v>
      </c>
      <c r="P320" s="3">
        <v>4441.5951999999997</v>
      </c>
      <c r="Q320" s="3">
        <v>18100.825599999996</v>
      </c>
      <c r="R320" s="3">
        <v>340.5976</v>
      </c>
    </row>
    <row r="321" spans="1:18">
      <c r="A321" s="2">
        <v>42491</v>
      </c>
      <c r="B321" s="3">
        <v>1320.5433333333335</v>
      </c>
      <c r="C321" s="3">
        <v>13023.284370370373</v>
      </c>
      <c r="D321" s="3">
        <v>51001.093772959277</v>
      </c>
      <c r="E321" s="3">
        <v>3977.5862962962965</v>
      </c>
      <c r="F321" s="3">
        <v>390.66775996774192</v>
      </c>
      <c r="G321" s="3">
        <v>45548.901111111103</v>
      </c>
      <c r="H321" s="3">
        <v>1910.2825925925927</v>
      </c>
      <c r="I321" s="3">
        <v>2863.7278074074065</v>
      </c>
      <c r="J321" s="3">
        <v>20223.91777777778</v>
      </c>
      <c r="K321" s="3">
        <v>16549.596296296295</v>
      </c>
      <c r="L321" s="3">
        <v>2066.5207407407402</v>
      </c>
      <c r="M321" s="3">
        <v>6175.6848148148156</v>
      </c>
      <c r="N321" s="3">
        <v>10008.507419354837</v>
      </c>
      <c r="O321" s="3">
        <v>8827.4592592592599</v>
      </c>
      <c r="P321" s="3">
        <v>4375.3959259259245</v>
      </c>
      <c r="Q321" s="3">
        <v>17904.358148148149</v>
      </c>
      <c r="R321" s="3">
        <v>338.70592592592595</v>
      </c>
    </row>
    <row r="322" spans="1:18">
      <c r="A322" s="2">
        <v>42522</v>
      </c>
      <c r="B322" s="3">
        <v>1313.6188888888889</v>
      </c>
      <c r="C322" s="3">
        <v>13406.87162962963</v>
      </c>
      <c r="D322" s="3">
        <v>50142.518295729635</v>
      </c>
      <c r="E322" s="3">
        <v>3969.0103703703699</v>
      </c>
      <c r="F322" s="3">
        <v>392.83788956666655</v>
      </c>
      <c r="G322" s="3">
        <v>45448.246296296304</v>
      </c>
      <c r="H322" s="3">
        <v>1895.477037037037</v>
      </c>
      <c r="I322" s="3">
        <v>2903.0357629629634</v>
      </c>
      <c r="J322" s="3">
        <v>20675.498148148152</v>
      </c>
      <c r="K322" s="3">
        <v>16072.271851851849</v>
      </c>
      <c r="L322" s="3">
        <v>2083.2803703703703</v>
      </c>
      <c r="M322" s="3">
        <v>6168.572222222223</v>
      </c>
      <c r="N322" s="3">
        <v>9838.469000000001</v>
      </c>
      <c r="O322" s="3">
        <v>8459.6629629629624</v>
      </c>
      <c r="P322" s="3">
        <v>4293.2262962962959</v>
      </c>
      <c r="Q322" s="3">
        <v>16946.484074074073</v>
      </c>
      <c r="R322" s="3">
        <v>332.87481481481478</v>
      </c>
    </row>
    <row r="323" spans="1:18">
      <c r="A323" s="2">
        <v>42552</v>
      </c>
      <c r="B323" s="3">
        <v>1319.6614814814811</v>
      </c>
      <c r="C323" s="3">
        <v>15391.720851851853</v>
      </c>
      <c r="D323" s="3">
        <v>54924.369785437026</v>
      </c>
      <c r="E323" s="3">
        <v>4080.6051851851848</v>
      </c>
      <c r="F323" s="3">
        <v>396.63973829032267</v>
      </c>
      <c r="G323" s="3">
        <v>46542.489629629628</v>
      </c>
      <c r="H323" s="3">
        <v>1920.6007407407405</v>
      </c>
      <c r="I323" s="3">
        <v>3009.4090222222226</v>
      </c>
      <c r="J323" s="3">
        <v>21422.88444444444</v>
      </c>
      <c r="K323" s="3">
        <v>16149.279629629631</v>
      </c>
      <c r="L323" s="3">
        <v>2145.4503703703699</v>
      </c>
      <c r="M323" s="3">
        <v>6653.4748148148146</v>
      </c>
      <c r="N323" s="3">
        <v>9970.5232258064516</v>
      </c>
      <c r="O323" s="3">
        <v>8413.1518518518551</v>
      </c>
      <c r="P323" s="3">
        <v>4318.607037037038</v>
      </c>
      <c r="Q323" s="3">
        <v>16463.272592592595</v>
      </c>
      <c r="R323" s="3">
        <v>335.24629629629629</v>
      </c>
    </row>
    <row r="324" spans="1:18">
      <c r="A324" s="2">
        <v>42583</v>
      </c>
      <c r="B324" s="3">
        <v>1339.2718518518514</v>
      </c>
      <c r="C324" s="3">
        <v>15510.718888888889</v>
      </c>
      <c r="D324" s="3">
        <v>58018.594280211102</v>
      </c>
      <c r="E324" s="3">
        <v>4140.8966666666665</v>
      </c>
      <c r="F324" s="3">
        <v>398.82767441935482</v>
      </c>
      <c r="G324" s="3">
        <v>47730.058888888903</v>
      </c>
      <c r="H324" s="3">
        <v>1964.2818518518513</v>
      </c>
      <c r="I324" s="3">
        <v>3050.2317333333331</v>
      </c>
      <c r="J324" s="3">
        <v>22647.988518518516</v>
      </c>
      <c r="K324" s="3">
        <v>16581.835925925927</v>
      </c>
      <c r="L324" s="3">
        <v>2177.8488888888892</v>
      </c>
      <c r="M324" s="3">
        <v>6826.7314814814808</v>
      </c>
      <c r="N324" s="3">
        <v>10536.172580645163</v>
      </c>
      <c r="O324" s="3">
        <v>8573.3222222222212</v>
      </c>
      <c r="P324" s="3">
        <v>4427.2625925925931</v>
      </c>
      <c r="Q324" s="3">
        <v>16670.715555555555</v>
      </c>
      <c r="R324" s="3">
        <v>342.35037037037046</v>
      </c>
    </row>
    <row r="325" spans="1:18">
      <c r="A325" s="2">
        <v>42614</v>
      </c>
      <c r="B325" s="3">
        <v>1371.2614814814815</v>
      </c>
      <c r="C325" s="3">
        <v>16147.768481481478</v>
      </c>
      <c r="D325" s="3">
        <v>58460.696369259247</v>
      </c>
      <c r="E325" s="3">
        <v>4084.1792592592592</v>
      </c>
      <c r="F325" s="3">
        <v>403.7299377999999</v>
      </c>
      <c r="G325" s="3">
        <v>47030.946296296308</v>
      </c>
      <c r="H325" s="3">
        <v>2006.4314814814818</v>
      </c>
      <c r="I325" s="3">
        <v>3036.9192259259257</v>
      </c>
      <c r="J325" s="3">
        <v>23563.964814814823</v>
      </c>
      <c r="K325" s="3">
        <v>16748.083333333339</v>
      </c>
      <c r="L325" s="3">
        <v>2156.701481481482</v>
      </c>
      <c r="M325" s="3">
        <v>6813.7288888888888</v>
      </c>
      <c r="N325" s="3">
        <v>10513.986666666668</v>
      </c>
      <c r="O325" s="3">
        <v>8828.3222222222212</v>
      </c>
      <c r="P325" s="3">
        <v>4452.4107407407409</v>
      </c>
      <c r="Q325" s="3">
        <v>16680.315185185187</v>
      </c>
      <c r="R325" s="3">
        <v>343.99925925925925</v>
      </c>
    </row>
    <row r="326" spans="1:18">
      <c r="A326" s="2">
        <v>42644</v>
      </c>
      <c r="B326" s="3">
        <v>1352.6515384615388</v>
      </c>
      <c r="C326" s="3">
        <v>17582.718769230767</v>
      </c>
      <c r="D326" s="3">
        <v>62316.465225826942</v>
      </c>
      <c r="E326" s="3">
        <v>4174.9273076923073</v>
      </c>
      <c r="F326" s="3">
        <v>404.59943909677429</v>
      </c>
      <c r="G326" s="3">
        <v>47969.653461538452</v>
      </c>
      <c r="H326" s="3">
        <v>1976.4773076923075</v>
      </c>
      <c r="I326" s="3">
        <v>3064.1444038461536</v>
      </c>
      <c r="J326" s="3">
        <v>23409.731153846158</v>
      </c>
      <c r="K326" s="3">
        <v>17021.061538461538</v>
      </c>
      <c r="L326" s="3">
        <v>2143.3076923076933</v>
      </c>
      <c r="M326" s="3">
        <v>7008.046923076924</v>
      </c>
      <c r="N326" s="3">
        <v>10612.017741935488</v>
      </c>
      <c r="O326" s="3">
        <v>8900.0153846153826</v>
      </c>
      <c r="P326" s="3">
        <v>4496.2588461538462</v>
      </c>
      <c r="Q326" s="3">
        <v>16804.738461538465</v>
      </c>
      <c r="R326" s="3">
        <v>341.63692307692304</v>
      </c>
    </row>
    <row r="327" spans="1:18">
      <c r="A327" s="2">
        <v>42675</v>
      </c>
      <c r="B327" s="3">
        <v>1317.408076923077</v>
      </c>
      <c r="C327" s="3">
        <v>16766.541076923077</v>
      </c>
      <c r="D327" s="3">
        <v>61449.088762765394</v>
      </c>
      <c r="E327" s="3">
        <v>4209.8707692307689</v>
      </c>
      <c r="F327" s="3">
        <v>412.16985733333348</v>
      </c>
      <c r="G327" s="3">
        <v>45738.843461538469</v>
      </c>
      <c r="H327" s="3">
        <v>2033.7507692307695</v>
      </c>
      <c r="I327" s="3">
        <v>3195.2877038461543</v>
      </c>
      <c r="J327" s="3">
        <v>22609.883461538462</v>
      </c>
      <c r="K327" s="3">
        <v>17681.430769230767</v>
      </c>
      <c r="L327" s="3">
        <v>2165.9346153846154</v>
      </c>
      <c r="M327" s="3">
        <v>6796.674615384617</v>
      </c>
      <c r="N327" s="3">
        <v>10589.449333333334</v>
      </c>
      <c r="O327" s="3">
        <v>8730.4384615384606</v>
      </c>
      <c r="P327" s="3">
        <v>4500.6053846153864</v>
      </c>
      <c r="Q327" s="3">
        <v>16569.952307692307</v>
      </c>
      <c r="R327" s="3">
        <v>337.89423076923083</v>
      </c>
    </row>
    <row r="328" spans="1:18">
      <c r="A328" s="2">
        <v>42705</v>
      </c>
      <c r="B328" s="3">
        <v>1330.542692307693</v>
      </c>
      <c r="C328" s="3">
        <v>16756.796423076925</v>
      </c>
      <c r="D328" s="3">
        <v>59193.058698534616</v>
      </c>
      <c r="E328" s="3">
        <v>4177.7200000000012</v>
      </c>
      <c r="F328" s="3">
        <v>415.17556358064513</v>
      </c>
      <c r="G328" s="3">
        <v>45520.013461538467</v>
      </c>
      <c r="H328" s="3">
        <v>2193.9550000000004</v>
      </c>
      <c r="I328" s="3">
        <v>3159.167873076924</v>
      </c>
      <c r="J328" s="3">
        <v>22179.36615384616</v>
      </c>
      <c r="K328" s="3">
        <v>19079.443076923075</v>
      </c>
      <c r="L328" s="3">
        <v>2246.7823076923078</v>
      </c>
      <c r="M328" s="3">
        <v>6966.2223076923101</v>
      </c>
      <c r="N328" s="3">
        <v>11212.44129032258</v>
      </c>
      <c r="O328" s="3">
        <v>9182.4076923076955</v>
      </c>
      <c r="P328" s="3">
        <v>4763.8353846153841</v>
      </c>
      <c r="Q328" s="3">
        <v>18604.201153846159</v>
      </c>
      <c r="R328" s="3">
        <v>354.86730769230775</v>
      </c>
    </row>
    <row r="329" spans="1:18">
      <c r="A329" s="2">
        <v>42736</v>
      </c>
      <c r="B329" s="3">
        <v>1365.1833333333332</v>
      </c>
      <c r="C329" s="3">
        <v>18686.757296296299</v>
      </c>
      <c r="D329" s="3">
        <v>63560.898101096311</v>
      </c>
      <c r="E329" s="3">
        <v>4221.6400000000003</v>
      </c>
      <c r="F329" s="3">
        <v>413.84593825806473</v>
      </c>
      <c r="G329" s="3">
        <v>46512.287777777798</v>
      </c>
      <c r="H329" s="3">
        <v>2209.7140740740742</v>
      </c>
      <c r="I329" s="3">
        <v>3136.5935333333327</v>
      </c>
      <c r="J329" s="3">
        <v>22810.567407407409</v>
      </c>
      <c r="K329" s="3">
        <v>19215.978888888887</v>
      </c>
      <c r="L329" s="3">
        <v>2273.045925925926</v>
      </c>
      <c r="M329" s="3">
        <v>7209.4411111111103</v>
      </c>
      <c r="N329" s="3">
        <v>11628.022903225808</v>
      </c>
      <c r="O329" s="3">
        <v>9437.0962962962967</v>
      </c>
      <c r="P329" s="3">
        <v>4866.1037037037031</v>
      </c>
      <c r="Q329" s="3">
        <v>19395.781111111111</v>
      </c>
      <c r="R329" s="3">
        <v>364.0022222222222</v>
      </c>
    </row>
    <row r="330" spans="1:18">
      <c r="A330" s="2">
        <v>42767</v>
      </c>
      <c r="B330" s="3">
        <v>1345.5692000000001</v>
      </c>
      <c r="C330" s="3">
        <v>19451.536560000008</v>
      </c>
      <c r="D330" s="3">
        <v>66502.528857087993</v>
      </c>
      <c r="E330" s="3">
        <v>4318.9744000000001</v>
      </c>
      <c r="F330" s="3">
        <v>412.72412860714309</v>
      </c>
      <c r="G330" s="3">
        <v>47226.464399999997</v>
      </c>
      <c r="H330" s="3">
        <v>2149.2283999999995</v>
      </c>
      <c r="I330" s="3">
        <v>3204.7616079999993</v>
      </c>
      <c r="J330" s="3">
        <v>23729.714400000001</v>
      </c>
      <c r="K330" s="3">
        <v>19192.982799999998</v>
      </c>
      <c r="L330" s="3">
        <v>2332.1055999999999</v>
      </c>
      <c r="M330" s="3">
        <v>7243.9612000000016</v>
      </c>
      <c r="N330" s="3">
        <v>11738.125714285712</v>
      </c>
      <c r="O330" s="3">
        <v>9459.7879999999986</v>
      </c>
      <c r="P330" s="3">
        <v>4846.7188000000006</v>
      </c>
      <c r="Q330" s="3">
        <v>18912.981200000002</v>
      </c>
      <c r="R330" s="3">
        <v>368.24600000000004</v>
      </c>
    </row>
    <row r="331" spans="1:18">
      <c r="A331" s="2">
        <v>42795</v>
      </c>
      <c r="B331" s="3">
        <v>1341.9460714285713</v>
      </c>
      <c r="C331" s="3">
        <v>19474.489285714284</v>
      </c>
      <c r="D331" s="3">
        <v>64978.054299253548</v>
      </c>
      <c r="E331" s="3">
        <v>4609.2703571428556</v>
      </c>
      <c r="F331" s="3">
        <v>415.18879287096786</v>
      </c>
      <c r="G331" s="3">
        <v>48106.670357142866</v>
      </c>
      <c r="H331" s="3">
        <v>2026.115357142857</v>
      </c>
      <c r="I331" s="3">
        <v>3239.6865499999994</v>
      </c>
      <c r="J331" s="3">
        <v>24027.897142857135</v>
      </c>
      <c r="K331" s="3">
        <v>19370.892142857152</v>
      </c>
      <c r="L331" s="3">
        <v>2367.611071428571</v>
      </c>
      <c r="M331" s="3">
        <v>7363.3325000000023</v>
      </c>
      <c r="N331" s="3">
        <v>12045.02064516129</v>
      </c>
      <c r="O331" s="3">
        <v>10101.742857142855</v>
      </c>
      <c r="P331" s="3">
        <v>5009.2792857142858</v>
      </c>
      <c r="Q331" s="3">
        <v>19883.450357142858</v>
      </c>
      <c r="R331" s="3">
        <v>375.89857142857136</v>
      </c>
    </row>
    <row r="332" spans="1:18">
      <c r="A332" s="2">
        <v>42826</v>
      </c>
      <c r="B332" s="3">
        <v>1370.3724000000002</v>
      </c>
      <c r="C332" s="3">
        <v>20809.837079999998</v>
      </c>
      <c r="D332" s="3">
        <v>64343.728035955988</v>
      </c>
      <c r="E332" s="3">
        <v>4842.6804000000002</v>
      </c>
      <c r="F332" s="3">
        <v>418.51855140000009</v>
      </c>
      <c r="G332" s="3">
        <v>49163.632799999999</v>
      </c>
      <c r="H332" s="3">
        <v>1980.2848000000001</v>
      </c>
      <c r="I332" s="3">
        <v>3214.671456</v>
      </c>
      <c r="J332" s="3">
        <v>24261.939199999993</v>
      </c>
      <c r="K332" s="3">
        <v>18738.192800000001</v>
      </c>
      <c r="L332" s="3">
        <v>2357.4371999999998</v>
      </c>
      <c r="M332" s="3">
        <v>7268.7371999999996</v>
      </c>
      <c r="N332" s="3">
        <v>12222.367333333332</v>
      </c>
      <c r="O332" s="3">
        <v>10473.519999999999</v>
      </c>
      <c r="P332" s="3">
        <v>5128.7792000000009</v>
      </c>
      <c r="Q332" s="3">
        <v>20171.859999999997</v>
      </c>
      <c r="R332" s="3">
        <v>381.68320000000006</v>
      </c>
    </row>
    <row r="333" spans="1:18">
      <c r="A333" s="2">
        <v>42856</v>
      </c>
      <c r="B333" s="3">
        <v>1423.8670370370369</v>
      </c>
      <c r="C333" s="3">
        <v>21554.866074074078</v>
      </c>
      <c r="D333" s="3">
        <v>65134.667780929623</v>
      </c>
      <c r="E333" s="3">
        <v>4845.6774074074074</v>
      </c>
      <c r="F333" s="3">
        <v>421.50120645161297</v>
      </c>
      <c r="G333" s="3">
        <v>49325.180740740718</v>
      </c>
      <c r="H333" s="3">
        <v>1977.8140740740741</v>
      </c>
      <c r="I333" s="3">
        <v>3098.281107407407</v>
      </c>
      <c r="J333" s="3">
        <v>25157.34074074075</v>
      </c>
      <c r="K333" s="3">
        <v>19684.423333333336</v>
      </c>
      <c r="L333" s="3">
        <v>2396.3396296296296</v>
      </c>
      <c r="M333" s="3">
        <v>7421.425925925927</v>
      </c>
      <c r="N333" s="3">
        <v>12659.269677419354</v>
      </c>
      <c r="O333" s="3">
        <v>10910.318518518518</v>
      </c>
      <c r="P333" s="3">
        <v>5352.2281481481486</v>
      </c>
      <c r="Q333" s="3">
        <v>21285.107777777783</v>
      </c>
      <c r="R333" s="3">
        <v>392.44037037037043</v>
      </c>
    </row>
    <row r="334" spans="1:18">
      <c r="A334" s="2">
        <v>42887</v>
      </c>
      <c r="B334" s="3">
        <v>1448.6722222222222</v>
      </c>
      <c r="C334" s="3">
        <v>21626.323185185185</v>
      </c>
      <c r="D334" s="3">
        <v>62007.775576533335</v>
      </c>
      <c r="E334" s="3">
        <v>4829.111481481481</v>
      </c>
      <c r="F334" s="3">
        <v>422.78308203333319</v>
      </c>
      <c r="G334" s="3">
        <v>49193.827777777784</v>
      </c>
      <c r="H334" s="3">
        <v>1865.3425925925928</v>
      </c>
      <c r="I334" s="3">
        <v>3142.8787740740745</v>
      </c>
      <c r="J334" s="3">
        <v>25829.47555555556</v>
      </c>
      <c r="K334" s="3">
        <v>20053.613333333331</v>
      </c>
      <c r="L334" s="3">
        <v>2434.4088888888891</v>
      </c>
      <c r="M334" s="3">
        <v>7471.0237037037032</v>
      </c>
      <c r="N334" s="3">
        <v>12733.135333333335</v>
      </c>
      <c r="O334" s="3">
        <v>10784.933333333332</v>
      </c>
      <c r="P334" s="3">
        <v>5271.0881481481474</v>
      </c>
      <c r="Q334" s="3">
        <v>20908.934074074074</v>
      </c>
      <c r="R334" s="3">
        <v>388.5318518518518</v>
      </c>
    </row>
    <row r="335" spans="1:18">
      <c r="A335" s="2">
        <v>42917</v>
      </c>
      <c r="B335" s="3">
        <v>1476.8074074074075</v>
      </c>
      <c r="C335" s="3">
        <v>21758.330444444444</v>
      </c>
      <c r="D335" s="3">
        <v>64382.604879459272</v>
      </c>
      <c r="E335" s="3">
        <v>4955.1133333333337</v>
      </c>
      <c r="F335" s="3">
        <v>423.67368854838702</v>
      </c>
      <c r="G335" s="3">
        <v>50851.788888888899</v>
      </c>
      <c r="H335" s="3">
        <v>1929.2525925925922</v>
      </c>
      <c r="I335" s="3">
        <v>3221.5689222222213</v>
      </c>
      <c r="J335" s="3">
        <v>26288.559629629632</v>
      </c>
      <c r="K335" s="3">
        <v>20044.092592592591</v>
      </c>
      <c r="L335" s="3">
        <v>2451.3692592592588</v>
      </c>
      <c r="M335" s="3">
        <v>7388.4811111111121</v>
      </c>
      <c r="N335" s="3">
        <v>12382.046774193546</v>
      </c>
      <c r="O335" s="3">
        <v>10535.255555555554</v>
      </c>
      <c r="P335" s="3">
        <v>5168.3588888888889</v>
      </c>
      <c r="Q335" s="3">
        <v>21259.878518518519</v>
      </c>
      <c r="R335" s="3">
        <v>381.95185185185181</v>
      </c>
    </row>
    <row r="336" spans="1:18">
      <c r="A336" s="2">
        <v>42948</v>
      </c>
      <c r="B336" s="3">
        <v>1473.5078571428569</v>
      </c>
      <c r="C336" s="3">
        <v>22494.781285714282</v>
      </c>
      <c r="D336" s="3">
        <v>68759.660048292848</v>
      </c>
      <c r="E336" s="3">
        <v>5111.7128571428575</v>
      </c>
      <c r="F336" s="3">
        <v>426.87775412903238</v>
      </c>
      <c r="G336" s="3">
        <v>51194.161071428563</v>
      </c>
      <c r="H336" s="3">
        <v>1961.6057142857142</v>
      </c>
      <c r="I336" s="3">
        <v>3283.9965035714299</v>
      </c>
      <c r="J336" s="3">
        <v>27482.310714285722</v>
      </c>
      <c r="K336" s="3">
        <v>19662.462857142855</v>
      </c>
      <c r="L336" s="3">
        <v>2453.7653571428577</v>
      </c>
      <c r="M336" s="3">
        <v>7402.659642857142</v>
      </c>
      <c r="N336" s="3">
        <v>12155.720645161289</v>
      </c>
      <c r="O336" s="3">
        <v>10437.760714285712</v>
      </c>
      <c r="P336" s="3">
        <v>5122.1164285714276</v>
      </c>
      <c r="Q336" s="3">
        <v>21730.919999999995</v>
      </c>
      <c r="R336" s="3">
        <v>376.05785714285713</v>
      </c>
    </row>
    <row r="337" spans="1:18">
      <c r="A337" s="2">
        <v>42979</v>
      </c>
      <c r="B337" s="3">
        <v>1493.1223076923077</v>
      </c>
      <c r="C337" s="3">
        <v>24397.48453846154</v>
      </c>
      <c r="D337" s="3">
        <v>74230.356338007696</v>
      </c>
      <c r="E337" s="3">
        <v>5207.0876923076912</v>
      </c>
      <c r="F337" s="3">
        <v>431.85424366666678</v>
      </c>
      <c r="G337" s="3">
        <v>50344.783461538456</v>
      </c>
      <c r="H337" s="3">
        <v>2046.6553846153843</v>
      </c>
      <c r="I337" s="3">
        <v>3362.1049846153842</v>
      </c>
      <c r="J337" s="3">
        <v>27787.374230769237</v>
      </c>
      <c r="K337" s="3">
        <v>19920.230384615388</v>
      </c>
      <c r="L337" s="3">
        <v>2492.0446153846151</v>
      </c>
      <c r="M337" s="3">
        <v>7336.2519230769249</v>
      </c>
      <c r="N337" s="3">
        <v>12467.154333333332</v>
      </c>
      <c r="O337" s="3">
        <v>10284.507692307692</v>
      </c>
      <c r="P337" s="3">
        <v>5209.4584615384611</v>
      </c>
      <c r="Q337" s="3">
        <v>22223.023076923073</v>
      </c>
      <c r="R337" s="3">
        <v>380.65692307692308</v>
      </c>
    </row>
    <row r="338" spans="1:18">
      <c r="A338" s="2">
        <v>43009</v>
      </c>
      <c r="B338" s="3">
        <v>1473.5796296296296</v>
      </c>
      <c r="C338" s="3">
        <v>27067.476407407405</v>
      </c>
      <c r="D338" s="3">
        <v>76103.602510081473</v>
      </c>
      <c r="E338" s="3">
        <v>5486.2370370370381</v>
      </c>
      <c r="F338" s="3">
        <v>437.24076429032249</v>
      </c>
      <c r="G338" s="3">
        <v>49869.728148148162</v>
      </c>
      <c r="H338" s="3">
        <v>2079.9340740740745</v>
      </c>
      <c r="I338" s="3">
        <v>3377.9957814814811</v>
      </c>
      <c r="J338" s="3">
        <v>28342.085185185184</v>
      </c>
      <c r="K338" s="3">
        <v>21221.343333333334</v>
      </c>
      <c r="L338" s="3">
        <v>2556.7437037037034</v>
      </c>
      <c r="M338" s="3">
        <v>7505.1581481481489</v>
      </c>
      <c r="N338" s="3">
        <v>13016.641612903226</v>
      </c>
      <c r="O338" s="3">
        <v>10238.559259259258</v>
      </c>
      <c r="P338" s="3">
        <v>5388.3062962962968</v>
      </c>
      <c r="Q338" s="3">
        <v>22510.247777777771</v>
      </c>
      <c r="R338" s="3">
        <v>390.75037037037038</v>
      </c>
    </row>
    <row r="339" spans="1:18">
      <c r="A339" s="2">
        <v>43040</v>
      </c>
      <c r="B339" s="3">
        <v>1438.4153846153847</v>
      </c>
      <c r="C339" s="3">
        <v>27312.484384615382</v>
      </c>
      <c r="D339" s="3">
        <v>73290.995506350009</v>
      </c>
      <c r="E339" s="3">
        <v>5286.7588461538453</v>
      </c>
      <c r="F339" s="3">
        <v>441.15140376666659</v>
      </c>
      <c r="G339" s="3">
        <v>48070.167307692303</v>
      </c>
      <c r="H339" s="3">
        <v>2136.1492307692311</v>
      </c>
      <c r="I339" s="3">
        <v>3387.7650615384609</v>
      </c>
      <c r="J339" s="3">
        <v>29211.175769230758</v>
      </c>
      <c r="K339" s="3">
        <v>22528.208846153841</v>
      </c>
      <c r="L339" s="3">
        <v>2592.8542307692305</v>
      </c>
      <c r="M339" s="3">
        <v>7441.9538461538468</v>
      </c>
      <c r="N339" s="3">
        <v>13160.868000000004</v>
      </c>
      <c r="O339" s="3">
        <v>10146.346153846154</v>
      </c>
      <c r="P339" s="3">
        <v>5398.6023076923075</v>
      </c>
      <c r="Q339" s="3">
        <v>22505.233076923076</v>
      </c>
      <c r="R339" s="3">
        <v>388.84307692307698</v>
      </c>
    </row>
    <row r="340" spans="1:18">
      <c r="A340" s="2">
        <v>43070</v>
      </c>
      <c r="B340" s="3">
        <v>1474.9046153846159</v>
      </c>
      <c r="C340" s="3">
        <v>27835.956000000002</v>
      </c>
      <c r="D340" s="3">
        <v>73823.052076280757</v>
      </c>
      <c r="E340" s="3">
        <v>5261.0642307692324</v>
      </c>
      <c r="F340" s="3">
        <v>443.77050112903208</v>
      </c>
      <c r="G340" s="3">
        <v>48080.414230769231</v>
      </c>
      <c r="H340" s="3">
        <v>2117.2930769230766</v>
      </c>
      <c r="I340" s="3">
        <v>3294.0246269230765</v>
      </c>
      <c r="J340" s="3">
        <v>29165.309615384616</v>
      </c>
      <c r="K340" s="3">
        <v>22769.951538461537</v>
      </c>
      <c r="L340" s="3">
        <v>2665.2549999999997</v>
      </c>
      <c r="M340" s="3">
        <v>7492.4557692307681</v>
      </c>
      <c r="N340" s="3">
        <v>13060.711935483869</v>
      </c>
      <c r="O340" s="3">
        <v>10195.25</v>
      </c>
      <c r="P340" s="3">
        <v>5367.6419230769234</v>
      </c>
      <c r="Q340" s="3">
        <v>22283.99307692307</v>
      </c>
      <c r="R340" s="3">
        <v>388.93653846153848</v>
      </c>
    </row>
    <row r="341" spans="1:18">
      <c r="A341" s="2">
        <v>43101</v>
      </c>
      <c r="B341" s="3">
        <v>1549.7866666666669</v>
      </c>
      <c r="C341" s="3">
        <v>33196.405851851858</v>
      </c>
      <c r="D341" s="3">
        <v>80838.093329288909</v>
      </c>
      <c r="E341" s="3">
        <v>5758.442222222222</v>
      </c>
      <c r="F341" s="3">
        <v>448.3064140967744</v>
      </c>
      <c r="G341" s="3">
        <v>49908.310370370382</v>
      </c>
      <c r="H341" s="3">
        <v>2250.678148148148</v>
      </c>
      <c r="I341" s="3">
        <v>3452.8974814814828</v>
      </c>
      <c r="J341" s="3">
        <v>31772.481111111105</v>
      </c>
      <c r="K341" s="3">
        <v>23605.541851851853</v>
      </c>
      <c r="L341" s="3">
        <v>2787.3440740740739</v>
      </c>
      <c r="M341" s="3">
        <v>7699.6770370370368</v>
      </c>
      <c r="N341" s="3">
        <v>13275.835483870966</v>
      </c>
      <c r="O341" s="3">
        <v>10437.822222222223</v>
      </c>
      <c r="P341" s="3">
        <v>5480.7744444444443</v>
      </c>
      <c r="Q341" s="3">
        <v>23261.78703703704</v>
      </c>
      <c r="R341" s="3">
        <v>397.73740740740737</v>
      </c>
    </row>
    <row r="342" spans="1:18">
      <c r="A342" s="2">
        <v>43132</v>
      </c>
      <c r="B342" s="3">
        <v>1523.5199999999998</v>
      </c>
      <c r="C342" s="3">
        <v>32124.863125000003</v>
      </c>
      <c r="D342" s="3">
        <v>84248.86428700418</v>
      </c>
      <c r="E342" s="3">
        <v>5669.4487499999987</v>
      </c>
      <c r="F342" s="3">
        <v>454.62435285714281</v>
      </c>
      <c r="G342" s="3">
        <v>48772.064583333326</v>
      </c>
      <c r="H342" s="3">
        <v>2275.4091666666668</v>
      </c>
      <c r="I342" s="3">
        <v>3271.7148083333336</v>
      </c>
      <c r="J342" s="3">
        <v>31007.066666666669</v>
      </c>
      <c r="K342" s="3">
        <v>21978.948333333334</v>
      </c>
      <c r="L342" s="3">
        <v>2707.9737500000006</v>
      </c>
      <c r="M342" s="3">
        <v>7258.0416666666679</v>
      </c>
      <c r="N342" s="3">
        <v>12458.716428571423</v>
      </c>
      <c r="O342" s="3">
        <v>9870.1833333333325</v>
      </c>
      <c r="P342" s="3">
        <v>5258.302083333333</v>
      </c>
      <c r="Q342" s="3">
        <v>22647.484583333338</v>
      </c>
      <c r="R342" s="3">
        <v>379.13124999999997</v>
      </c>
    </row>
    <row r="343" spans="1:18">
      <c r="A343" s="2">
        <v>43160</v>
      </c>
      <c r="B343" s="3">
        <v>1467.4421428571422</v>
      </c>
      <c r="C343" s="3">
        <v>32127.358428571431</v>
      </c>
      <c r="D343" s="3">
        <v>85250.982297021401</v>
      </c>
      <c r="E343" s="3">
        <v>5553.806071428573</v>
      </c>
      <c r="F343" s="3">
        <v>458.26466280645155</v>
      </c>
      <c r="G343" s="3">
        <v>47415.767857142877</v>
      </c>
      <c r="H343" s="3">
        <v>2288.059642857143</v>
      </c>
      <c r="I343" s="3">
        <v>3244.9406678571436</v>
      </c>
      <c r="J343" s="3">
        <v>30822.197142857152</v>
      </c>
      <c r="K343" s="3">
        <v>21366.70642857143</v>
      </c>
      <c r="L343" s="3">
        <v>2698.1903571428579</v>
      </c>
      <c r="M343" s="3">
        <v>7087.6957142857127</v>
      </c>
      <c r="N343" s="3">
        <v>12153.249677419351</v>
      </c>
      <c r="O343" s="3">
        <v>9603.6464285714301</v>
      </c>
      <c r="P343" s="3">
        <v>5195.4689285714276</v>
      </c>
      <c r="Q343" s="3">
        <v>22437.635357142859</v>
      </c>
      <c r="R343" s="3">
        <v>372.27071428571435</v>
      </c>
    </row>
    <row r="344" spans="1:18">
      <c r="A344" s="2">
        <v>43191</v>
      </c>
      <c r="B344" s="3">
        <v>1540.7748148148141</v>
      </c>
      <c r="C344" s="3">
        <v>31113.829925925918</v>
      </c>
      <c r="D344" s="3">
        <v>85134.757211277756</v>
      </c>
      <c r="E344" s="3">
        <v>5635.5729629629632</v>
      </c>
      <c r="F344" s="3">
        <v>466.0081152333334</v>
      </c>
      <c r="G344" s="3">
        <v>48120.846666666679</v>
      </c>
      <c r="H344" s="3">
        <v>2238.9833333333331</v>
      </c>
      <c r="I344" s="3">
        <v>3121.344025925926</v>
      </c>
      <c r="J344" s="3">
        <v>30314.178148148156</v>
      </c>
      <c r="K344" s="3">
        <v>21916.376666666667</v>
      </c>
      <c r="L344" s="3">
        <v>2653.2492592592589</v>
      </c>
      <c r="M344" s="3">
        <v>7285.1248148148125</v>
      </c>
      <c r="N344" s="3">
        <v>12401.182999999999</v>
      </c>
      <c r="O344" s="3">
        <v>9788.1518518518515</v>
      </c>
      <c r="P344" s="3">
        <v>5340.4981481481482</v>
      </c>
      <c r="Q344" s="3">
        <v>23393.358888888888</v>
      </c>
      <c r="R344" s="3">
        <v>378.75851851851837</v>
      </c>
    </row>
    <row r="345" spans="1:18">
      <c r="A345" s="2">
        <v>43221</v>
      </c>
      <c r="B345" s="3">
        <v>1541.606428571429</v>
      </c>
      <c r="C345" s="3">
        <v>29638.937250000006</v>
      </c>
      <c r="D345" s="3">
        <v>82303.639647064265</v>
      </c>
      <c r="E345" s="3">
        <v>5636.0650000000005</v>
      </c>
      <c r="F345" s="3">
        <v>479.6312678064516</v>
      </c>
      <c r="G345" s="3">
        <v>46115.456071428584</v>
      </c>
      <c r="H345" s="3">
        <v>2312.2453571428573</v>
      </c>
      <c r="I345" s="3">
        <v>3142.8241142857137</v>
      </c>
      <c r="J345" s="3">
        <v>30690.216071428578</v>
      </c>
      <c r="K345" s="3">
        <v>22586.496428571427</v>
      </c>
      <c r="L345" s="3">
        <v>2701.5374999999999</v>
      </c>
      <c r="M345" s="3">
        <v>7684.2825000000012</v>
      </c>
      <c r="N345" s="3">
        <v>12919.270322580647</v>
      </c>
      <c r="O345" s="3">
        <v>10034.089285714284</v>
      </c>
      <c r="P345" s="3">
        <v>5538.5503571428562</v>
      </c>
      <c r="Q345" s="3">
        <v>23471.65</v>
      </c>
      <c r="R345" s="3">
        <v>390.38321428571419</v>
      </c>
    </row>
    <row r="346" spans="1:18">
      <c r="A346" s="2">
        <v>43252</v>
      </c>
      <c r="B346" s="3">
        <v>1547.7261538461539</v>
      </c>
      <c r="C346" s="3">
        <v>29520.336000000007</v>
      </c>
      <c r="D346" s="3">
        <v>72723.737836019238</v>
      </c>
      <c r="E346" s="3">
        <v>5441.2573076923063</v>
      </c>
      <c r="F346" s="3">
        <v>479.09447263333345</v>
      </c>
      <c r="G346" s="3">
        <v>46336.223846153836</v>
      </c>
      <c r="H346" s="3">
        <v>2267.3384615384612</v>
      </c>
      <c r="I346" s="3">
        <v>2988.6252884615383</v>
      </c>
      <c r="J346" s="3">
        <v>30145.131153846152</v>
      </c>
      <c r="K346" s="3">
        <v>22567.281153846157</v>
      </c>
      <c r="L346" s="3">
        <v>2756.4857692307683</v>
      </c>
      <c r="M346" s="3">
        <v>7660.6053846153854</v>
      </c>
      <c r="N346" s="3">
        <v>12682.893999999995</v>
      </c>
      <c r="O346" s="3">
        <v>9756.0807692307699</v>
      </c>
      <c r="P346" s="3">
        <v>5416.5169230769243</v>
      </c>
      <c r="Q346" s="3">
        <v>21848.34230769231</v>
      </c>
      <c r="R346" s="3">
        <v>384.89884615384619</v>
      </c>
    </row>
    <row r="347" spans="1:18">
      <c r="A347" s="2">
        <v>43282</v>
      </c>
      <c r="B347" s="3">
        <v>1551.0918518518515</v>
      </c>
      <c r="C347" s="3">
        <v>27596.186185185186</v>
      </c>
      <c r="D347" s="3">
        <v>76840.030370370368</v>
      </c>
      <c r="E347" s="3">
        <v>5346.6362962962967</v>
      </c>
      <c r="F347" s="3">
        <v>482.3253887741937</v>
      </c>
      <c r="G347" s="3">
        <v>48768.423703703702</v>
      </c>
      <c r="H347" s="3">
        <v>2310.025925925926</v>
      </c>
      <c r="I347" s="3">
        <v>2821.9254222222221</v>
      </c>
      <c r="J347" s="3">
        <v>28502.553703703703</v>
      </c>
      <c r="K347" s="3">
        <v>22340.304444444439</v>
      </c>
      <c r="L347" s="3">
        <v>2788.1437037037044</v>
      </c>
      <c r="M347" s="3">
        <v>7652.5907407407412</v>
      </c>
      <c r="N347" s="3">
        <v>12581.297419354843</v>
      </c>
      <c r="O347" s="3">
        <v>9772.8000000000011</v>
      </c>
      <c r="P347" s="3">
        <v>5409.0622222222219</v>
      </c>
      <c r="Q347" s="3">
        <v>21846.735555555555</v>
      </c>
      <c r="R347" s="3">
        <v>385.202962962963</v>
      </c>
    </row>
    <row r="348" spans="1:18">
      <c r="A348" s="2">
        <v>43313</v>
      </c>
      <c r="B348" s="3">
        <v>1533.1582142857139</v>
      </c>
      <c r="C348" s="3">
        <v>26884.565464285715</v>
      </c>
      <c r="D348" s="3">
        <v>77711.075357142836</v>
      </c>
      <c r="E348" s="3">
        <v>5291.2264285714273</v>
      </c>
      <c r="F348" s="3">
        <v>475.58802958064518</v>
      </c>
      <c r="G348" s="3">
        <v>49278.510357142848</v>
      </c>
      <c r="H348" s="3">
        <v>2292.6096428571432</v>
      </c>
      <c r="I348" s="3">
        <v>2745.4014749999997</v>
      </c>
      <c r="J348" s="3">
        <v>27889.014999999996</v>
      </c>
      <c r="K348" s="3">
        <v>22487.943928571425</v>
      </c>
      <c r="L348" s="3">
        <v>2857.2503571428579</v>
      </c>
      <c r="M348" s="3">
        <v>7605.018571428569</v>
      </c>
      <c r="N348" s="3">
        <v>12446.630322580644</v>
      </c>
      <c r="O348" s="3">
        <v>9589.3142857142848</v>
      </c>
      <c r="P348" s="3">
        <v>5435.1842857142847</v>
      </c>
      <c r="Q348" s="3">
        <v>20974.570000000003</v>
      </c>
      <c r="R348" s="3">
        <v>385.32785714285717</v>
      </c>
    </row>
    <row r="349" spans="1:18">
      <c r="A349" s="2">
        <v>43344</v>
      </c>
      <c r="B349" s="3">
        <v>1498.2584000000002</v>
      </c>
      <c r="C349" s="3">
        <v>31363.724159999998</v>
      </c>
      <c r="D349" s="3">
        <v>77116.65399999998</v>
      </c>
      <c r="E349" s="3">
        <v>5303.0059999999994</v>
      </c>
      <c r="F349" s="3">
        <v>464.47490066666677</v>
      </c>
      <c r="G349" s="3">
        <v>49329.659199999987</v>
      </c>
      <c r="H349" s="3">
        <v>2382.6196000000004</v>
      </c>
      <c r="I349" s="3">
        <v>2730.5627480000003</v>
      </c>
      <c r="J349" s="3">
        <v>27345.057199999996</v>
      </c>
      <c r="K349" s="3">
        <v>23203.547600000002</v>
      </c>
      <c r="L349" s="3">
        <v>2902.0743999999995</v>
      </c>
      <c r="M349" s="3">
        <v>7389.3160000000007</v>
      </c>
      <c r="N349" s="3">
        <v>12198.538666666664</v>
      </c>
      <c r="O349" s="3">
        <v>9394.616</v>
      </c>
      <c r="P349" s="3">
        <v>5385.2952000000005</v>
      </c>
      <c r="Q349" s="3">
        <v>20971.814399999999</v>
      </c>
      <c r="R349" s="3">
        <v>379.73800000000006</v>
      </c>
    </row>
    <row r="350" spans="1:18">
      <c r="A350" s="2">
        <v>43374</v>
      </c>
      <c r="B350" s="3">
        <v>1457.2107407407404</v>
      </c>
      <c r="C350" s="3">
        <v>29583.103222222227</v>
      </c>
      <c r="D350" s="3">
        <v>84090.235925925925</v>
      </c>
      <c r="E350" s="3">
        <v>5180.5925925925922</v>
      </c>
      <c r="F350" s="3">
        <v>459.39349574193545</v>
      </c>
      <c r="G350" s="3">
        <v>47204.594814814816</v>
      </c>
      <c r="H350" s="3">
        <v>2385.0114814814815</v>
      </c>
      <c r="I350" s="3">
        <v>2648.8725444444444</v>
      </c>
      <c r="J350" s="3">
        <v>25767.276296296299</v>
      </c>
      <c r="K350" s="3">
        <v>22710.221111111114</v>
      </c>
      <c r="L350" s="3">
        <v>2783.1429629629629</v>
      </c>
      <c r="M350" s="3">
        <v>7127.9859259259283</v>
      </c>
      <c r="N350" s="3">
        <v>11663.475483870965</v>
      </c>
      <c r="O350" s="3">
        <v>8999.133333333335</v>
      </c>
      <c r="P350" s="3">
        <v>5163.7281481481486</v>
      </c>
      <c r="Q350" s="3">
        <v>19479.543703703701</v>
      </c>
      <c r="R350" s="3">
        <v>364.56666666666672</v>
      </c>
    </row>
    <row r="351" spans="1:18">
      <c r="A351" s="2">
        <v>43405</v>
      </c>
      <c r="B351" s="3">
        <v>1400.6157692307693</v>
      </c>
      <c r="C351" s="3">
        <v>30673.567923076924</v>
      </c>
      <c r="D351" s="3">
        <v>87402.578461538462</v>
      </c>
      <c r="E351" s="3">
        <v>5154.1503846153846</v>
      </c>
      <c r="F351" s="3">
        <v>460.16750140000011</v>
      </c>
      <c r="G351" s="3">
        <v>42935.86307692308</v>
      </c>
      <c r="H351" s="3">
        <v>2377.6434615384615</v>
      </c>
      <c r="I351" s="3">
        <v>2631.3789730769231</v>
      </c>
      <c r="J351" s="3">
        <v>26076.201538461548</v>
      </c>
      <c r="K351" s="3">
        <v>21953.563846153847</v>
      </c>
      <c r="L351" s="3">
        <v>2719.6403846153844</v>
      </c>
      <c r="M351" s="3">
        <v>7040.9269230769214</v>
      </c>
      <c r="N351" s="3">
        <v>11369.181</v>
      </c>
      <c r="O351" s="3">
        <v>9042.265384615388</v>
      </c>
      <c r="P351" s="3">
        <v>5036.6438461538446</v>
      </c>
      <c r="Q351" s="3">
        <v>19074.222692307689</v>
      </c>
      <c r="R351" s="3">
        <v>359.8196153846153</v>
      </c>
    </row>
    <row r="352" spans="1:18">
      <c r="A352" s="2">
        <v>43435</v>
      </c>
      <c r="B352" s="3">
        <v>1347.3446428571428</v>
      </c>
      <c r="C352" s="3">
        <v>30306.028500000011</v>
      </c>
      <c r="D352" s="3">
        <v>87096.334999999963</v>
      </c>
      <c r="E352" s="3">
        <v>5098.9478571428554</v>
      </c>
      <c r="F352" s="3">
        <v>454.28406887096753</v>
      </c>
      <c r="G352" s="3">
        <v>41467.695</v>
      </c>
      <c r="H352" s="3">
        <v>2373.1253571428565</v>
      </c>
      <c r="I352" s="3">
        <v>2563.4305464285717</v>
      </c>
      <c r="J352" s="3">
        <v>25997.151071428561</v>
      </c>
      <c r="K352" s="3">
        <v>20912.978214285715</v>
      </c>
      <c r="L352" s="3">
        <v>2558.1400000000003</v>
      </c>
      <c r="M352" s="3">
        <v>6782.6046428571426</v>
      </c>
      <c r="N352" s="3">
        <v>10801.788387096778</v>
      </c>
      <c r="O352" s="3">
        <v>8716.0571428571438</v>
      </c>
      <c r="P352" s="3">
        <v>4779.8460714285711</v>
      </c>
      <c r="Q352" s="3">
        <v>18679.985000000008</v>
      </c>
      <c r="R352" s="3">
        <v>342.71642857142848</v>
      </c>
    </row>
    <row r="353" spans="1:18">
      <c r="A353" s="2">
        <v>43466</v>
      </c>
      <c r="B353" s="3">
        <v>1391.8714814814816</v>
      </c>
      <c r="C353" s="3">
        <v>33925.203555555556</v>
      </c>
      <c r="D353" s="3">
        <v>94416.878148148171</v>
      </c>
      <c r="E353" s="3">
        <v>5340.0240740740737</v>
      </c>
      <c r="F353" s="3">
        <v>443.42308261290316</v>
      </c>
      <c r="G353" s="3">
        <v>43413.859259259269</v>
      </c>
      <c r="H353" s="3">
        <v>2447.6129629629636</v>
      </c>
      <c r="I353" s="3">
        <v>2557.2540740740742</v>
      </c>
      <c r="J353" s="3">
        <v>26683.458888888879</v>
      </c>
      <c r="K353" s="3">
        <v>20389.445555555558</v>
      </c>
      <c r="L353" s="3">
        <v>2607.2748148148153</v>
      </c>
      <c r="M353" s="3">
        <v>6859.8614814814819</v>
      </c>
      <c r="N353" s="3">
        <v>10972.88516129032</v>
      </c>
      <c r="O353" s="3">
        <v>8919.4592592592617</v>
      </c>
      <c r="P353" s="3">
        <v>4820.3551851851853</v>
      </c>
      <c r="Q353" s="3">
        <v>19286.124444444449</v>
      </c>
      <c r="R353" s="3">
        <v>350.27296296296294</v>
      </c>
    </row>
    <row r="354" spans="1:18">
      <c r="A354" s="2">
        <v>43497</v>
      </c>
      <c r="B354" s="3">
        <v>1483.9970833333334</v>
      </c>
      <c r="C354" s="3">
        <v>36640.27375</v>
      </c>
      <c r="D354" s="3">
        <v>96791.322083333333</v>
      </c>
      <c r="E354" s="3">
        <v>5415.3779166666654</v>
      </c>
      <c r="F354" s="3">
        <v>440.44300153571419</v>
      </c>
      <c r="G354" s="3">
        <v>43348.552083333336</v>
      </c>
      <c r="H354" s="3">
        <v>2498.7804166666665</v>
      </c>
      <c r="I354" s="3">
        <v>2729.4266250000005</v>
      </c>
      <c r="J354" s="3">
        <v>28301.464166666676</v>
      </c>
      <c r="K354" s="3">
        <v>21047.084999999995</v>
      </c>
      <c r="L354" s="3">
        <v>2754.1958333333332</v>
      </c>
      <c r="M354" s="3">
        <v>7143.8779166666673</v>
      </c>
      <c r="N354" s="3">
        <v>11260.950357142856</v>
      </c>
      <c r="O354" s="3">
        <v>9081.4125000000004</v>
      </c>
      <c r="P354" s="3">
        <v>5113.0500000000011</v>
      </c>
      <c r="Q354" s="3">
        <v>20002.682083333337</v>
      </c>
      <c r="R354" s="3">
        <v>366.28749999999997</v>
      </c>
    </row>
    <row r="355" spans="1:18">
      <c r="A355" s="2">
        <v>43525</v>
      </c>
      <c r="B355" s="3">
        <v>1564.3149999999998</v>
      </c>
      <c r="C355" s="3">
        <v>33517.38692307692</v>
      </c>
      <c r="D355" s="3">
        <v>96048.14346153845</v>
      </c>
      <c r="E355" s="3">
        <v>5260.8499999999995</v>
      </c>
      <c r="F355" s="3">
        <v>439.53322580645147</v>
      </c>
      <c r="G355" s="3">
        <v>42377.692307692305</v>
      </c>
      <c r="H355" s="3">
        <v>2484.4142307692305</v>
      </c>
      <c r="I355" s="3">
        <v>3045.9077461538463</v>
      </c>
      <c r="J355" s="3">
        <v>28889.151153846153</v>
      </c>
      <c r="K355" s="3">
        <v>21416.11</v>
      </c>
      <c r="L355" s="3">
        <v>2803.3849999999998</v>
      </c>
      <c r="M355" s="3">
        <v>7200.8407692307683</v>
      </c>
      <c r="N355" s="3">
        <v>11537.589354838705</v>
      </c>
      <c r="O355" s="3">
        <v>9253.4115384615361</v>
      </c>
      <c r="P355" s="3">
        <v>5313.2150000000001</v>
      </c>
      <c r="Q355" s="3">
        <v>20957.702307692307</v>
      </c>
      <c r="R355" s="3">
        <v>376.79115384615392</v>
      </c>
    </row>
    <row r="356" spans="1:18">
      <c r="A356" s="2">
        <v>43556</v>
      </c>
      <c r="B356" s="3">
        <v>1593.2107692307693</v>
      </c>
      <c r="C356" s="3">
        <v>31463.438846153847</v>
      </c>
      <c r="D356" s="3">
        <v>95313.040384615379</v>
      </c>
      <c r="E356" s="3">
        <v>5237.2057692307699</v>
      </c>
      <c r="F356" s="3">
        <v>438.14766666666679</v>
      </c>
      <c r="G356" s="3">
        <v>44828.637692307697</v>
      </c>
      <c r="H356" s="3">
        <v>2558.0484615384626</v>
      </c>
      <c r="I356" s="3">
        <v>3197.5315307692313</v>
      </c>
      <c r="J356" s="3">
        <v>29885.935769230771</v>
      </c>
      <c r="K356" s="3">
        <v>21998.151153846153</v>
      </c>
      <c r="L356" s="3">
        <v>2904.9957692307694</v>
      </c>
      <c r="M356" s="3">
        <v>7437.5284615384626</v>
      </c>
      <c r="N356" s="3">
        <v>12096.628000000001</v>
      </c>
      <c r="O356" s="3">
        <v>9493.788461538461</v>
      </c>
      <c r="P356" s="3">
        <v>5519.8788461538461</v>
      </c>
      <c r="Q356" s="3">
        <v>21794.784230769237</v>
      </c>
      <c r="R356" s="3">
        <v>388.8346153846154</v>
      </c>
    </row>
    <row r="357" spans="1:18">
      <c r="A357" s="2">
        <v>43586</v>
      </c>
      <c r="B357" s="3">
        <v>1514.7932142857146</v>
      </c>
      <c r="C357" s="3">
        <v>33426.852857142861</v>
      </c>
      <c r="D357" s="3">
        <v>94212.224642857109</v>
      </c>
      <c r="E357" s="3">
        <v>4992.9410714285714</v>
      </c>
      <c r="F357" s="3">
        <v>438.52645161290309</v>
      </c>
      <c r="G357" s="3">
        <v>43371.617857142854</v>
      </c>
      <c r="H357" s="3">
        <v>2585.5467857142858</v>
      </c>
      <c r="I357" s="3">
        <v>2930.0805642857144</v>
      </c>
      <c r="J357" s="3">
        <v>28322.887500000004</v>
      </c>
      <c r="K357" s="3">
        <v>21443.351071428566</v>
      </c>
      <c r="L357" s="3">
        <v>2860.2807142857141</v>
      </c>
      <c r="M357" s="3">
        <v>7286.7825000000012</v>
      </c>
      <c r="N357" s="3">
        <v>12114.184838709674</v>
      </c>
      <c r="O357" s="3">
        <v>9226.4928571428591</v>
      </c>
      <c r="P357" s="3">
        <v>5382.2999999999984</v>
      </c>
      <c r="Q357" s="3">
        <v>20859.548571428571</v>
      </c>
      <c r="R357" s="3">
        <v>379.6749999999999</v>
      </c>
    </row>
    <row r="358" spans="1:18">
      <c r="A358" s="2">
        <v>43617</v>
      </c>
      <c r="B358" s="3">
        <v>1526.4764000000002</v>
      </c>
      <c r="C358" s="3">
        <v>38745.257999999987</v>
      </c>
      <c r="D358" s="3">
        <v>99081.624400000015</v>
      </c>
      <c r="E358" s="3">
        <v>5035.8427999999994</v>
      </c>
      <c r="F358" s="3">
        <v>438.9323333333333</v>
      </c>
      <c r="G358" s="3">
        <v>43371.385200000004</v>
      </c>
      <c r="H358" s="3">
        <v>2745.3904000000011</v>
      </c>
      <c r="I358" s="3">
        <v>2918.6200320000003</v>
      </c>
      <c r="J358" s="3">
        <v>27664.365600000001</v>
      </c>
      <c r="K358" s="3">
        <v>21053.659599999999</v>
      </c>
      <c r="L358" s="3">
        <v>2888.3167999999991</v>
      </c>
      <c r="M358" s="3">
        <v>7354.3567999999996</v>
      </c>
      <c r="N358" s="3">
        <v>12145.996000000001</v>
      </c>
      <c r="O358" s="3">
        <v>9188.3320000000003</v>
      </c>
      <c r="P358" s="3">
        <v>5416.5011999999988</v>
      </c>
      <c r="Q358" s="3">
        <v>20741.778399999999</v>
      </c>
      <c r="R358" s="3">
        <v>379.88600000000008</v>
      </c>
    </row>
    <row r="359" spans="1:18">
      <c r="A359" s="2">
        <v>43647</v>
      </c>
      <c r="B359" s="3">
        <v>1586.7937037037034</v>
      </c>
      <c r="C359" s="3">
        <v>41430.623703703706</v>
      </c>
      <c r="D359" s="3">
        <v>103518.01148148147</v>
      </c>
      <c r="E359" s="3">
        <v>5037.7137037037037</v>
      </c>
      <c r="F359" s="3">
        <v>443.40225806451599</v>
      </c>
      <c r="G359" s="3">
        <v>42235.164814814823</v>
      </c>
      <c r="H359" s="3">
        <v>2759.0281481481475</v>
      </c>
      <c r="I359" s="3">
        <v>2948.5476111111111</v>
      </c>
      <c r="J359" s="3">
        <v>28488.474074074074</v>
      </c>
      <c r="K359" s="3">
        <v>21603.859259259261</v>
      </c>
      <c r="L359" s="3">
        <v>2996.9248148148149</v>
      </c>
      <c r="M359" s="3">
        <v>7546.2781481481452</v>
      </c>
      <c r="N359" s="3">
        <v>12403.269677419356</v>
      </c>
      <c r="O359" s="3">
        <v>9256.6666666666679</v>
      </c>
      <c r="P359" s="3">
        <v>5579.1874074074085</v>
      </c>
      <c r="Q359" s="3">
        <v>21876.181481481482</v>
      </c>
      <c r="R359" s="3">
        <v>388.80740740740742</v>
      </c>
    </row>
    <row r="360" spans="1:18">
      <c r="A360" s="2">
        <v>43678</v>
      </c>
      <c r="B360" s="3">
        <v>1532.2868000000003</v>
      </c>
      <c r="C360" s="3">
        <v>32146.3308</v>
      </c>
      <c r="D360" s="3">
        <v>100542.68439999997</v>
      </c>
      <c r="E360" s="3">
        <v>4777.967599999999</v>
      </c>
      <c r="F360" s="3">
        <v>452.25483870967753</v>
      </c>
      <c r="G360" s="3">
        <v>40057.4084</v>
      </c>
      <c r="H360" s="3">
        <v>2670.674399999999</v>
      </c>
      <c r="I360" s="3">
        <v>2848.9791399999999</v>
      </c>
      <c r="J360" s="3">
        <v>26021.945199999995</v>
      </c>
      <c r="K360" s="3">
        <v>20644.996800000001</v>
      </c>
      <c r="L360" s="3">
        <v>2896.5120000000006</v>
      </c>
      <c r="M360" s="3">
        <v>7199.4927999999991</v>
      </c>
      <c r="N360" s="3">
        <v>11717.895161290326</v>
      </c>
      <c r="O360" s="3">
        <v>8730.7119999999977</v>
      </c>
      <c r="P360" s="3">
        <v>5349.1287999999986</v>
      </c>
      <c r="Q360" s="3">
        <v>20698.060400000002</v>
      </c>
      <c r="R360" s="3">
        <v>372.85040000000004</v>
      </c>
    </row>
    <row r="361" spans="1:18">
      <c r="A361" s="2">
        <v>43709</v>
      </c>
      <c r="B361" s="3">
        <v>1582.5649999999998</v>
      </c>
      <c r="C361" s="3">
        <v>28304.066153846165</v>
      </c>
      <c r="D361" s="3">
        <v>103530.94192307688</v>
      </c>
      <c r="E361" s="3">
        <v>4959.6919230769226</v>
      </c>
      <c r="F361" s="3">
        <v>452.69866666666678</v>
      </c>
      <c r="G361" s="3">
        <v>42854.279230769222</v>
      </c>
      <c r="H361" s="3">
        <v>2786.7280769230761</v>
      </c>
      <c r="I361" s="3">
        <v>2979.0229807692303</v>
      </c>
      <c r="J361" s="3">
        <v>26466.089615384619</v>
      </c>
      <c r="K361" s="3">
        <v>21616.973846153855</v>
      </c>
      <c r="L361" s="3">
        <v>2978.3076923076919</v>
      </c>
      <c r="M361" s="3">
        <v>7321.0434615384593</v>
      </c>
      <c r="N361" s="3">
        <v>12298.267333333335</v>
      </c>
      <c r="O361" s="3">
        <v>9053.6538461538476</v>
      </c>
      <c r="P361" s="3">
        <v>5608.786538461537</v>
      </c>
      <c r="Q361" s="3">
        <v>21912.724230769229</v>
      </c>
      <c r="R361" s="3">
        <v>388.44269230769237</v>
      </c>
    </row>
    <row r="362" spans="1:18">
      <c r="A362" s="2">
        <v>43739</v>
      </c>
      <c r="B362" s="3">
        <v>1599.1918518518521</v>
      </c>
      <c r="C362" s="3">
        <v>32121.134444444444</v>
      </c>
      <c r="D362" s="3">
        <v>104655.78851851854</v>
      </c>
      <c r="E362" s="3">
        <v>5025.4207407407403</v>
      </c>
      <c r="F362" s="3">
        <v>458.05774193548399</v>
      </c>
      <c r="G362" s="3">
        <v>43232.2662962963</v>
      </c>
      <c r="H362" s="3">
        <v>2771.0166666666669</v>
      </c>
      <c r="I362" s="3">
        <v>2943.8833037037034</v>
      </c>
      <c r="J362" s="3">
        <v>26409.291851851849</v>
      </c>
      <c r="K362" s="3">
        <v>22185.048148148151</v>
      </c>
      <c r="L362" s="3">
        <v>2978.428148148148</v>
      </c>
      <c r="M362" s="3">
        <v>7220.9840740740747</v>
      </c>
      <c r="N362" s="3">
        <v>12511.962258064517</v>
      </c>
      <c r="O362" s="3">
        <v>9233.9148148148142</v>
      </c>
      <c r="P362" s="3">
        <v>5624.2718518518514</v>
      </c>
      <c r="Q362" s="3">
        <v>22142.420000000002</v>
      </c>
      <c r="R362" s="3">
        <v>390.19555555555564</v>
      </c>
    </row>
    <row r="363" spans="1:18">
      <c r="A363" s="2">
        <v>43770</v>
      </c>
      <c r="B363" s="3">
        <v>1624.3408000000002</v>
      </c>
      <c r="C363" s="3">
        <v>33825.181199999992</v>
      </c>
      <c r="D363" s="3">
        <v>107621.23399999998</v>
      </c>
      <c r="E363" s="3">
        <v>4677.4451999999992</v>
      </c>
      <c r="F363" s="3">
        <v>459.21799999999996</v>
      </c>
      <c r="G363" s="3">
        <v>43456.415999999997</v>
      </c>
      <c r="H363" s="3">
        <v>2945.3456000000001</v>
      </c>
      <c r="I363" s="3">
        <v>2923.931372</v>
      </c>
      <c r="J363" s="3">
        <v>26969.335600000002</v>
      </c>
      <c r="K363" s="3">
        <v>23242.854400000004</v>
      </c>
      <c r="L363" s="3">
        <v>3105.6984000000002</v>
      </c>
      <c r="M363" s="3">
        <v>7344.2636000000002</v>
      </c>
      <c r="N363" s="3">
        <v>13188.14266666667</v>
      </c>
      <c r="O363" s="3">
        <v>9315.344000000001</v>
      </c>
      <c r="P363" s="3">
        <v>5889.2772000000004</v>
      </c>
      <c r="Q363" s="3">
        <v>23401.764800000001</v>
      </c>
      <c r="R363" s="3">
        <v>405.28479999999996</v>
      </c>
    </row>
    <row r="364" spans="1:18">
      <c r="A364" s="2">
        <v>43800</v>
      </c>
      <c r="B364" s="3">
        <v>1632.3974074074072</v>
      </c>
      <c r="C364" s="3">
        <v>37604.822962962971</v>
      </c>
      <c r="D364" s="3">
        <v>113058.73592592592</v>
      </c>
      <c r="E364" s="3">
        <v>4718.5385185185187</v>
      </c>
      <c r="F364" s="3">
        <v>455.5861290322581</v>
      </c>
      <c r="G364" s="3">
        <v>43539.52925925926</v>
      </c>
      <c r="H364" s="3">
        <v>2985.5059259259256</v>
      </c>
      <c r="I364" s="3">
        <v>2960.2609629629624</v>
      </c>
      <c r="J364" s="3">
        <v>27320.13</v>
      </c>
      <c r="K364" s="3">
        <v>23661.121111111108</v>
      </c>
      <c r="L364" s="3">
        <v>3179.7055555555562</v>
      </c>
      <c r="M364" s="3">
        <v>7426.0970370370369</v>
      </c>
      <c r="N364" s="3">
        <v>13228.319677419353</v>
      </c>
      <c r="O364" s="3">
        <v>9506.7407407407409</v>
      </c>
      <c r="P364" s="3">
        <v>5930.391851851854</v>
      </c>
      <c r="Q364" s="3">
        <v>23444.47</v>
      </c>
      <c r="R364" s="3">
        <v>411.9370370370371</v>
      </c>
    </row>
    <row r="365" spans="1:18">
      <c r="A365" s="2">
        <v>43831</v>
      </c>
      <c r="B365" s="3">
        <v>1651.7500000000005</v>
      </c>
      <c r="C365" s="3">
        <v>41319.553703703692</v>
      </c>
      <c r="D365" s="3">
        <v>116948.11444444442</v>
      </c>
      <c r="E365" s="3">
        <v>4782.0551851851851</v>
      </c>
      <c r="F365" s="3">
        <v>456.19064516129026</v>
      </c>
      <c r="G365" s="3">
        <v>44856.205555555556</v>
      </c>
      <c r="H365" s="3">
        <v>3125.6448148148152</v>
      </c>
      <c r="I365" s="3">
        <v>3051.6988000000001</v>
      </c>
      <c r="J365" s="3">
        <v>28239.694074074079</v>
      </c>
      <c r="K365" s="3">
        <v>23681.910000000003</v>
      </c>
      <c r="L365" s="3">
        <v>3278.8129629629634</v>
      </c>
      <c r="M365" s="3">
        <v>7566.2640740740762</v>
      </c>
      <c r="N365" s="3">
        <v>13387.45322580645</v>
      </c>
      <c r="O365" s="3">
        <v>9566.0370370370365</v>
      </c>
      <c r="P365" s="3">
        <v>6007.7540740740733</v>
      </c>
      <c r="Q365" s="3">
        <v>23836.321481481478</v>
      </c>
      <c r="R365" s="3">
        <v>419.4329629629629</v>
      </c>
    </row>
    <row r="366" spans="1:18">
      <c r="A366" s="2">
        <v>43862</v>
      </c>
      <c r="B366" s="3">
        <v>1637.8776000000005</v>
      </c>
      <c r="C366" s="3">
        <v>39184.086400000007</v>
      </c>
      <c r="D366" s="3">
        <v>113379.7608</v>
      </c>
      <c r="E366" s="3">
        <v>4553.5864000000001</v>
      </c>
      <c r="F366" s="3">
        <v>458.00896551724151</v>
      </c>
      <c r="G366" s="3">
        <v>44276.496400000018</v>
      </c>
      <c r="H366" s="3">
        <v>3070.2755999999995</v>
      </c>
      <c r="I366" s="3">
        <v>2933.4382959999994</v>
      </c>
      <c r="J366" s="3">
        <v>27177.952799999999</v>
      </c>
      <c r="K366" s="3">
        <v>23265.279200000001</v>
      </c>
      <c r="L366" s="3">
        <v>3285.8316000000004</v>
      </c>
      <c r="M366" s="3">
        <v>7324.83</v>
      </c>
      <c r="N366" s="3">
        <v>13315.172413793101</v>
      </c>
      <c r="O366" s="3">
        <v>9675.6840000000011</v>
      </c>
      <c r="P366" s="3">
        <v>5928.3067999999994</v>
      </c>
      <c r="Q366" s="3">
        <v>24212.7356</v>
      </c>
      <c r="R366" s="3">
        <v>419.78240000000005</v>
      </c>
    </row>
    <row r="367" spans="1:18">
      <c r="A367" s="2">
        <v>43891</v>
      </c>
      <c r="B367" s="3">
        <v>1202.017037037037</v>
      </c>
      <c r="C367" s="3">
        <v>28596.268518518515</v>
      </c>
      <c r="D367" s="3">
        <v>82178.073333333334</v>
      </c>
      <c r="E367" s="3">
        <v>3599.6896296296295</v>
      </c>
      <c r="F367" s="3">
        <v>444.14903225806478</v>
      </c>
      <c r="G367" s="3">
        <v>37539.34407407407</v>
      </c>
      <c r="H367" s="3">
        <v>2480.9629629629635</v>
      </c>
      <c r="I367" s="3">
        <v>2854.2758037037033</v>
      </c>
      <c r="J367" s="3">
        <v>24183.476666666662</v>
      </c>
      <c r="K367" s="3">
        <v>18898.997407407405</v>
      </c>
      <c r="L367" s="3">
        <v>2660.617037037036</v>
      </c>
      <c r="M367" s="3">
        <v>5756.7392592592578</v>
      </c>
      <c r="N367" s="3">
        <v>10042.414193548389</v>
      </c>
      <c r="O367" s="3">
        <v>7220.8999999999987</v>
      </c>
      <c r="P367" s="3">
        <v>4502.5270370370372</v>
      </c>
      <c r="Q367" s="3">
        <v>17726.007037037034</v>
      </c>
      <c r="R367" s="3">
        <v>323.70888888888885</v>
      </c>
    </row>
    <row r="368" spans="1:18">
      <c r="A368" s="2">
        <v>43922</v>
      </c>
      <c r="B368" s="3">
        <v>1157.3080769230769</v>
      </c>
      <c r="C368" s="3">
        <v>29261.782307692301</v>
      </c>
      <c r="D368" s="3">
        <v>77306.521923076929</v>
      </c>
      <c r="E368" s="3">
        <v>3768.6076923076926</v>
      </c>
      <c r="F368" s="3">
        <v>414.57333333333332</v>
      </c>
      <c r="G368" s="3">
        <v>34508.464999999997</v>
      </c>
      <c r="H368" s="3">
        <v>2588.5111538461542</v>
      </c>
      <c r="I368" s="3">
        <v>2810.3075538461544</v>
      </c>
      <c r="J368" s="3">
        <v>24044.598076923077</v>
      </c>
      <c r="K368" s="3">
        <v>19216.330769230772</v>
      </c>
      <c r="L368" s="3">
        <v>2760.8103846153845</v>
      </c>
      <c r="M368" s="3">
        <v>5733.4469230769237</v>
      </c>
      <c r="N368" s="3">
        <v>10357.479333333335</v>
      </c>
      <c r="O368" s="3">
        <v>6829.4999999999991</v>
      </c>
      <c r="P368" s="3">
        <v>4425.8180769230776</v>
      </c>
      <c r="Q368" s="3">
        <v>17132.573461538464</v>
      </c>
      <c r="R368" s="3">
        <v>328.34730769230777</v>
      </c>
    </row>
    <row r="369" spans="1:18">
      <c r="A369" s="2">
        <v>43952</v>
      </c>
      <c r="B369" s="3">
        <v>1085.458076923077</v>
      </c>
      <c r="C369" s="3">
        <v>37970.971923076919</v>
      </c>
      <c r="D369" s="3">
        <v>81437.040000000008</v>
      </c>
      <c r="E369" s="3">
        <v>3770.2838461538477</v>
      </c>
      <c r="F369" s="3">
        <v>385.66806451612905</v>
      </c>
      <c r="G369" s="3">
        <v>36451.278461538466</v>
      </c>
      <c r="H369" s="3">
        <v>2677.3842307692303</v>
      </c>
      <c r="I369" s="3">
        <v>2864.5299653846164</v>
      </c>
      <c r="J369" s="3">
        <v>23821.458846153844</v>
      </c>
      <c r="K369" s="3">
        <v>20413.027307692308</v>
      </c>
      <c r="L369" s="3">
        <v>2921.9892307692303</v>
      </c>
      <c r="M369" s="3">
        <v>5948.7584615384612</v>
      </c>
      <c r="N369" s="3">
        <v>10984.531612903225</v>
      </c>
      <c r="O369" s="3">
        <v>6784.6730769230771</v>
      </c>
      <c r="P369" s="3">
        <v>4498.5034615384611</v>
      </c>
      <c r="Q369" s="3">
        <v>17433.274230769232</v>
      </c>
      <c r="R369" s="3">
        <v>339.81192307692311</v>
      </c>
    </row>
    <row r="370" spans="1:18">
      <c r="A370" s="2">
        <v>43983</v>
      </c>
      <c r="B370" s="3">
        <v>1149.4076923076923</v>
      </c>
      <c r="C370" s="3">
        <v>42376.313461538455</v>
      </c>
      <c r="D370" s="3">
        <v>94460.777307692319</v>
      </c>
      <c r="E370" s="3">
        <v>3975.7769230769218</v>
      </c>
      <c r="F370" s="3">
        <v>378.3130000000001</v>
      </c>
      <c r="G370" s="3">
        <v>38002.948076923079</v>
      </c>
      <c r="H370" s="3">
        <v>2766.541923076923</v>
      </c>
      <c r="I370" s="3">
        <v>2945.0609153846153</v>
      </c>
      <c r="J370" s="3">
        <v>24503.588076923079</v>
      </c>
      <c r="K370" s="3">
        <v>22495.101538461542</v>
      </c>
      <c r="L370" s="3">
        <v>3101.7142307692307</v>
      </c>
      <c r="M370" s="3">
        <v>6247.0461538461532</v>
      </c>
      <c r="N370" s="3">
        <v>12286.922666666669</v>
      </c>
      <c r="O370" s="3">
        <v>7435.0653846153837</v>
      </c>
      <c r="P370" s="3">
        <v>4961.8734615384619</v>
      </c>
      <c r="Q370" s="3">
        <v>19436.236923076922</v>
      </c>
      <c r="R370" s="3">
        <v>362.82423076923078</v>
      </c>
    </row>
    <row r="371" spans="1:18">
      <c r="A371" s="2">
        <v>44013</v>
      </c>
      <c r="B371" s="3">
        <v>1151.091851851852</v>
      </c>
      <c r="C371" s="3">
        <v>45070.05740740741</v>
      </c>
      <c r="D371" s="3">
        <v>101152.29407407409</v>
      </c>
      <c r="E371" s="3">
        <v>4061.1022222222232</v>
      </c>
      <c r="F371" s="3">
        <v>369.8970967741937</v>
      </c>
      <c r="G371" s="3">
        <v>37141.851481481484</v>
      </c>
      <c r="H371" s="3">
        <v>2818.4537037037044</v>
      </c>
      <c r="I371" s="3">
        <v>3281.1132740740745</v>
      </c>
      <c r="J371" s="3">
        <v>25269.539629629628</v>
      </c>
      <c r="K371" s="3">
        <v>22543.240740740734</v>
      </c>
      <c r="L371" s="3">
        <v>3201.9644444444448</v>
      </c>
      <c r="M371" s="3">
        <v>6167.2600000000011</v>
      </c>
      <c r="N371" s="3">
        <v>12738.100322580645</v>
      </c>
      <c r="O371" s="3">
        <v>7340.6740740740743</v>
      </c>
      <c r="P371" s="3">
        <v>5000.0318518518516</v>
      </c>
      <c r="Q371" s="3">
        <v>19988.435925925936</v>
      </c>
      <c r="R371" s="3">
        <v>368.3192592592593</v>
      </c>
    </row>
    <row r="372" spans="1:18">
      <c r="A372" s="2">
        <v>44044</v>
      </c>
      <c r="B372" s="3">
        <v>1170.1346153846157</v>
      </c>
      <c r="C372" s="3">
        <v>48755.707307692319</v>
      </c>
      <c r="D372" s="3">
        <v>101795.66307692308</v>
      </c>
      <c r="E372" s="3">
        <v>3960.9246153846157</v>
      </c>
      <c r="F372" s="3">
        <v>368.4267741935484</v>
      </c>
      <c r="G372" s="3">
        <v>38173.526923076919</v>
      </c>
      <c r="H372" s="3">
        <v>3004.8615384615377</v>
      </c>
      <c r="I372" s="3">
        <v>3371.8127500000001</v>
      </c>
      <c r="J372" s="3">
        <v>25074.996153846165</v>
      </c>
      <c r="K372" s="3">
        <v>22826.581153846153</v>
      </c>
      <c r="L372" s="3">
        <v>3389.4742307692295</v>
      </c>
      <c r="M372" s="3">
        <v>6054.791538461538</v>
      </c>
      <c r="N372" s="3">
        <v>12835.668387096774</v>
      </c>
      <c r="O372" s="3">
        <v>7069.1230769230788</v>
      </c>
      <c r="P372" s="3">
        <v>4951.9419230769236</v>
      </c>
      <c r="Q372" s="3">
        <v>19823.014999999999</v>
      </c>
      <c r="R372" s="3">
        <v>367.21</v>
      </c>
    </row>
    <row r="373" spans="1:18">
      <c r="A373" s="2">
        <v>44075</v>
      </c>
      <c r="B373" s="3">
        <v>1207.6215384615384</v>
      </c>
      <c r="C373" s="3">
        <v>43498.188076923085</v>
      </c>
      <c r="D373" s="3">
        <v>98701.315769230772</v>
      </c>
      <c r="E373" s="3">
        <v>3702.8257692307689</v>
      </c>
      <c r="F373" s="3">
        <v>369.33433333333318</v>
      </c>
      <c r="G373" s="3">
        <v>36480.870769230765</v>
      </c>
      <c r="H373" s="3">
        <v>2922.9142307692305</v>
      </c>
      <c r="I373" s="3">
        <v>3289.5465730769229</v>
      </c>
      <c r="J373" s="3">
        <v>24248.440384615391</v>
      </c>
      <c r="K373" s="3">
        <v>23309.09076923077</v>
      </c>
      <c r="L373" s="3">
        <v>3364.9488461538467</v>
      </c>
      <c r="M373" s="3">
        <v>5931.0388461538469</v>
      </c>
      <c r="N373" s="3">
        <v>12946.720666666666</v>
      </c>
      <c r="O373" s="3">
        <v>6886.2269230769225</v>
      </c>
      <c r="P373" s="3">
        <v>4935.7646153846144</v>
      </c>
      <c r="Q373" s="3">
        <v>19415.450769230767</v>
      </c>
      <c r="R373" s="3">
        <v>364.59038461538461</v>
      </c>
    </row>
    <row r="374" spans="1:18">
      <c r="A374" s="2">
        <v>44105</v>
      </c>
      <c r="B374" s="3">
        <v>1169.5707692307692</v>
      </c>
      <c r="C374" s="3">
        <v>46999.126538461533</v>
      </c>
      <c r="D374" s="3">
        <v>97897.405384615384</v>
      </c>
      <c r="E374" s="3">
        <v>3671.8311538461535</v>
      </c>
      <c r="F374" s="3">
        <v>368.89451612903218</v>
      </c>
      <c r="G374" s="3">
        <v>37799.117307692301</v>
      </c>
      <c r="H374" s="3">
        <v>2812.9392307692301</v>
      </c>
      <c r="I374" s="3">
        <v>3278.4858461538465</v>
      </c>
      <c r="J374" s="3">
        <v>24357.589230769234</v>
      </c>
      <c r="K374" s="3">
        <v>23442.636538461542</v>
      </c>
      <c r="L374" s="3">
        <v>3422.5461538461536</v>
      </c>
      <c r="M374" s="3">
        <v>5862.7453846153821</v>
      </c>
      <c r="N374" s="3">
        <v>12626.28129032258</v>
      </c>
      <c r="O374" s="3">
        <v>6809.4807692307677</v>
      </c>
      <c r="P374" s="3">
        <v>4853.2580769230763</v>
      </c>
      <c r="Q374" s="3">
        <v>19143.347307692307</v>
      </c>
      <c r="R374" s="3">
        <v>362.26153846153852</v>
      </c>
    </row>
    <row r="375" spans="1:18">
      <c r="A375" s="2">
        <v>44136</v>
      </c>
      <c r="B375" s="3">
        <v>1214.2637037037041</v>
      </c>
      <c r="C375" s="3">
        <v>50862.220370370364</v>
      </c>
      <c r="D375" s="3">
        <v>104464.49999999999</v>
      </c>
      <c r="E375" s="3">
        <v>3944.3229629629632</v>
      </c>
      <c r="F375" s="3">
        <v>363.65533333333337</v>
      </c>
      <c r="G375" s="3">
        <v>40497.090000000004</v>
      </c>
      <c r="H375" s="3">
        <v>2997.2840740740735</v>
      </c>
      <c r="I375" s="3">
        <v>3340.6720888888881</v>
      </c>
      <c r="J375" s="3">
        <v>26073.899999999998</v>
      </c>
      <c r="K375" s="3">
        <v>25236.35259259259</v>
      </c>
      <c r="L375" s="3">
        <v>3546.4848148148149</v>
      </c>
      <c r="M375" s="3">
        <v>6204.1603703703686</v>
      </c>
      <c r="N375" s="3">
        <v>12926.344666666664</v>
      </c>
      <c r="O375" s="3">
        <v>7626.5888888888912</v>
      </c>
      <c r="P375" s="3">
        <v>5313.2988888888876</v>
      </c>
      <c r="Q375" s="3">
        <v>20901.79111111111</v>
      </c>
      <c r="R375" s="3">
        <v>380.77111111111105</v>
      </c>
    </row>
    <row r="376" spans="1:18">
      <c r="A376" s="2">
        <v>44166</v>
      </c>
      <c r="B376" s="3">
        <v>1389.76</v>
      </c>
      <c r="C376" s="3">
        <v>52821.382962962969</v>
      </c>
      <c r="D376" s="3">
        <v>116005.83629629633</v>
      </c>
      <c r="E376" s="3">
        <v>4148.6907407407407</v>
      </c>
      <c r="F376" s="3">
        <v>363.33516129032245</v>
      </c>
      <c r="G376" s="3">
        <v>43611.41777777778</v>
      </c>
      <c r="H376" s="3">
        <v>3236.5396296296299</v>
      </c>
      <c r="I376" s="3">
        <v>3399.139792592593</v>
      </c>
      <c r="J376" s="3">
        <v>26524.441851851854</v>
      </c>
      <c r="K376" s="3">
        <v>26787.886296296303</v>
      </c>
      <c r="L376" s="3">
        <v>3695.3677777777771</v>
      </c>
      <c r="M376" s="3">
        <v>6519.5833333333312</v>
      </c>
      <c r="N376" s="3">
        <v>13441.104516129029</v>
      </c>
      <c r="O376" s="3">
        <v>8133.5777777777776</v>
      </c>
      <c r="P376" s="3">
        <v>5545.1374074074074</v>
      </c>
      <c r="Q376" s="3">
        <v>22011.925185185184</v>
      </c>
      <c r="R376" s="3">
        <v>394.4018518518518</v>
      </c>
    </row>
    <row r="377" spans="1:18">
      <c r="A377" s="2">
        <v>44197</v>
      </c>
      <c r="B377" s="3">
        <v>1429.4596296296297</v>
      </c>
      <c r="C377" s="3">
        <v>50283.287407407392</v>
      </c>
      <c r="D377" s="3">
        <v>119813.97703703707</v>
      </c>
      <c r="E377" s="3">
        <v>4484.4444444444453</v>
      </c>
      <c r="F377" s="3">
        <v>360.53064516129024</v>
      </c>
      <c r="G377" s="3">
        <v>45213.518888888895</v>
      </c>
      <c r="H377" s="3">
        <v>3400.2214814814806</v>
      </c>
      <c r="I377" s="3">
        <v>3558.0511444444442</v>
      </c>
      <c r="J377" s="3">
        <v>28536.228518518517</v>
      </c>
      <c r="K377" s="3">
        <v>28151.548518518524</v>
      </c>
      <c r="L377" s="3">
        <v>3788.0925925925935</v>
      </c>
      <c r="M377" s="3">
        <v>6679.2059259259267</v>
      </c>
      <c r="N377" s="3">
        <v>13803.539354838709</v>
      </c>
      <c r="O377" s="3">
        <v>8149.3888888888878</v>
      </c>
      <c r="P377" s="3">
        <v>5584.5022222222215</v>
      </c>
      <c r="Q377" s="3">
        <v>22318.086296296296</v>
      </c>
      <c r="R377" s="3">
        <v>406.14370370370381</v>
      </c>
    </row>
    <row r="378" spans="1:18">
      <c r="A378" s="2">
        <v>44228</v>
      </c>
      <c r="B378" s="3">
        <v>1362.6316000000004</v>
      </c>
      <c r="C378" s="3">
        <v>50614.966799999987</v>
      </c>
      <c r="D378" s="3">
        <v>117622.85799999996</v>
      </c>
      <c r="E378" s="3">
        <v>4535.7180000000008</v>
      </c>
      <c r="F378" s="3">
        <v>357.50357142857155</v>
      </c>
      <c r="G378" s="3">
        <v>44465.645999999986</v>
      </c>
      <c r="H378" s="3">
        <v>3408.5615999999995</v>
      </c>
      <c r="I378" s="3">
        <v>3599.2921200000019</v>
      </c>
      <c r="J378" s="3">
        <v>29909.395999999997</v>
      </c>
      <c r="K378" s="3">
        <v>29491.138800000004</v>
      </c>
      <c r="L378" s="3">
        <v>3886.6507999999994</v>
      </c>
      <c r="M378" s="3">
        <v>6579.282799999999</v>
      </c>
      <c r="N378" s="3">
        <v>13956.983571428569</v>
      </c>
      <c r="O378" s="3">
        <v>8129.6560000000009</v>
      </c>
      <c r="P378" s="3">
        <v>5702.5448000000006</v>
      </c>
      <c r="Q378" s="3">
        <v>23038.762399999996</v>
      </c>
      <c r="R378" s="3">
        <v>411.36039999999991</v>
      </c>
    </row>
    <row r="379" spans="1:18">
      <c r="A379" s="2">
        <v>44256</v>
      </c>
      <c r="B379" s="3">
        <v>1336.0162962962963</v>
      </c>
      <c r="C379" s="3">
        <v>48125.645555555551</v>
      </c>
      <c r="D379" s="3">
        <v>114051.55962962963</v>
      </c>
      <c r="E379" s="3">
        <v>4829.3862962962949</v>
      </c>
      <c r="F379" s="3">
        <v>362.26935483870977</v>
      </c>
      <c r="G379" s="3">
        <v>47074.617037037046</v>
      </c>
      <c r="H379" s="3">
        <v>3480.592222222223</v>
      </c>
      <c r="I379" s="3">
        <v>3443.2056555555559</v>
      </c>
      <c r="J379" s="3">
        <v>28829.611111111117</v>
      </c>
      <c r="K379" s="3">
        <v>29326.025925925929</v>
      </c>
      <c r="L379" s="3">
        <v>3911.6522222222216</v>
      </c>
      <c r="M379" s="3">
        <v>6713.1048148148157</v>
      </c>
      <c r="N379" s="3">
        <v>14492.687741935488</v>
      </c>
      <c r="O379" s="3">
        <v>8484.9074074074088</v>
      </c>
      <c r="P379" s="3">
        <v>5960.7670370370388</v>
      </c>
      <c r="Q379" s="3">
        <v>23960.337407407413</v>
      </c>
      <c r="R379" s="3">
        <v>421.56407407407414</v>
      </c>
    </row>
    <row r="380" spans="1:18">
      <c r="A380" s="2">
        <v>44287</v>
      </c>
      <c r="B380" s="3">
        <v>1307.5457692307693</v>
      </c>
      <c r="C380" s="3">
        <v>48319.26846153845</v>
      </c>
      <c r="D380" s="3">
        <v>119033.47615384613</v>
      </c>
      <c r="E380" s="3">
        <v>4860.9957692307698</v>
      </c>
      <c r="F380" s="3">
        <v>372.79600000000005</v>
      </c>
      <c r="G380" s="3">
        <v>48243.862692307681</v>
      </c>
      <c r="H380" s="3">
        <v>3554.688846153847</v>
      </c>
      <c r="I380" s="3">
        <v>3455.5323999999996</v>
      </c>
      <c r="J380" s="3">
        <v>28889.560769230768</v>
      </c>
      <c r="K380" s="3">
        <v>29436.223846153844</v>
      </c>
      <c r="L380" s="3">
        <v>4134.5723076923077</v>
      </c>
      <c r="M380" s="3">
        <v>6905.6611538461548</v>
      </c>
      <c r="N380" s="3">
        <v>15236.809666666668</v>
      </c>
      <c r="O380" s="3">
        <v>8624.5192307692323</v>
      </c>
      <c r="P380" s="3">
        <v>6208.6476923076943</v>
      </c>
      <c r="Q380" s="3">
        <v>24515.569615384618</v>
      </c>
      <c r="R380" s="3">
        <v>437.20500000000015</v>
      </c>
    </row>
    <row r="381" spans="1:18">
      <c r="A381" s="2">
        <v>44317</v>
      </c>
      <c r="B381" s="3">
        <v>1247.2619999999999</v>
      </c>
      <c r="C381" s="3">
        <v>54050.358799999987</v>
      </c>
      <c r="D381" s="3">
        <v>122227.99160000001</v>
      </c>
      <c r="E381" s="3">
        <v>4353.7852000000003</v>
      </c>
      <c r="F381" s="3">
        <v>375.36225806451614</v>
      </c>
      <c r="G381" s="3">
        <v>49319.240400000002</v>
      </c>
      <c r="H381" s="3">
        <v>3660.3819999999996</v>
      </c>
      <c r="I381" s="3">
        <v>3498.1794840000007</v>
      </c>
      <c r="J381" s="3">
        <v>28570.195200000002</v>
      </c>
      <c r="K381" s="3">
        <v>28615.326800000006</v>
      </c>
      <c r="L381" s="3">
        <v>4173.3936000000012</v>
      </c>
      <c r="M381" s="3">
        <v>7023.5963999999985</v>
      </c>
      <c r="N381" s="3">
        <v>15334.577096774194</v>
      </c>
      <c r="O381" s="3">
        <v>9087.851999999999</v>
      </c>
      <c r="P381" s="3">
        <v>6361.7735999999995</v>
      </c>
      <c r="Q381" s="3">
        <v>24705.410800000001</v>
      </c>
      <c r="R381" s="3">
        <v>442.49079999999992</v>
      </c>
    </row>
    <row r="382" spans="1:18">
      <c r="A382" s="2">
        <v>44348</v>
      </c>
      <c r="B382" s="3">
        <v>1255.814230769231</v>
      </c>
      <c r="C382" s="3">
        <v>65579.891923076924</v>
      </c>
      <c r="D382" s="3">
        <v>128985.37884615385</v>
      </c>
      <c r="E382" s="3">
        <v>4310.2203846153852</v>
      </c>
      <c r="F382" s="3">
        <v>376.02199999999999</v>
      </c>
      <c r="G382" s="3">
        <v>50629.145000000011</v>
      </c>
      <c r="H382" s="3">
        <v>3820.8138461538456</v>
      </c>
      <c r="I382" s="3">
        <v>3576.8048230769223</v>
      </c>
      <c r="J382" s="3">
        <v>28867.153461538463</v>
      </c>
      <c r="K382" s="3">
        <v>28948.905769230772</v>
      </c>
      <c r="L382" s="3">
        <v>4237.3557692307695</v>
      </c>
      <c r="M382" s="3">
        <v>7096.1326923076913</v>
      </c>
      <c r="N382" s="3">
        <v>15616.726333333327</v>
      </c>
      <c r="O382" s="3">
        <v>9101.9538461538486</v>
      </c>
      <c r="P382" s="3">
        <v>6574.78346153846</v>
      </c>
      <c r="Q382" s="3">
        <v>25502.90769230769</v>
      </c>
      <c r="R382" s="3">
        <v>455.02230769230778</v>
      </c>
    </row>
    <row r="383" spans="1:18">
      <c r="A383" s="2">
        <v>44378</v>
      </c>
      <c r="B383" s="3">
        <v>1268.8988888888891</v>
      </c>
      <c r="C383" s="3">
        <v>64110.523333333338</v>
      </c>
      <c r="D383" s="3">
        <v>126065.16925925923</v>
      </c>
      <c r="E383" s="3">
        <v>4226.9051851851855</v>
      </c>
      <c r="F383" s="3">
        <v>383.23903225806464</v>
      </c>
      <c r="G383" s="3">
        <v>50174.094074074084</v>
      </c>
      <c r="H383" s="3">
        <v>3807.3970370370371</v>
      </c>
      <c r="I383" s="3">
        <v>3516.9070666666667</v>
      </c>
      <c r="J383" s="3">
        <v>27422.982592592591</v>
      </c>
      <c r="K383" s="3">
        <v>28093.673333333336</v>
      </c>
      <c r="L383" s="3">
        <v>4363.0922222222216</v>
      </c>
      <c r="M383" s="3">
        <v>7053.7722222222201</v>
      </c>
      <c r="N383" s="3">
        <v>15588.915806451612</v>
      </c>
      <c r="O383" s="3">
        <v>8710.4555555555598</v>
      </c>
      <c r="P383" s="3">
        <v>6520.4896296296311</v>
      </c>
      <c r="Q383" s="3">
        <v>25046.514074074079</v>
      </c>
      <c r="R383" s="3">
        <v>457.27407407407406</v>
      </c>
    </row>
    <row r="384" spans="1:18">
      <c r="A384" s="2">
        <v>44409</v>
      </c>
      <c r="B384" s="3">
        <v>1283.7042857142858</v>
      </c>
      <c r="C384" s="3">
        <v>69152.202857142853</v>
      </c>
      <c r="D384" s="3">
        <v>120431.7567857143</v>
      </c>
      <c r="E384" s="3">
        <v>4351.5410714285726</v>
      </c>
      <c r="F384" s="3">
        <v>386.68645161290323</v>
      </c>
      <c r="G384" s="3">
        <v>51643.663571428544</v>
      </c>
      <c r="H384" s="3">
        <v>3861.4528571428577</v>
      </c>
      <c r="I384" s="3">
        <v>3490.2293178571445</v>
      </c>
      <c r="J384" s="3">
        <v>25879.692500000001</v>
      </c>
      <c r="K384" s="3">
        <v>27669.41642857144</v>
      </c>
      <c r="L384" s="3">
        <v>4455.4546428571421</v>
      </c>
      <c r="M384" s="3">
        <v>7136.2417857142873</v>
      </c>
      <c r="N384" s="3">
        <v>15815.985161290319</v>
      </c>
      <c r="O384" s="3">
        <v>8895.6250000000018</v>
      </c>
      <c r="P384" s="3">
        <v>6740.3475000000008</v>
      </c>
      <c r="Q384" s="3">
        <v>26026.179285714294</v>
      </c>
      <c r="R384" s="3">
        <v>470.9439285714285</v>
      </c>
    </row>
    <row r="385" spans="1:18">
      <c r="A385" s="2">
        <v>44440</v>
      </c>
      <c r="B385" s="3">
        <v>1323.8403846153847</v>
      </c>
      <c r="C385" s="3">
        <v>76398.61461538462</v>
      </c>
      <c r="D385" s="3">
        <v>114043.84807692307</v>
      </c>
      <c r="E385" s="3">
        <v>4406.9523076923078</v>
      </c>
      <c r="F385" s="3">
        <v>383.15866666666653</v>
      </c>
      <c r="G385" s="3">
        <v>51531.581153846157</v>
      </c>
      <c r="H385" s="3">
        <v>4027.1507692307687</v>
      </c>
      <c r="I385" s="3">
        <v>3626.3117000000002</v>
      </c>
      <c r="J385" s="3">
        <v>25197.42923076923</v>
      </c>
      <c r="K385" s="3">
        <v>29933.447307692317</v>
      </c>
      <c r="L385" s="3">
        <v>4452.8584615384616</v>
      </c>
      <c r="M385" s="3">
        <v>7062.0969230769251</v>
      </c>
      <c r="N385" s="3">
        <v>15589.472333333333</v>
      </c>
      <c r="O385" s="3">
        <v>8818.6730769230762</v>
      </c>
      <c r="P385" s="3">
        <v>6638.1392307692295</v>
      </c>
      <c r="Q385" s="3">
        <v>25861.669615384617</v>
      </c>
      <c r="R385" s="3">
        <v>465.05115384615391</v>
      </c>
    </row>
    <row r="386" spans="1:18">
      <c r="A386" s="2">
        <v>44470</v>
      </c>
      <c r="B386" s="3">
        <v>1400.7481481481479</v>
      </c>
      <c r="C386" s="3">
        <v>82136.159629629634</v>
      </c>
      <c r="D386" s="3">
        <v>110017.56407407405</v>
      </c>
      <c r="E386" s="3">
        <v>4113.2288888888897</v>
      </c>
      <c r="F386" s="3">
        <v>378.83548387096772</v>
      </c>
      <c r="G386" s="3">
        <v>51699.877407407432</v>
      </c>
      <c r="H386" s="3">
        <v>4214.3814814814823</v>
      </c>
      <c r="I386" s="3">
        <v>3572.9827185185186</v>
      </c>
      <c r="J386" s="3">
        <v>25272.261111111118</v>
      </c>
      <c r="K386" s="3">
        <v>28618.562222222215</v>
      </c>
      <c r="L386" s="3">
        <v>4466.288148148149</v>
      </c>
      <c r="M386" s="3">
        <v>7164.0244444444443</v>
      </c>
      <c r="N386" s="3">
        <v>15412.986774193547</v>
      </c>
      <c r="O386" s="3">
        <v>8935.2185185185153</v>
      </c>
      <c r="P386" s="3">
        <v>6658.9811111111121</v>
      </c>
      <c r="Q386" s="3">
        <v>26301.537037037029</v>
      </c>
      <c r="R386" s="3">
        <v>465.04148148148136</v>
      </c>
    </row>
    <row r="387" spans="1:18">
      <c r="A387" s="2">
        <v>44501</v>
      </c>
      <c r="B387" s="3">
        <v>1353.5580769230767</v>
      </c>
      <c r="C387" s="3">
        <v>88672.168076923059</v>
      </c>
      <c r="D387" s="3">
        <v>104376.49769230768</v>
      </c>
      <c r="E387" s="3">
        <v>4440.7473076923088</v>
      </c>
      <c r="F387" s="3">
        <v>382.63233333333335</v>
      </c>
      <c r="G387" s="3">
        <v>51127.499615384615</v>
      </c>
      <c r="H387" s="3">
        <v>4069.752307692308</v>
      </c>
      <c r="I387" s="3">
        <v>3538.6327769230757</v>
      </c>
      <c r="J387" s="3">
        <v>24900.518076923076</v>
      </c>
      <c r="K387" s="3">
        <v>29401.008076923081</v>
      </c>
      <c r="L387" s="3">
        <v>4668.8284615384628</v>
      </c>
      <c r="M387" s="3">
        <v>7259.3911538461552</v>
      </c>
      <c r="N387" s="3">
        <v>15926.134333333328</v>
      </c>
      <c r="O387" s="3">
        <v>8905.1884615384643</v>
      </c>
      <c r="P387" s="3">
        <v>7010.3011538461542</v>
      </c>
      <c r="Q387" s="3">
        <v>27254.836923076924</v>
      </c>
      <c r="R387" s="3">
        <v>481.17346153846142</v>
      </c>
    </row>
    <row r="388" spans="1:18">
      <c r="A388" s="2">
        <v>44531</v>
      </c>
      <c r="B388" s="3">
        <v>1401.4940740740742</v>
      </c>
      <c r="C388" s="3">
        <v>84691.662962962946</v>
      </c>
      <c r="D388" s="3">
        <v>105874.4474074074</v>
      </c>
      <c r="E388" s="3">
        <v>4306.7929629629625</v>
      </c>
      <c r="F388" s="3">
        <v>384.60225806451615</v>
      </c>
      <c r="G388" s="3">
        <v>51759.475185185176</v>
      </c>
      <c r="H388" s="3">
        <v>3764.1729629629635</v>
      </c>
      <c r="I388" s="3">
        <v>3627.6335629629621</v>
      </c>
      <c r="J388" s="3">
        <v>23481.100370370379</v>
      </c>
      <c r="K388" s="3">
        <v>28514.827407407403</v>
      </c>
      <c r="L388" s="3">
        <v>4672.8766666666661</v>
      </c>
      <c r="M388" s="3">
        <v>7284.627407407409</v>
      </c>
      <c r="N388" s="3">
        <v>15585.373225806448</v>
      </c>
      <c r="O388" s="3">
        <v>8444.6740740740752</v>
      </c>
      <c r="P388" s="3">
        <v>6990.5748148148141</v>
      </c>
      <c r="Q388" s="3">
        <v>26744.607407407399</v>
      </c>
      <c r="R388" s="3">
        <v>476.3192592592593</v>
      </c>
    </row>
    <row r="389" spans="1:18">
      <c r="A389" s="2">
        <v>44562</v>
      </c>
      <c r="B389" s="3">
        <v>1476.7061538461535</v>
      </c>
      <c r="C389" s="3">
        <v>85011.794230769228</v>
      </c>
      <c r="D389" s="3">
        <v>106811.69192307691</v>
      </c>
      <c r="E389" s="3">
        <v>4455.5496153846161</v>
      </c>
      <c r="F389" s="3">
        <v>369.06096774193537</v>
      </c>
      <c r="G389" s="3">
        <v>52495.055769230778</v>
      </c>
      <c r="H389" s="3">
        <v>3591.6961538461546</v>
      </c>
      <c r="I389" s="3">
        <v>3529.60545</v>
      </c>
      <c r="J389" s="3">
        <v>23971.338846153838</v>
      </c>
      <c r="K389" s="3">
        <v>27964.623076923071</v>
      </c>
      <c r="L389" s="3">
        <v>4579.8080769230774</v>
      </c>
      <c r="M389" s="3">
        <v>7491.4246153846143</v>
      </c>
      <c r="N389" s="3">
        <v>15751.562903225808</v>
      </c>
      <c r="O389" s="3">
        <v>8718.2076923076929</v>
      </c>
      <c r="P389" s="3">
        <v>7122.2457692307689</v>
      </c>
      <c r="Q389" s="3">
        <v>27281.037692307702</v>
      </c>
      <c r="R389" s="3">
        <v>479.01961538461535</v>
      </c>
    </row>
    <row r="390" spans="1:18">
      <c r="A390" s="2">
        <v>44593</v>
      </c>
      <c r="B390" s="3">
        <v>1507.6829166666666</v>
      </c>
      <c r="C390" s="3">
        <v>88893.665833333333</v>
      </c>
      <c r="D390" s="3">
        <v>112889.67125</v>
      </c>
      <c r="E390" s="3">
        <v>4535.6612500000001</v>
      </c>
      <c r="F390" s="3">
        <v>390.21250000000003</v>
      </c>
      <c r="G390" s="3">
        <v>52304.132916666676</v>
      </c>
      <c r="H390" s="3">
        <v>3275.717916666666</v>
      </c>
      <c r="I390" s="3">
        <v>3441.8119916666656</v>
      </c>
      <c r="J390" s="3">
        <v>24108.696666666674</v>
      </c>
      <c r="K390" s="3">
        <v>27086.574583333331</v>
      </c>
      <c r="L390" s="3">
        <v>4428.5495833333316</v>
      </c>
      <c r="M390" s="3">
        <v>7537.0412499999984</v>
      </c>
      <c r="N390" s="3">
        <v>15077.127499999997</v>
      </c>
      <c r="O390" s="3">
        <v>8617.6208333333361</v>
      </c>
      <c r="P390" s="3">
        <v>6919.2091666666665</v>
      </c>
      <c r="Q390" s="3">
        <v>26492.844583333335</v>
      </c>
      <c r="R390" s="3">
        <v>462.73416666666685</v>
      </c>
    </row>
    <row r="391" spans="1:18">
      <c r="A391" s="2">
        <v>44621</v>
      </c>
      <c r="B391" s="3">
        <v>1556.3178571428568</v>
      </c>
      <c r="C391" s="3">
        <v>89427.331785714283</v>
      </c>
      <c r="D391" s="3">
        <v>115053.45999999996</v>
      </c>
      <c r="E391" s="3">
        <v>4744.5485714285705</v>
      </c>
      <c r="F391" s="3">
        <v>392.29903225806459</v>
      </c>
      <c r="G391" s="3">
        <v>54328.12857142857</v>
      </c>
      <c r="H391" s="3">
        <v>2481.5207142857148</v>
      </c>
      <c r="I391" s="3">
        <v>3293.1217071428573</v>
      </c>
      <c r="J391" s="3">
        <v>21355.716071428578</v>
      </c>
      <c r="K391" s="3">
        <v>26563.861785714285</v>
      </c>
      <c r="L391" s="3">
        <v>4388.1189285714281</v>
      </c>
      <c r="M391" s="3">
        <v>7294.9642857142871</v>
      </c>
      <c r="N391" s="3">
        <v>13973.398064516128</v>
      </c>
      <c r="O391" s="3">
        <v>8209.7500000000036</v>
      </c>
      <c r="P391" s="3">
        <v>6426.9367857142852</v>
      </c>
      <c r="Q391" s="3">
        <v>23870.566428571423</v>
      </c>
      <c r="R391" s="3">
        <v>442.39321428571429</v>
      </c>
    </row>
    <row r="392" spans="1:18">
      <c r="A392" s="2">
        <v>44652</v>
      </c>
      <c r="B392" s="3">
        <v>1612.4915999999998</v>
      </c>
      <c r="C392" s="3">
        <v>91272.20120000001</v>
      </c>
      <c r="D392" s="3">
        <v>115323.78600000002</v>
      </c>
      <c r="E392" s="3">
        <v>4898.5688</v>
      </c>
      <c r="F392" s="3">
        <v>395.65033333333355</v>
      </c>
      <c r="G392" s="3">
        <v>54163.606799999994</v>
      </c>
      <c r="H392" s="3">
        <v>2470.6967999999997</v>
      </c>
      <c r="I392" s="3">
        <v>3158.4045640000004</v>
      </c>
      <c r="J392" s="3">
        <v>21269.560799999999</v>
      </c>
      <c r="K392" s="3">
        <v>27062.592000000001</v>
      </c>
      <c r="L392" s="3">
        <v>4396.6807999999992</v>
      </c>
      <c r="M392" s="3">
        <v>7564.65</v>
      </c>
      <c r="N392" s="3">
        <v>14189.017000000005</v>
      </c>
      <c r="O392" s="3">
        <v>8602.4520000000011</v>
      </c>
      <c r="P392" s="3">
        <v>6567.3588000000027</v>
      </c>
      <c r="Q392" s="3">
        <v>24601.407599999991</v>
      </c>
      <c r="R392" s="3">
        <v>455.93559999999991</v>
      </c>
    </row>
    <row r="393" spans="1:18">
      <c r="A393" s="2">
        <v>44682</v>
      </c>
      <c r="B393" s="3">
        <v>1521.9429629629626</v>
      </c>
      <c r="C393" s="3">
        <v>89074.92370370368</v>
      </c>
      <c r="D393" s="3">
        <v>107857.9859259259</v>
      </c>
      <c r="E393" s="3">
        <v>4974.8325925925928</v>
      </c>
      <c r="F393" s="3">
        <v>395.70741935483858</v>
      </c>
      <c r="G393" s="3">
        <v>50869.19000000001</v>
      </c>
      <c r="H393" s="3">
        <v>2382.3237037037038</v>
      </c>
      <c r="I393" s="3">
        <v>3084.0453592592598</v>
      </c>
      <c r="J393" s="3">
        <v>20412.639259259257</v>
      </c>
      <c r="K393" s="3">
        <v>26691.741851851861</v>
      </c>
      <c r="L393" s="3">
        <v>4049.7985185185184</v>
      </c>
      <c r="M393" s="3">
        <v>7454.376666666667</v>
      </c>
      <c r="N393" s="3">
        <v>14006.822258064512</v>
      </c>
      <c r="O393" s="3">
        <v>8514.5740740740748</v>
      </c>
      <c r="P393" s="3">
        <v>6351.0562962962968</v>
      </c>
      <c r="Q393" s="3">
        <v>24012.059629629628</v>
      </c>
      <c r="R393" s="3">
        <v>435.23222222222222</v>
      </c>
    </row>
    <row r="394" spans="1:18">
      <c r="A394" s="2">
        <v>44713</v>
      </c>
      <c r="B394" s="3">
        <v>1474.2292307692305</v>
      </c>
      <c r="C394" s="3">
        <v>87995.600384615362</v>
      </c>
      <c r="D394" s="3">
        <v>103714.03230769231</v>
      </c>
      <c r="E394" s="3">
        <v>5139.1053846153845</v>
      </c>
      <c r="F394" s="3">
        <v>394.45466666666653</v>
      </c>
      <c r="G394" s="3">
        <v>48697.704230769232</v>
      </c>
      <c r="H394" s="3">
        <v>2338.2280769230774</v>
      </c>
      <c r="I394" s="3">
        <v>3290.2086346153851</v>
      </c>
      <c r="J394" s="3">
        <v>21485.042692307696</v>
      </c>
      <c r="K394" s="3">
        <v>26966.363846153843</v>
      </c>
      <c r="L394" s="3">
        <v>3890.3346153846151</v>
      </c>
      <c r="M394" s="3">
        <v>7294.3015384615392</v>
      </c>
      <c r="N394" s="3">
        <v>13605.162333333335</v>
      </c>
      <c r="O394" s="3">
        <v>8379.1000000000022</v>
      </c>
      <c r="P394" s="3">
        <v>6142.0584615384614</v>
      </c>
      <c r="Q394" s="3">
        <v>22673.828461538462</v>
      </c>
      <c r="R394" s="3">
        <v>419.66307692307697</v>
      </c>
    </row>
    <row r="395" spans="1:18">
      <c r="A395" s="2">
        <v>44743</v>
      </c>
      <c r="B395" s="3">
        <v>1312.8003846153845</v>
      </c>
      <c r="C395" s="3">
        <v>107211.49499999998</v>
      </c>
      <c r="D395" s="3">
        <v>99198.521923076929</v>
      </c>
      <c r="E395" s="3">
        <v>5130.1111538461537</v>
      </c>
      <c r="F395" s="3">
        <v>391.51548387096773</v>
      </c>
      <c r="G395" s="3">
        <v>47424.784615384619</v>
      </c>
      <c r="H395" s="3">
        <v>2154.4099999999994</v>
      </c>
      <c r="I395" s="3">
        <v>3303.8721884615379</v>
      </c>
      <c r="J395" s="3">
        <v>20979.356538461536</v>
      </c>
      <c r="K395" s="3">
        <v>26980.032307692305</v>
      </c>
      <c r="L395" s="3">
        <v>3913.0657692307691</v>
      </c>
      <c r="M395" s="3">
        <v>7229.4384615384606</v>
      </c>
      <c r="N395" s="3">
        <v>13015.191290322578</v>
      </c>
      <c r="O395" s="3">
        <v>8052.923076923079</v>
      </c>
      <c r="P395" s="3">
        <v>6103.1119230769236</v>
      </c>
      <c r="Q395" s="3">
        <v>21390.268846153846</v>
      </c>
      <c r="R395" s="3">
        <v>418.80692307692311</v>
      </c>
    </row>
    <row r="396" spans="1:18">
      <c r="A396" s="2">
        <v>44774</v>
      </c>
      <c r="B396" s="3">
        <v>1301.7432142857144</v>
      </c>
      <c r="C396" s="3">
        <v>129660.08571428576</v>
      </c>
      <c r="D396" s="3">
        <v>110241.10285714283</v>
      </c>
      <c r="E396" s="3">
        <v>5349.7475000000004</v>
      </c>
      <c r="F396" s="3">
        <v>392.16677419354852</v>
      </c>
      <c r="G396" s="3">
        <v>47578.098928571446</v>
      </c>
      <c r="H396" s="3">
        <v>2193.2153571428576</v>
      </c>
      <c r="I396" s="3">
        <v>3244.1870928571416</v>
      </c>
      <c r="J396" s="3">
        <v>19936.846071428568</v>
      </c>
      <c r="K396" s="3">
        <v>28374.712142857141</v>
      </c>
      <c r="L396" s="3">
        <v>4157.7174999999997</v>
      </c>
      <c r="M396" s="3">
        <v>7466.8853571428563</v>
      </c>
      <c r="N396" s="3">
        <v>13455.201290322579</v>
      </c>
      <c r="O396" s="3">
        <v>8227.3071428571402</v>
      </c>
      <c r="P396" s="3">
        <v>6432.016071428573</v>
      </c>
      <c r="Q396" s="3">
        <v>22464.946428571428</v>
      </c>
      <c r="R396" s="3">
        <v>434.45428571428567</v>
      </c>
    </row>
    <row r="397" spans="1:18">
      <c r="A397" s="2">
        <v>44805</v>
      </c>
      <c r="B397" s="3">
        <v>1195.0911538461537</v>
      </c>
      <c r="C397" s="3">
        <v>142162.07807692306</v>
      </c>
      <c r="D397" s="3">
        <v>110733.25730769234</v>
      </c>
      <c r="E397" s="3">
        <v>5434.3061538461534</v>
      </c>
      <c r="F397" s="3">
        <v>393.8239999999999</v>
      </c>
      <c r="G397" s="3">
        <v>46170.332307692319</v>
      </c>
      <c r="H397" s="3">
        <v>2288.3815384615382</v>
      </c>
      <c r="I397" s="3">
        <v>3158.4605384615379</v>
      </c>
      <c r="J397" s="3">
        <v>18642.493846153848</v>
      </c>
      <c r="K397" s="3">
        <v>27449.548846153841</v>
      </c>
      <c r="L397" s="3">
        <v>3859.3603846153833</v>
      </c>
      <c r="M397" s="3">
        <v>7193.9396153846164</v>
      </c>
      <c r="N397" s="3">
        <v>12718.801666666666</v>
      </c>
      <c r="O397" s="3">
        <v>7820.2500000000018</v>
      </c>
      <c r="P397" s="3">
        <v>6023.9580769230779</v>
      </c>
      <c r="Q397" s="3">
        <v>21664.730384615385</v>
      </c>
      <c r="R397" s="3">
        <v>406.4576923076923</v>
      </c>
    </row>
    <row r="398" spans="1:18">
      <c r="A398" s="2">
        <v>44835</v>
      </c>
      <c r="B398" s="3">
        <v>1197.4838461538461</v>
      </c>
      <c r="C398" s="3">
        <v>142023.12192307692</v>
      </c>
      <c r="D398" s="3">
        <v>115376.08346153845</v>
      </c>
      <c r="E398" s="3">
        <v>5111.2584615384612</v>
      </c>
      <c r="F398" s="3">
        <v>391.14516129032256</v>
      </c>
      <c r="G398" s="3">
        <v>46743.885000000002</v>
      </c>
      <c r="H398" s="3">
        <v>2029.9749999999999</v>
      </c>
      <c r="I398" s="3">
        <v>3011.356611538461</v>
      </c>
      <c r="J398" s="3">
        <v>16443.186923076923</v>
      </c>
      <c r="K398" s="3">
        <v>26958.459230769226</v>
      </c>
      <c r="L398" s="3">
        <v>3719.5857692307691</v>
      </c>
      <c r="M398" s="3">
        <v>6968.1569230769237</v>
      </c>
      <c r="N398" s="3">
        <v>12636.820645161291</v>
      </c>
      <c r="O398" s="3">
        <v>7583.796153846155</v>
      </c>
      <c r="P398" s="3">
        <v>6019.5526923076914</v>
      </c>
      <c r="Q398" s="3">
        <v>21480.186538461534</v>
      </c>
      <c r="R398" s="3">
        <v>397.96538461538472</v>
      </c>
    </row>
    <row r="399" spans="1:18">
      <c r="A399" s="2">
        <v>44866</v>
      </c>
      <c r="B399" s="3">
        <v>1259.1965384615387</v>
      </c>
      <c r="C399" s="3">
        <v>155188.99384615387</v>
      </c>
      <c r="D399" s="3">
        <v>112308.73423076923</v>
      </c>
      <c r="E399" s="3">
        <v>5261.9430769230767</v>
      </c>
      <c r="F399" s="3">
        <v>391.00466666666676</v>
      </c>
      <c r="G399" s="3">
        <v>51327.091923076921</v>
      </c>
      <c r="H399" s="3">
        <v>2195.2696153846146</v>
      </c>
      <c r="I399" s="3">
        <v>3080.9140307692305</v>
      </c>
      <c r="J399" s="3">
        <v>17190.399999999998</v>
      </c>
      <c r="K399" s="3">
        <v>27903.52807692307</v>
      </c>
      <c r="L399" s="3">
        <v>3924.9792307692305</v>
      </c>
      <c r="M399" s="3">
        <v>7369.9896153846148</v>
      </c>
      <c r="N399" s="3">
        <v>14094.389999999998</v>
      </c>
      <c r="O399" s="3">
        <v>8149.2269230769252</v>
      </c>
      <c r="P399" s="3">
        <v>6562.123076923077</v>
      </c>
      <c r="Q399" s="3">
        <v>24148.971923076922</v>
      </c>
      <c r="R399" s="3">
        <v>429.47307692307703</v>
      </c>
    </row>
    <row r="400" spans="1:18">
      <c r="A400" s="2">
        <v>44896</v>
      </c>
      <c r="B400" s="3">
        <v>1238.8557692307693</v>
      </c>
      <c r="C400" s="3">
        <v>176523.07692307697</v>
      </c>
      <c r="D400" s="3">
        <v>107723.2126923077</v>
      </c>
      <c r="E400" s="3">
        <v>5228.8711538461539</v>
      </c>
      <c r="F400" s="3">
        <v>391.90967741935481</v>
      </c>
      <c r="G400" s="3">
        <v>50309.318076923075</v>
      </c>
      <c r="H400" s="3">
        <v>2155.8792307692306</v>
      </c>
      <c r="I400" s="3">
        <v>3136.7760615384614</v>
      </c>
      <c r="J400" s="3">
        <v>19430.678076923072</v>
      </c>
      <c r="K400" s="3">
        <v>27237.096153846152</v>
      </c>
      <c r="L400" s="3">
        <v>3911.8492307692313</v>
      </c>
      <c r="M400" s="3">
        <v>7471.6123076923086</v>
      </c>
      <c r="N400" s="3">
        <v>14157.421935483871</v>
      </c>
      <c r="O400" s="3">
        <v>8274.6115384615387</v>
      </c>
      <c r="P400" s="3">
        <v>6595.6061538461545</v>
      </c>
      <c r="Q400" s="3">
        <v>24104.330384615376</v>
      </c>
      <c r="R400" s="3">
        <v>433.23615384615391</v>
      </c>
    </row>
    <row r="401" spans="1:18">
      <c r="A401" s="2">
        <v>44927</v>
      </c>
      <c r="B401" s="3">
        <v>1316.4070967741936</v>
      </c>
      <c r="C401" s="3">
        <v>235084.52483870965</v>
      </c>
      <c r="D401" s="3">
        <v>110806.26161290322</v>
      </c>
      <c r="E401" s="3">
        <v>5219.2258064516136</v>
      </c>
      <c r="F401" s="3">
        <v>382.36032258064523</v>
      </c>
      <c r="G401" s="3">
        <v>52989.794838709669</v>
      </c>
      <c r="H401" s="3">
        <v>2178.2367741935482</v>
      </c>
      <c r="I401" s="3">
        <v>3206.2295064516138</v>
      </c>
      <c r="J401" s="3">
        <v>21576.807096774199</v>
      </c>
      <c r="K401" s="3">
        <v>26510.826451612909</v>
      </c>
      <c r="L401" s="3">
        <v>3960.190322580645</v>
      </c>
      <c r="M401" s="3">
        <v>7733.7493548387092</v>
      </c>
      <c r="N401" s="3">
        <v>14883.993870967744</v>
      </c>
      <c r="O401" s="3">
        <v>8815.6354838709703</v>
      </c>
      <c r="P401" s="3">
        <v>6947.8064516129025</v>
      </c>
      <c r="Q401" s="3">
        <v>25606.97806451613</v>
      </c>
      <c r="R401" s="3">
        <v>448.79290322580647</v>
      </c>
    </row>
    <row r="402" spans="1:18">
      <c r="A402" s="2">
        <v>44958</v>
      </c>
      <c r="B402" s="3">
        <v>1228.7542857142857</v>
      </c>
      <c r="C402" s="3">
        <v>248761.50714285712</v>
      </c>
      <c r="D402" s="3">
        <v>108265.17607142858</v>
      </c>
      <c r="E402" s="3">
        <v>5336.9957142857147</v>
      </c>
      <c r="F402" s="3">
        <v>386.08892857142843</v>
      </c>
      <c r="G402" s="3">
        <v>53341.591428571432</v>
      </c>
      <c r="H402" s="3">
        <v>2225.7324999999996</v>
      </c>
      <c r="I402" s="3">
        <v>3265.2054464285716</v>
      </c>
      <c r="J402" s="3">
        <v>20935.736071428568</v>
      </c>
      <c r="K402" s="3">
        <v>27502.557142857135</v>
      </c>
      <c r="L402" s="3">
        <v>4076.6157142857128</v>
      </c>
      <c r="M402" s="3">
        <v>7915.5153571428555</v>
      </c>
      <c r="N402" s="3">
        <v>15394.137142857144</v>
      </c>
      <c r="O402" s="3">
        <v>9232.3178571428562</v>
      </c>
      <c r="P402" s="3">
        <v>7229.6732142857118</v>
      </c>
      <c r="Q402" s="3">
        <v>27289.704285714284</v>
      </c>
      <c r="R402" s="3">
        <v>460.79428571428576</v>
      </c>
    </row>
    <row r="403" spans="1:18">
      <c r="A403" s="2">
        <v>44986</v>
      </c>
      <c r="B403" s="3">
        <v>1155.6661290322581</v>
      </c>
      <c r="C403" s="3">
        <v>234055.86290322582</v>
      </c>
      <c r="D403" s="3">
        <v>102374.53483870967</v>
      </c>
      <c r="E403" s="3">
        <v>5307.0574193548373</v>
      </c>
      <c r="F403" s="3">
        <v>383.46516129032273</v>
      </c>
      <c r="G403" s="3">
        <v>53030.00451612904</v>
      </c>
      <c r="H403" s="3">
        <v>2335.9887096774187</v>
      </c>
      <c r="I403" s="3">
        <v>3268.7607903225808</v>
      </c>
      <c r="J403" s="3">
        <v>19870.040322580644</v>
      </c>
      <c r="K403" s="3">
        <v>27670.228387096777</v>
      </c>
      <c r="L403" s="3">
        <v>3963.4380645161295</v>
      </c>
      <c r="M403" s="3">
        <v>7630.5245161290322</v>
      </c>
      <c r="N403" s="3">
        <v>15242.125806451615</v>
      </c>
      <c r="O403" s="3">
        <v>9104.3322580645145</v>
      </c>
      <c r="P403" s="3">
        <v>7154.8303225806458</v>
      </c>
      <c r="Q403" s="3">
        <v>26737.598709677422</v>
      </c>
      <c r="R403" s="3">
        <v>449.99129032258071</v>
      </c>
    </row>
    <row r="404" spans="1:18">
      <c r="A404" s="2">
        <v>45017</v>
      </c>
      <c r="B404" s="3">
        <v>1210.8083333333332</v>
      </c>
      <c r="C404" s="3">
        <v>274545.60833333322</v>
      </c>
      <c r="D404" s="3">
        <v>103696.89866666665</v>
      </c>
      <c r="E404" s="3">
        <v>5335.8639999999978</v>
      </c>
      <c r="F404" s="3">
        <v>380.95300000000009</v>
      </c>
      <c r="G404" s="3">
        <v>54260.862666666668</v>
      </c>
      <c r="H404" s="3">
        <v>2567.2439999999997</v>
      </c>
      <c r="I404" s="3">
        <v>3317.7231433333345</v>
      </c>
      <c r="J404" s="3">
        <v>20238.484999999993</v>
      </c>
      <c r="K404" s="3">
        <v>28282.152333333324</v>
      </c>
      <c r="L404" s="3">
        <v>4124.0946666666669</v>
      </c>
      <c r="M404" s="3">
        <v>7814.7796666666682</v>
      </c>
      <c r="N404" s="3">
        <v>15752.338999999998</v>
      </c>
      <c r="O404" s="3">
        <v>9318.5899999999983</v>
      </c>
      <c r="P404" s="3">
        <v>7449.4686666666657</v>
      </c>
      <c r="Q404" s="3">
        <v>27414.895999999997</v>
      </c>
      <c r="R404" s="3">
        <v>463.74533333333324</v>
      </c>
    </row>
    <row r="405" spans="1:18">
      <c r="A405" s="2">
        <v>45047</v>
      </c>
      <c r="B405" s="3">
        <v>1136.9322580645164</v>
      </c>
      <c r="C405" s="3">
        <v>322247.26903225807</v>
      </c>
      <c r="D405" s="3">
        <v>108012.89451612899</v>
      </c>
      <c r="E405" s="3">
        <v>5569.3132258064534</v>
      </c>
      <c r="F405" s="3">
        <v>384.82870967741934</v>
      </c>
      <c r="G405" s="3">
        <v>54527.823225806445</v>
      </c>
      <c r="H405" s="3">
        <v>2611.1793548387095</v>
      </c>
      <c r="I405" s="3">
        <v>3283.6325419354848</v>
      </c>
      <c r="J405" s="3">
        <v>19495.471612903228</v>
      </c>
      <c r="K405" s="3">
        <v>30031.167419354846</v>
      </c>
      <c r="L405" s="3">
        <v>4152.7993548387094</v>
      </c>
      <c r="M405" s="3">
        <v>7716.833225806452</v>
      </c>
      <c r="N405" s="3">
        <v>15958.351935483868</v>
      </c>
      <c r="O405" s="3">
        <v>9184.7516129032265</v>
      </c>
      <c r="P405" s="3">
        <v>7380.6299999999992</v>
      </c>
      <c r="Q405" s="3">
        <v>27055.306451612905</v>
      </c>
      <c r="R405" s="3">
        <v>463.6403225806452</v>
      </c>
    </row>
    <row r="406" spans="1:18">
      <c r="A406" s="2">
        <v>45078</v>
      </c>
      <c r="B406" s="3">
        <v>1159.5513333333333</v>
      </c>
      <c r="C406" s="3">
        <v>395001.08999999997</v>
      </c>
      <c r="D406" s="3">
        <v>117030.236</v>
      </c>
      <c r="E406" s="3">
        <v>5699.7263333333331</v>
      </c>
      <c r="F406" s="3">
        <v>385.08599999999996</v>
      </c>
      <c r="G406" s="3">
        <v>54040.341333333323</v>
      </c>
      <c r="H406" s="3">
        <v>2758.8210000000008</v>
      </c>
      <c r="I406" s="3">
        <v>3219.7404133333339</v>
      </c>
      <c r="J406" s="3">
        <v>19262.38</v>
      </c>
      <c r="K406" s="3">
        <v>32705.082666666673</v>
      </c>
      <c r="L406" s="3">
        <v>4344.6906666666673</v>
      </c>
      <c r="M406" s="3">
        <v>7559.9783333333316</v>
      </c>
      <c r="N406" s="3">
        <v>16042.774666666664</v>
      </c>
      <c r="O406" s="3">
        <v>9369.8433333333305</v>
      </c>
      <c r="P406" s="3">
        <v>7257.0693333333347</v>
      </c>
      <c r="Q406" s="3">
        <v>27400.433999999997</v>
      </c>
      <c r="R406" s="3">
        <v>459.70733333333334</v>
      </c>
    </row>
    <row r="407" spans="1:18">
      <c r="A407" s="2">
        <v>45108</v>
      </c>
      <c r="B407" s="3">
        <v>1155.134193548387</v>
      </c>
      <c r="C407" s="3">
        <v>446667.6361290323</v>
      </c>
      <c r="D407" s="3">
        <v>119190.37774193547</v>
      </c>
      <c r="E407" s="3">
        <v>6134.1116129032262</v>
      </c>
      <c r="F407" s="3">
        <v>390.83645161290332</v>
      </c>
      <c r="G407" s="3">
        <v>54008.269677419346</v>
      </c>
      <c r="H407" s="3">
        <v>2903.2522580645168</v>
      </c>
      <c r="I407" s="3">
        <v>3216.6393193548383</v>
      </c>
      <c r="J407" s="3">
        <v>19140.617741935494</v>
      </c>
      <c r="K407" s="3">
        <v>32656.082580645158</v>
      </c>
      <c r="L407" s="3">
        <v>4502.0561290322566</v>
      </c>
      <c r="M407" s="3">
        <v>7513.7938709677428</v>
      </c>
      <c r="N407" s="3">
        <v>16079.681612903225</v>
      </c>
      <c r="O407" s="3">
        <v>9496.8548387096762</v>
      </c>
      <c r="P407" s="3">
        <v>7343.4477419354826</v>
      </c>
      <c r="Q407" s="3">
        <v>28632.740645161284</v>
      </c>
      <c r="R407" s="3">
        <v>461.03548387096777</v>
      </c>
    </row>
    <row r="408" spans="1:18">
      <c r="A408" s="2">
        <v>45139</v>
      </c>
      <c r="B408" s="3">
        <v>1136.8406451612905</v>
      </c>
      <c r="C408" s="3">
        <v>544725.14548387087</v>
      </c>
      <c r="D408" s="3">
        <v>117499.30483870968</v>
      </c>
      <c r="E408" s="3">
        <v>6189.1035483870955</v>
      </c>
      <c r="F408" s="3">
        <v>390.09999999999991</v>
      </c>
      <c r="G408" s="3">
        <v>53534.885483870974</v>
      </c>
      <c r="H408" s="3">
        <v>3132.5290322580649</v>
      </c>
      <c r="I408" s="3">
        <v>3174.6981741935479</v>
      </c>
      <c r="J408" s="3">
        <v>18667.550322580642</v>
      </c>
      <c r="K408" s="3">
        <v>32117.383870967744</v>
      </c>
      <c r="L408" s="3">
        <v>4450.137096774195</v>
      </c>
      <c r="M408" s="3">
        <v>7437.9509677419346</v>
      </c>
      <c r="N408" s="3">
        <v>15808.325806451614</v>
      </c>
      <c r="O408" s="3">
        <v>9375.3096774193564</v>
      </c>
      <c r="P408" s="3">
        <v>7284.4851612903212</v>
      </c>
      <c r="Q408" s="3">
        <v>28369.732903225802</v>
      </c>
      <c r="R408" s="3">
        <v>456.24870967741924</v>
      </c>
    </row>
    <row r="409" spans="1:18">
      <c r="A409" s="2">
        <v>45170</v>
      </c>
      <c r="B409" s="3">
        <v>1088.0889999999997</v>
      </c>
      <c r="C409" s="3">
        <v>567951.10899999982</v>
      </c>
      <c r="D409" s="3">
        <v>116923.19066666666</v>
      </c>
      <c r="E409" s="3">
        <v>5903.0163333333321</v>
      </c>
      <c r="F409" s="3">
        <v>389.66999999999985</v>
      </c>
      <c r="G409" s="3">
        <v>52014.512666666662</v>
      </c>
      <c r="H409" s="3">
        <v>3136.5810000000001</v>
      </c>
      <c r="I409" s="3">
        <v>3124.7505399999995</v>
      </c>
      <c r="J409" s="3">
        <v>18062.505000000001</v>
      </c>
      <c r="K409" s="3">
        <v>32746.983000000007</v>
      </c>
      <c r="L409" s="3">
        <v>4415.7666666666664</v>
      </c>
      <c r="M409" s="3">
        <v>7579.3476666666666</v>
      </c>
      <c r="N409" s="3">
        <v>15662.022666666664</v>
      </c>
      <c r="O409" s="3">
        <v>9448.8566666666666</v>
      </c>
      <c r="P409" s="3">
        <v>7234.9783333333344</v>
      </c>
      <c r="Q409" s="3">
        <v>28520.664333333341</v>
      </c>
      <c r="R409" s="3">
        <v>455.19133333333332</v>
      </c>
    </row>
    <row r="410" spans="1:18">
      <c r="A410" s="2">
        <v>45200</v>
      </c>
      <c r="B410" s="3">
        <v>1108.0451612903223</v>
      </c>
      <c r="C410" s="3">
        <v>686518.36129032273</v>
      </c>
      <c r="D410" s="3">
        <v>114432.34774193547</v>
      </c>
      <c r="E410" s="3">
        <v>5669.7303225806454</v>
      </c>
      <c r="F410" s="3">
        <v>389.8622580645162</v>
      </c>
      <c r="G410" s="3">
        <v>49405.72935483871</v>
      </c>
      <c r="H410" s="3">
        <v>3203.855483870967</v>
      </c>
      <c r="I410" s="3">
        <v>3052.7524806451606</v>
      </c>
      <c r="J410" s="3">
        <v>17469.0035483871</v>
      </c>
      <c r="K410" s="3">
        <v>31386.347741935475</v>
      </c>
      <c r="L410" s="3">
        <v>4263.5641935483864</v>
      </c>
      <c r="M410" s="3">
        <v>7476.6741935483906</v>
      </c>
      <c r="N410" s="3">
        <v>15048.171935483864</v>
      </c>
      <c r="O410" s="3">
        <v>9145.6903225806436</v>
      </c>
      <c r="P410" s="3">
        <v>6962.5412903225815</v>
      </c>
      <c r="Q410" s="3">
        <v>27783.285806451608</v>
      </c>
      <c r="R410" s="3">
        <v>441.27258064516133</v>
      </c>
    </row>
    <row r="411" spans="1:18">
      <c r="A411" s="2">
        <v>45231</v>
      </c>
      <c r="B411" s="3">
        <v>1115.0733333333335</v>
      </c>
      <c r="C411" s="3">
        <v>706253.55533333321</v>
      </c>
      <c r="D411" s="3">
        <v>122480.44699999999</v>
      </c>
      <c r="E411" s="3">
        <v>5702.113666666668</v>
      </c>
      <c r="F411" s="3">
        <v>393.60233333333338</v>
      </c>
      <c r="G411" s="3">
        <v>52005.710666666651</v>
      </c>
      <c r="H411" s="3">
        <v>3215.4673333333326</v>
      </c>
      <c r="I411" s="3">
        <v>3044.6275433333317</v>
      </c>
      <c r="J411" s="3">
        <v>17516.655000000002</v>
      </c>
      <c r="K411" s="3">
        <v>32935.537333333326</v>
      </c>
      <c r="L411" s="3">
        <v>4463.7276666666667</v>
      </c>
      <c r="M411" s="3">
        <v>7442.5036666666674</v>
      </c>
      <c r="N411" s="3">
        <v>15621.467666666667</v>
      </c>
      <c r="O411" s="3">
        <v>9617.0866666666661</v>
      </c>
      <c r="P411" s="3">
        <v>7158.6223333333319</v>
      </c>
      <c r="Q411" s="3">
        <v>29036.208000000006</v>
      </c>
      <c r="R411" s="3">
        <v>451.24266666666671</v>
      </c>
    </row>
    <row r="412" spans="1:18">
      <c r="A412" s="2">
        <v>45261</v>
      </c>
      <c r="B412" s="3">
        <v>1164.2441935483873</v>
      </c>
      <c r="C412" s="3">
        <v>926848.61774193554</v>
      </c>
      <c r="D412" s="3">
        <v>130219.09129032261</v>
      </c>
      <c r="E412" s="3">
        <v>6056.2051612903224</v>
      </c>
      <c r="F412" s="3">
        <v>393.42483870967743</v>
      </c>
      <c r="G412" s="3">
        <v>56067.396774193541</v>
      </c>
      <c r="H412" s="3">
        <v>3082.5458064516133</v>
      </c>
      <c r="I412" s="3">
        <v>2958.8511354838715</v>
      </c>
      <c r="J412" s="3">
        <v>16572.333225806447</v>
      </c>
      <c r="K412" s="3">
        <v>33102.075483870976</v>
      </c>
      <c r="L412" s="3">
        <v>4688.4180645161296</v>
      </c>
      <c r="M412" s="3">
        <v>7615.9806451612912</v>
      </c>
      <c r="N412" s="3">
        <v>16680.553548387095</v>
      </c>
      <c r="O412" s="3">
        <v>10136.303225806449</v>
      </c>
      <c r="P412" s="3">
        <v>7518.517741935485</v>
      </c>
      <c r="Q412" s="3">
        <v>30283.910967741947</v>
      </c>
      <c r="R412" s="3">
        <v>474.25193548387108</v>
      </c>
    </row>
    <row r="413" spans="1:18">
      <c r="A413" s="2">
        <v>45292</v>
      </c>
      <c r="B413" s="3">
        <v>1275.9267741935485</v>
      </c>
      <c r="C413" s="3">
        <v>1121499.2012903227</v>
      </c>
      <c r="D413" s="3">
        <v>129880.81129032256</v>
      </c>
      <c r="E413" s="3">
        <v>6010.3341935483859</v>
      </c>
      <c r="F413" s="3">
        <v>396.03096774193551</v>
      </c>
      <c r="G413" s="3">
        <v>55928.997741935476</v>
      </c>
      <c r="H413" s="3">
        <v>3163.2722580645172</v>
      </c>
      <c r="I413" s="3">
        <v>2880.0400387096774</v>
      </c>
      <c r="J413" s="3">
        <v>16016.396774193547</v>
      </c>
      <c r="K413" s="3">
        <v>35119.079354838701</v>
      </c>
      <c r="L413" s="3">
        <v>4802.3122580645158</v>
      </c>
      <c r="M413" s="3">
        <v>7603.8848387096759</v>
      </c>
      <c r="N413" s="3">
        <v>16705.879354838711</v>
      </c>
      <c r="O413" s="3">
        <v>10018.329032258061</v>
      </c>
      <c r="P413" s="3">
        <v>7468.6387096774233</v>
      </c>
      <c r="Q413" s="3">
        <v>30363.057741935474</v>
      </c>
      <c r="R413" s="3">
        <v>476.59451612903234</v>
      </c>
    </row>
    <row r="414" spans="1:18">
      <c r="A414" s="2">
        <v>45323</v>
      </c>
      <c r="B414" s="3">
        <v>1265.7158620689661</v>
      </c>
      <c r="C414" s="3">
        <v>1128523.9244827584</v>
      </c>
      <c r="D414" s="3">
        <v>128802.9996551724</v>
      </c>
      <c r="E414" s="3">
        <v>6161.2520689655175</v>
      </c>
      <c r="F414" s="3">
        <v>407.55758620689664</v>
      </c>
      <c r="G414" s="3">
        <v>57246.931724137939</v>
      </c>
      <c r="H414" s="3">
        <v>3221.4044827586217</v>
      </c>
      <c r="I414" s="3">
        <v>2881.3881068965516</v>
      </c>
      <c r="J414" s="3">
        <v>16125.899999999996</v>
      </c>
      <c r="K414" s="3">
        <v>37765.465172413795</v>
      </c>
      <c r="L414" s="3">
        <v>5013.9303448275869</v>
      </c>
      <c r="M414" s="3">
        <v>7642.3282758620689</v>
      </c>
      <c r="N414" s="3">
        <v>17125.700344827586</v>
      </c>
      <c r="O414" s="3">
        <v>9999.4965517241362</v>
      </c>
      <c r="P414" s="3">
        <v>7751.7886206896537</v>
      </c>
      <c r="Q414" s="3">
        <v>31639.684137931039</v>
      </c>
      <c r="R414" s="3">
        <v>489.43034482758617</v>
      </c>
    </row>
    <row r="415" spans="1:18">
      <c r="A415" s="2">
        <v>45352</v>
      </c>
      <c r="B415" s="3">
        <v>1306.8109677419354</v>
      </c>
      <c r="C415" s="3">
        <v>1107416.4016129032</v>
      </c>
      <c r="D415" s="3">
        <v>127706.20032258068</v>
      </c>
      <c r="E415" s="3">
        <v>6472.0435483870961</v>
      </c>
      <c r="F415" s="3">
        <v>408.37612903225823</v>
      </c>
      <c r="G415" s="3">
        <v>56088.669354838712</v>
      </c>
      <c r="H415" s="3">
        <v>3298.6732258064521</v>
      </c>
      <c r="I415" s="3">
        <v>3044.4383032258056</v>
      </c>
      <c r="J415" s="3">
        <v>16579.488387096771</v>
      </c>
      <c r="K415" s="3">
        <v>39871.605161290332</v>
      </c>
      <c r="L415" s="3">
        <v>5174.1477419354824</v>
      </c>
      <c r="M415" s="3">
        <v>7782.713870967742</v>
      </c>
      <c r="N415" s="3">
        <v>18028.151612903228</v>
      </c>
      <c r="O415" s="3">
        <v>10595.977419354836</v>
      </c>
      <c r="P415" s="3">
        <v>8101.8216129032271</v>
      </c>
      <c r="Q415" s="3">
        <v>33914.814193548387</v>
      </c>
      <c r="R415" s="3">
        <v>505.48903225806447</v>
      </c>
    </row>
    <row r="416" spans="1:18">
      <c r="A416" s="2">
        <v>45383</v>
      </c>
      <c r="B416" s="3">
        <v>1370.1670000000001</v>
      </c>
      <c r="C416" s="3">
        <v>1230702.3603333333</v>
      </c>
      <c r="D416" s="3">
        <v>126271.068</v>
      </c>
      <c r="E416" s="3">
        <v>6501.7600000000029</v>
      </c>
      <c r="F416" s="3">
        <v>406.08500000000004</v>
      </c>
      <c r="G416" s="3">
        <v>56964.265000000021</v>
      </c>
      <c r="H416" s="3">
        <v>3438.1669999999999</v>
      </c>
      <c r="I416" s="3">
        <v>3058.9437233333324</v>
      </c>
      <c r="J416" s="3">
        <v>16850.149000000001</v>
      </c>
      <c r="K416" s="3">
        <v>38624.435666666664</v>
      </c>
      <c r="L416" s="3">
        <v>5108.8239999999996</v>
      </c>
      <c r="M416" s="3">
        <v>7979.3859999999986</v>
      </c>
      <c r="N416" s="3">
        <v>18048.675000000003</v>
      </c>
      <c r="O416" s="3">
        <v>10877.65333333333</v>
      </c>
      <c r="P416" s="3">
        <v>8057.127333333332</v>
      </c>
      <c r="Q416" s="3">
        <v>34035.749333333333</v>
      </c>
      <c r="R416" s="3">
        <v>505.29600000000011</v>
      </c>
    </row>
    <row r="417" spans="1:21">
      <c r="A417" s="2">
        <v>45413</v>
      </c>
      <c r="B417" s="3">
        <v>1401.3554838709676</v>
      </c>
      <c r="C417" s="3">
        <v>1483776.7445161294</v>
      </c>
      <c r="D417" s="3">
        <v>126722.47290322576</v>
      </c>
      <c r="E417" s="3">
        <v>6662.9212903225807</v>
      </c>
      <c r="F417" s="3">
        <v>411.7222580645161</v>
      </c>
      <c r="G417" s="3">
        <v>56743.169032258069</v>
      </c>
      <c r="H417" s="3">
        <v>3422.344193548387</v>
      </c>
      <c r="I417" s="3">
        <v>3127.4507161290335</v>
      </c>
      <c r="J417" s="3">
        <v>18796.175161290317</v>
      </c>
      <c r="K417" s="3">
        <v>38515.689677419352</v>
      </c>
      <c r="L417" s="3">
        <v>5238.6000000000022</v>
      </c>
      <c r="M417" s="3">
        <v>8330.6548387096773</v>
      </c>
      <c r="N417" s="3">
        <v>18548.073548387099</v>
      </c>
      <c r="O417" s="3">
        <v>11171.106451612903</v>
      </c>
      <c r="P417" s="3">
        <v>8100.0203225806445</v>
      </c>
      <c r="Q417" s="3">
        <v>34527.224516129027</v>
      </c>
      <c r="R417" s="3">
        <v>517.46870967741938</v>
      </c>
    </row>
    <row r="418" spans="1:21">
      <c r="A418" s="2">
        <v>45444</v>
      </c>
      <c r="B418" s="3">
        <v>1387.3936666666668</v>
      </c>
      <c r="C418" s="3">
        <v>1580456.5523333335</v>
      </c>
      <c r="D418" s="3">
        <v>121421.96166666664</v>
      </c>
      <c r="E418" s="3">
        <v>6544.3286666666672</v>
      </c>
      <c r="F418" s="3">
        <v>415.26000000000005</v>
      </c>
      <c r="G418" s="3">
        <v>52983.997333333326</v>
      </c>
      <c r="H418" s="3">
        <v>3207.7436666666686</v>
      </c>
      <c r="I418" s="3">
        <v>3021.7558433333334</v>
      </c>
      <c r="J418" s="3">
        <v>18106.462000000003</v>
      </c>
      <c r="K418" s="3">
        <v>38850.298666666677</v>
      </c>
      <c r="L418" s="3">
        <v>5411.2366666666667</v>
      </c>
      <c r="M418" s="3">
        <v>8215.361666666664</v>
      </c>
      <c r="N418" s="3">
        <v>18308.856666666667</v>
      </c>
      <c r="O418" s="3">
        <v>11153.519999999999</v>
      </c>
      <c r="P418" s="3">
        <v>7733.8116666666674</v>
      </c>
      <c r="Q418" s="3">
        <v>33747.120666666677</v>
      </c>
      <c r="R418" s="3">
        <v>516.81433333333337</v>
      </c>
      <c r="U418" s="26" t="s">
        <v>105</v>
      </c>
    </row>
    <row r="419" spans="1:21">
      <c r="A419" s="2">
        <v>45474</v>
      </c>
      <c r="B419" s="3">
        <v>1367.0403225806449</v>
      </c>
      <c r="C419" s="3">
        <v>1590406.9225806454</v>
      </c>
      <c r="D419" s="3">
        <v>127239.46</v>
      </c>
      <c r="E419" s="3">
        <v>6506.8680645161294</v>
      </c>
      <c r="F419" s="3">
        <v>414.6100000000003</v>
      </c>
      <c r="G419" s="3">
        <v>53348.25580645162</v>
      </c>
      <c r="H419" s="3">
        <v>3215.9100000000021</v>
      </c>
      <c r="I419" s="3">
        <v>2947.5817645161278</v>
      </c>
      <c r="J419" s="3">
        <v>17603.570322580643</v>
      </c>
      <c r="K419" s="3">
        <v>40100.765806451614</v>
      </c>
      <c r="L419" s="3">
        <v>5537.6258064516142</v>
      </c>
      <c r="M419" s="3">
        <v>8210.5303225806438</v>
      </c>
      <c r="N419" s="3">
        <v>18424.564838709677</v>
      </c>
      <c r="O419" s="3">
        <v>11110.37741935484</v>
      </c>
      <c r="P419" s="3">
        <v>7583.9438709677406</v>
      </c>
      <c r="Q419" s="3">
        <v>34126.965806451604</v>
      </c>
      <c r="R419" s="3">
        <v>515.19387096774187</v>
      </c>
    </row>
    <row r="420" spans="1:21">
      <c r="A420" s="2">
        <v>45505</v>
      </c>
      <c r="B420" s="3">
        <v>1333.8287096774193</v>
      </c>
      <c r="C420" s="3">
        <v>1582259.5890322581</v>
      </c>
      <c r="D420" s="3">
        <v>132475.56870967743</v>
      </c>
      <c r="E420" s="3">
        <v>6381.1948387096754</v>
      </c>
      <c r="F420" s="3">
        <v>420.3216129032258</v>
      </c>
      <c r="G420" s="3">
        <v>53093.489722258077</v>
      </c>
      <c r="H420" s="3">
        <v>3215.9100000000021</v>
      </c>
      <c r="I420" s="3">
        <v>2866.8760838709672</v>
      </c>
      <c r="J420" s="3">
        <v>17335.662258064513</v>
      </c>
      <c r="K420" s="3">
        <v>36862.43419354839</v>
      </c>
      <c r="L420" s="3">
        <v>5481.5574193548373</v>
      </c>
      <c r="M420" s="3">
        <v>8258.1190322580642</v>
      </c>
      <c r="N420" s="3">
        <v>18168.618064516133</v>
      </c>
      <c r="O420" s="3">
        <v>10935.474193548389</v>
      </c>
      <c r="P420" s="3">
        <v>7411.7483870967762</v>
      </c>
      <c r="Q420" s="3">
        <v>32776.286451612912</v>
      </c>
      <c r="R420" s="3">
        <v>508.48322580645146</v>
      </c>
    </row>
    <row r="421" spans="1:21">
      <c r="A421" s="2">
        <v>45536</v>
      </c>
      <c r="B421" s="3">
        <v>1324.3536666666664</v>
      </c>
      <c r="C421" s="3">
        <v>1768623.4716666669</v>
      </c>
      <c r="D421" s="3">
        <v>133715.86399999997</v>
      </c>
      <c r="E421" s="3">
        <v>6369.934000000002</v>
      </c>
      <c r="F421" s="3">
        <v>426.96966666666668</v>
      </c>
      <c r="G421" s="3">
        <v>52139.307999999983</v>
      </c>
      <c r="H421" s="3">
        <v>3215.9100000000021</v>
      </c>
      <c r="I421" s="3">
        <v>2817.947200000001</v>
      </c>
      <c r="J421" s="3">
        <v>18210.581666666669</v>
      </c>
      <c r="K421" s="3">
        <v>37428.270000000011</v>
      </c>
      <c r="L421" s="3">
        <v>5622.4110000000019</v>
      </c>
      <c r="M421" s="3">
        <v>8266.0543333333317</v>
      </c>
      <c r="N421" s="3">
        <v>18776.482</v>
      </c>
      <c r="O421" s="3">
        <v>11567.586666666668</v>
      </c>
      <c r="P421" s="3">
        <v>7527.7210000000023</v>
      </c>
      <c r="Q421" s="3">
        <v>33813.031000000003</v>
      </c>
      <c r="R421" s="3">
        <v>516.7406666666667</v>
      </c>
    </row>
    <row r="422" spans="1:21">
      <c r="A422" s="2">
        <v>45566</v>
      </c>
      <c r="B422" s="3">
        <v>1329.218387096774</v>
      </c>
      <c r="C422" s="3">
        <v>1798108.7729032256</v>
      </c>
      <c r="D422" s="3">
        <v>130792.10225806451</v>
      </c>
      <c r="E422" s="3">
        <v>6586.6912903225802</v>
      </c>
      <c r="F422" s="3">
        <v>435.4064516129032</v>
      </c>
      <c r="G422" s="3">
        <v>52157.045483870977</v>
      </c>
      <c r="H422" s="3">
        <v>3215.9100000000021</v>
      </c>
      <c r="I422" s="3">
        <v>3286.8612935483861</v>
      </c>
      <c r="J422" s="3">
        <v>21089.009677419352</v>
      </c>
      <c r="K422" s="3">
        <v>38853.01903225806</v>
      </c>
      <c r="L422" s="3">
        <v>5796.8106451612903</v>
      </c>
      <c r="M422" s="3">
        <v>8272.0561290322585</v>
      </c>
      <c r="N422" s="3">
        <v>19352.768709677421</v>
      </c>
      <c r="O422" s="3">
        <v>11782.270967741937</v>
      </c>
      <c r="P422" s="3">
        <v>7536.6648387096766</v>
      </c>
      <c r="Q422" s="3">
        <v>34406.190967741932</v>
      </c>
      <c r="R422" s="3">
        <v>519.71064516129024</v>
      </c>
    </row>
    <row r="423" spans="1:21">
      <c r="A423" s="2">
        <v>45597</v>
      </c>
      <c r="B423" s="3">
        <v>1365.2176666666667</v>
      </c>
      <c r="C423" s="3">
        <v>2074775.3683333336</v>
      </c>
      <c r="D423" s="3">
        <v>128151.88666666666</v>
      </c>
      <c r="E423" s="3">
        <v>6551.798333333335</v>
      </c>
      <c r="F423" s="3">
        <v>446.30166666666685</v>
      </c>
      <c r="G423" s="3">
        <v>50667.475333333336</v>
      </c>
      <c r="H423" s="3">
        <v>3215.9100000000021</v>
      </c>
      <c r="I423" s="3">
        <v>3347.3219466666678</v>
      </c>
      <c r="J423" s="3">
        <v>19898.198999999997</v>
      </c>
      <c r="K423" s="3">
        <v>38604.528000000006</v>
      </c>
      <c r="L423" s="3">
        <v>5925.2679999999991</v>
      </c>
      <c r="M423" s="3">
        <v>8158.8586666666642</v>
      </c>
      <c r="N423" s="3">
        <v>19253.618666666669</v>
      </c>
      <c r="O423" s="3">
        <v>11630.643333333332</v>
      </c>
      <c r="P423" s="3">
        <v>7291.2646666666687</v>
      </c>
      <c r="Q423" s="3">
        <v>33828.988333333327</v>
      </c>
      <c r="R423" s="3">
        <v>506.66433333333322</v>
      </c>
    </row>
    <row r="424" spans="1:21">
      <c r="A424" s="2">
        <v>45627</v>
      </c>
      <c r="B424" s="3">
        <v>1380.2819354838709</v>
      </c>
      <c r="C424" s="3">
        <v>2403539.5616129031</v>
      </c>
      <c r="D424" s="3">
        <v>123710.04258064514</v>
      </c>
      <c r="E424" s="3">
        <v>6697.9299999999976</v>
      </c>
      <c r="F424" s="3">
        <v>455.53935483870976</v>
      </c>
      <c r="G424" s="3">
        <v>50396.398387096786</v>
      </c>
      <c r="H424" s="3">
        <v>3215.9100000000021</v>
      </c>
      <c r="I424" s="3">
        <v>3387.4125870967737</v>
      </c>
      <c r="J424" s="3">
        <v>19923.798064516126</v>
      </c>
      <c r="K424" s="3">
        <v>39304.147741935478</v>
      </c>
      <c r="L424" s="3">
        <v>6012.503225806453</v>
      </c>
      <c r="M424" s="3">
        <v>8225.4838709677388</v>
      </c>
      <c r="N424" s="3">
        <v>20117.196129032254</v>
      </c>
      <c r="O424" s="3">
        <v>11700.461290322579</v>
      </c>
      <c r="P424" s="3">
        <v>7345.0277419354843</v>
      </c>
      <c r="Q424" s="3">
        <v>34238.147096774199</v>
      </c>
      <c r="R424" s="3">
        <v>511.98354838709685</v>
      </c>
    </row>
    <row r="425" spans="1:21">
      <c r="A425" s="2">
        <v>45658</v>
      </c>
      <c r="B425" s="3">
        <v>1415.2383870967737</v>
      </c>
      <c r="C425" s="3">
        <v>2647318.261290323</v>
      </c>
      <c r="D425" s="3">
        <v>121509.44645161286</v>
      </c>
      <c r="E425" s="3">
        <v>6913.1929032258058</v>
      </c>
      <c r="F425" s="3">
        <v>471.39096774193536</v>
      </c>
      <c r="G425" s="3">
        <v>50271.328064516129</v>
      </c>
      <c r="H425" s="3">
        <v>3215.9100000000021</v>
      </c>
      <c r="I425" s="3">
        <v>3231.1061387096756</v>
      </c>
      <c r="J425" s="3">
        <v>19686.357419354837</v>
      </c>
      <c r="K425" s="3">
        <v>39370.068064516126</v>
      </c>
      <c r="L425" s="3">
        <v>5971.6667741935489</v>
      </c>
      <c r="M425" s="3">
        <v>8392.0335483870986</v>
      </c>
      <c r="N425" s="3">
        <v>20727.002258064524</v>
      </c>
      <c r="O425" s="3">
        <v>11888.854838709676</v>
      </c>
      <c r="P425" s="3">
        <v>7627.369999999999</v>
      </c>
      <c r="Q425" s="3">
        <v>35514.04516129032</v>
      </c>
      <c r="R425" s="3">
        <v>520.31645161290339</v>
      </c>
    </row>
    <row r="426" spans="1:21">
      <c r="A426" s="2">
        <v>45689</v>
      </c>
      <c r="B426" s="3">
        <v>1567.5485714285712</v>
      </c>
      <c r="C426" s="3">
        <v>2381829.2821428576</v>
      </c>
      <c r="D426" s="3">
        <v>126146.76571428571</v>
      </c>
      <c r="E426" s="3">
        <v>7300.3885714285716</v>
      </c>
      <c r="F426" s="3">
        <v>482.11142857142852</v>
      </c>
      <c r="G426" s="3">
        <v>53158.556428571421</v>
      </c>
      <c r="H426" s="3">
        <v>3215.9100000000021</v>
      </c>
      <c r="I426" s="3">
        <v>3325.0371178571427</v>
      </c>
      <c r="J426" s="3">
        <v>22109.574285714287</v>
      </c>
      <c r="K426" s="3">
        <v>38835.185714285719</v>
      </c>
      <c r="L426" s="3">
        <v>6044.2250000000013</v>
      </c>
      <c r="M426" s="3">
        <v>8706.5196428571417</v>
      </c>
      <c r="N426" s="3">
        <v>22195.837500000001</v>
      </c>
      <c r="O426" s="3">
        <v>12851.539285714283</v>
      </c>
      <c r="P426" s="3">
        <v>8066.0557142857142</v>
      </c>
      <c r="Q426" s="3">
        <v>37763.583571428571</v>
      </c>
      <c r="R426" s="3">
        <v>549.00964285714304</v>
      </c>
    </row>
    <row r="427" spans="1:21">
      <c r="A427" s="2">
        <v>45717</v>
      </c>
      <c r="B427" s="3">
        <v>1604.976774193548</v>
      </c>
      <c r="C427" s="3">
        <v>2319912.0651612901</v>
      </c>
      <c r="D427" s="3">
        <v>128255.92032258066</v>
      </c>
      <c r="E427" s="3">
        <v>7503.0780645161276</v>
      </c>
      <c r="F427" s="3">
        <v>481.16677419354824</v>
      </c>
      <c r="G427" s="3">
        <v>52624.9529032258</v>
      </c>
      <c r="H427" s="3">
        <v>3215.9100000000021</v>
      </c>
      <c r="I427" s="3">
        <v>3371.5107483870979</v>
      </c>
      <c r="J427" s="3">
        <v>23730.797741935479</v>
      </c>
      <c r="K427" s="3">
        <v>37283.027419354839</v>
      </c>
      <c r="L427" s="3">
        <v>5696.3848387096778</v>
      </c>
      <c r="M427" s="3">
        <v>8669.5567741935502</v>
      </c>
      <c r="N427" s="3">
        <v>22831.727096774201</v>
      </c>
      <c r="O427" s="3">
        <v>13222.980645161291</v>
      </c>
      <c r="P427" s="3">
        <v>8047.7406451612896</v>
      </c>
      <c r="Q427" s="3">
        <v>38733.509354838709</v>
      </c>
      <c r="R427" s="3">
        <v>549.18000000000006</v>
      </c>
    </row>
    <row r="428" spans="1:21">
      <c r="A428" s="2">
        <v>45748</v>
      </c>
      <c r="B428" s="3">
        <v>1614.7363333333337</v>
      </c>
      <c r="C428" s="3">
        <v>2190191.6959999995</v>
      </c>
      <c r="D428" s="3">
        <v>130129.50166666662</v>
      </c>
      <c r="E428" s="3">
        <v>7698.5756666666675</v>
      </c>
      <c r="F428" s="3">
        <v>484.96166666666647</v>
      </c>
      <c r="G428" s="3">
        <v>53490.866999999998</v>
      </c>
      <c r="H428" s="3">
        <v>3215.9100000000021</v>
      </c>
      <c r="I428" s="3">
        <v>3275.8322499999999</v>
      </c>
      <c r="J428" s="3">
        <v>21665.256000000001</v>
      </c>
      <c r="K428" s="3">
        <v>34421.55233333334</v>
      </c>
      <c r="L428" s="3">
        <v>5351.0936666666657</v>
      </c>
      <c r="M428" s="3">
        <v>8225.9606666666659</v>
      </c>
      <c r="N428" s="3">
        <v>21292.994999999995</v>
      </c>
      <c r="O428" s="3">
        <v>12817.183333333329</v>
      </c>
      <c r="P428" s="3">
        <v>7350.0559999999996</v>
      </c>
      <c r="Q428" s="3">
        <v>35821.914000000012</v>
      </c>
      <c r="R428" s="3">
        <v>506.46200000000016</v>
      </c>
    </row>
    <row r="429" spans="1:21">
      <c r="A429" s="2">
        <v>45778</v>
      </c>
      <c r="B429" s="3">
        <v>1648.3187096774193</v>
      </c>
      <c r="C429" s="3">
        <v>2241469.5648387098</v>
      </c>
      <c r="D429" s="3">
        <v>137258.42870967745</v>
      </c>
      <c r="E429" s="3">
        <v>8260.8864516129033</v>
      </c>
      <c r="F429" s="3">
        <v>491.60741935483861</v>
      </c>
      <c r="G429" s="3">
        <v>57536.454193548394</v>
      </c>
      <c r="H429" s="3">
        <v>3215.9100000000021</v>
      </c>
      <c r="I429" s="3">
        <v>3345.4843354838713</v>
      </c>
      <c r="J429" s="3">
        <v>23158.844193548386</v>
      </c>
      <c r="K429" s="3">
        <v>37417.15967741936</v>
      </c>
      <c r="L429" s="3">
        <v>5805.1412903225828</v>
      </c>
      <c r="M429" s="3">
        <v>8656.7290322580629</v>
      </c>
      <c r="N429" s="3">
        <v>23620.956129032253</v>
      </c>
      <c r="O429" s="3">
        <v>13870.770967741932</v>
      </c>
      <c r="P429" s="3">
        <v>7789.9241935483888</v>
      </c>
      <c r="Q429" s="3">
        <v>39615.934838709662</v>
      </c>
      <c r="R429" s="3">
        <v>543.94354838709671</v>
      </c>
    </row>
    <row r="430" spans="1:21">
      <c r="A430" s="2">
        <v>45809</v>
      </c>
      <c r="B430" s="3">
        <v>1650.6159999999995</v>
      </c>
      <c r="C430" s="3">
        <v>2107189.4189999993</v>
      </c>
      <c r="D430" s="3">
        <v>137150.99533333335</v>
      </c>
      <c r="E430" s="3">
        <v>8156.3063333333321</v>
      </c>
      <c r="F430" s="3">
        <v>490.34799999999996</v>
      </c>
      <c r="G430" s="3">
        <v>57287.624999999985</v>
      </c>
      <c r="H430" s="3">
        <v>3215.9100000000021</v>
      </c>
      <c r="I430" s="3">
        <v>3390.8097499999999</v>
      </c>
      <c r="J430" s="3">
        <v>23883.177000000003</v>
      </c>
      <c r="K430" s="3">
        <v>38461.62566666666</v>
      </c>
      <c r="L430" s="3">
        <v>6024.2690000000002</v>
      </c>
      <c r="M430" s="3">
        <v>8808.1260000000002</v>
      </c>
      <c r="N430" s="3">
        <v>23786.407666666659</v>
      </c>
      <c r="O430" s="3">
        <v>14020.02</v>
      </c>
      <c r="P430" s="3">
        <v>7695.5813333333326</v>
      </c>
      <c r="Q430" s="3">
        <v>39763.392666666659</v>
      </c>
      <c r="R430" s="3">
        <v>544.97300000000007</v>
      </c>
    </row>
    <row r="431" spans="1:21">
      <c r="A431" s="2">
        <v>45839</v>
      </c>
      <c r="B431" s="3">
        <v>1710.4435483870973</v>
      </c>
      <c r="C431" s="3">
        <v>2105627.7812903225</v>
      </c>
      <c r="D431" s="3">
        <v>136017.21161290328</v>
      </c>
      <c r="E431" s="3">
        <v>8211.7941935483886</v>
      </c>
      <c r="F431" s="3">
        <v>491.14000000000016</v>
      </c>
      <c r="G431" s="3">
        <v>57007.266451612893</v>
      </c>
      <c r="H431" s="3">
        <v>3215.9100000000021</v>
      </c>
      <c r="I431" s="3">
        <v>3530.6589870967732</v>
      </c>
      <c r="J431" s="3">
        <v>24622.759677419352</v>
      </c>
      <c r="K431" s="3">
        <v>40159.283870967745</v>
      </c>
      <c r="L431" s="3">
        <v>6298.4312903225809</v>
      </c>
      <c r="M431" s="3">
        <v>8970.1848387096743</v>
      </c>
      <c r="N431" s="3">
        <v>24139.899999999998</v>
      </c>
      <c r="O431" s="3">
        <v>14094.33870967742</v>
      </c>
      <c r="P431" s="3">
        <v>7793.4470967741918</v>
      </c>
      <c r="Q431" s="3">
        <v>40295.826129032263</v>
      </c>
      <c r="R431" s="3">
        <v>546.53387096774202</v>
      </c>
    </row>
    <row r="432" spans="1:21">
      <c r="A432" s="2">
        <v>45870</v>
      </c>
      <c r="B432" s="3">
        <v>1823.3454838709672</v>
      </c>
      <c r="C432" s="3">
        <v>2179680.135806452</v>
      </c>
      <c r="D432" s="3">
        <v>136548.25483870966</v>
      </c>
      <c r="E432" s="3">
        <v>8634.9103225806484</v>
      </c>
      <c r="F432" s="3">
        <v>505.75548387096768</v>
      </c>
      <c r="G432" s="3">
        <v>58211.822903225802</v>
      </c>
      <c r="H432" s="3">
        <v>3215.9100000000021</v>
      </c>
      <c r="I432" s="3">
        <v>3717.8408451612904</v>
      </c>
      <c r="J432" s="3">
        <v>25094.316451612907</v>
      </c>
      <c r="K432" s="3">
        <v>42274.770322580647</v>
      </c>
      <c r="L432" s="3">
        <v>6406.3483870967748</v>
      </c>
      <c r="M432" s="3">
        <v>9180.5087096774205</v>
      </c>
      <c r="N432" s="3">
        <v>24091.948064516127</v>
      </c>
      <c r="O432" s="3">
        <v>14944.354838709676</v>
      </c>
      <c r="P432" s="3">
        <v>7781.1961290322579</v>
      </c>
      <c r="Q432" s="3">
        <v>42051.764838709671</v>
      </c>
      <c r="R432" s="3">
        <v>550.43645161290306</v>
      </c>
    </row>
    <row r="433" spans="1:18">
      <c r="A433" s="2">
        <v>45901</v>
      </c>
      <c r="B433" s="3">
        <v>1856.6996666666662</v>
      </c>
      <c r="C433" s="3">
        <v>1814976.7046666665</v>
      </c>
      <c r="D433" s="3">
        <v>143822.07866666667</v>
      </c>
      <c r="E433" s="3">
        <v>9053.2733333333344</v>
      </c>
      <c r="F433" s="3">
        <v>527.65333333333331</v>
      </c>
      <c r="G433" s="3">
        <v>61324.523333333345</v>
      </c>
      <c r="H433" s="3">
        <v>3215.9100000000021</v>
      </c>
      <c r="I433" s="3">
        <v>3838.7237500000006</v>
      </c>
      <c r="J433" s="3">
        <v>26137.873</v>
      </c>
      <c r="K433" s="3">
        <v>44366.928666666667</v>
      </c>
      <c r="L433" s="3">
        <v>6582.4113333333344</v>
      </c>
      <c r="M433" s="3">
        <v>9238.2559999999994</v>
      </c>
      <c r="N433" s="3">
        <v>23661.720333333327</v>
      </c>
      <c r="O433" s="3">
        <v>15148.93666666667</v>
      </c>
      <c r="P433" s="3">
        <v>7799.375666666665</v>
      </c>
      <c r="Q433" s="3">
        <v>42273.375333333337</v>
      </c>
      <c r="R433" s="3">
        <v>552.7113333333333</v>
      </c>
    </row>
    <row r="434" spans="1:18">
      <c r="A434" s="2">
        <v>45931</v>
      </c>
      <c r="B434" s="3">
        <v>1905.9532258064517</v>
      </c>
      <c r="C434" s="3">
        <v>2059403.8954838705</v>
      </c>
      <c r="D434" s="3">
        <v>144208.07774193547</v>
      </c>
      <c r="E434" s="3">
        <v>9032.2900000000009</v>
      </c>
      <c r="F434" s="3">
        <v>536.62806451612914</v>
      </c>
      <c r="G434" s="3">
        <v>61540.408709677431</v>
      </c>
      <c r="H434" s="3">
        <v>3215.9100000000021</v>
      </c>
      <c r="I434" s="3">
        <v>3909.684761290323</v>
      </c>
      <c r="J434" s="3">
        <v>26265.713870967738</v>
      </c>
      <c r="K434" s="3">
        <v>48291.372258064519</v>
      </c>
      <c r="L434" s="3">
        <v>6721.5777419354827</v>
      </c>
      <c r="M434" s="3">
        <v>9513.4354838709678</v>
      </c>
      <c r="N434" s="3">
        <v>24238.614193548394</v>
      </c>
      <c r="O434" s="3">
        <v>15702.512903225801</v>
      </c>
      <c r="P434" s="3">
        <v>8103.930967741936</v>
      </c>
      <c r="Q434" s="3">
        <v>42616.731935483876</v>
      </c>
      <c r="R434" s="3">
        <v>570.46096774193552</v>
      </c>
    </row>
    <row r="435" spans="1:18">
      <c r="A435" s="2">
        <v>45962</v>
      </c>
      <c r="B435" s="3">
        <v>2045.7303571428572</v>
      </c>
      <c r="C435" s="3">
        <v>2931439.0896428572</v>
      </c>
      <c r="D435" s="3">
        <v>155183.18392857144</v>
      </c>
      <c r="E435" s="3">
        <v>9712.9021428571396</v>
      </c>
      <c r="F435" s="3">
        <v>549.47535714285709</v>
      </c>
      <c r="G435" s="3">
        <v>62691.831071428584</v>
      </c>
      <c r="H435" s="3">
        <v>3215.9100000000021</v>
      </c>
      <c r="I435" s="3">
        <v>3945.2705749999996</v>
      </c>
      <c r="J435" s="3">
        <v>26111.214642857147</v>
      </c>
      <c r="K435" s="3">
        <v>50229.191071428555</v>
      </c>
      <c r="L435" s="3">
        <v>6738.0414285714278</v>
      </c>
      <c r="M435" s="3">
        <v>9680.1692857142825</v>
      </c>
      <c r="N435" s="3">
        <v>23682.705357142859</v>
      </c>
      <c r="O435" s="3">
        <v>16121.717857142856</v>
      </c>
      <c r="P435" s="3">
        <v>8063.5199999999977</v>
      </c>
      <c r="Q435" s="3">
        <v>43315.246071428577</v>
      </c>
      <c r="R435" s="3">
        <v>570.13142857142861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3F0A2-EAD1-4346-8D0A-212D5829C4F6}">
  <dimension ref="A1:S433"/>
  <sheetViews>
    <sheetView showGridLines="0" workbookViewId="0">
      <pane xSplit="1" ySplit="4" topLeftCell="B408" activePane="bottomRight" state="frozen"/>
      <selection activeCell="G394" sqref="G394"/>
      <selection pane="topRight" activeCell="G394" sqref="G394"/>
      <selection pane="bottomLeft" activeCell="G394" sqref="G394"/>
      <selection pane="bottomRight" activeCell="C428" sqref="C428"/>
    </sheetView>
  </sheetViews>
  <sheetFormatPr baseColWidth="10" defaultRowHeight="14.5"/>
  <cols>
    <col min="1" max="1" width="8.453125" customWidth="1"/>
    <col min="2" max="2" width="12.6328125" customWidth="1"/>
  </cols>
  <sheetData>
    <row r="1" spans="1:19">
      <c r="A1" t="s">
        <v>19</v>
      </c>
      <c r="B1" s="7" t="s">
        <v>21</v>
      </c>
      <c r="J1" s="6"/>
    </row>
    <row r="2" spans="1:19">
      <c r="A2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  <c r="P2" s="1">
        <v>16</v>
      </c>
      <c r="Q2" s="1">
        <v>17</v>
      </c>
      <c r="R2" s="1">
        <v>18</v>
      </c>
      <c r="S2" s="1">
        <v>19</v>
      </c>
    </row>
    <row r="3" spans="1:19">
      <c r="A3" s="5"/>
      <c r="B3" t="s">
        <v>22</v>
      </c>
      <c r="C3" t="s">
        <v>23</v>
      </c>
      <c r="E3" t="s">
        <v>24</v>
      </c>
      <c r="G3" t="s">
        <v>25</v>
      </c>
      <c r="J3" t="s">
        <v>26</v>
      </c>
      <c r="K3" t="s">
        <v>27</v>
      </c>
      <c r="M3" t="s">
        <v>28</v>
      </c>
      <c r="O3" t="s">
        <v>29</v>
      </c>
      <c r="P3" t="s">
        <v>30</v>
      </c>
      <c r="Q3" t="s">
        <v>31</v>
      </c>
      <c r="R3" t="s">
        <v>32</v>
      </c>
      <c r="S3" t="s">
        <v>33</v>
      </c>
    </row>
    <row r="4" spans="1:19">
      <c r="A4" s="8" t="s">
        <v>17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41</v>
      </c>
      <c r="J4" t="s">
        <v>42</v>
      </c>
      <c r="K4" t="s">
        <v>43</v>
      </c>
      <c r="L4" t="s">
        <v>44</v>
      </c>
      <c r="M4" t="s">
        <v>45</v>
      </c>
      <c r="N4" t="s">
        <v>46</v>
      </c>
      <c r="O4" t="s">
        <v>47</v>
      </c>
      <c r="P4" t="s">
        <v>48</v>
      </c>
      <c r="Q4" t="s">
        <v>49</v>
      </c>
      <c r="R4" t="s">
        <v>50</v>
      </c>
      <c r="S4" t="s">
        <v>51</v>
      </c>
    </row>
    <row r="5" spans="1:19">
      <c r="A5" s="9">
        <v>32874</v>
      </c>
      <c r="B5" s="21"/>
      <c r="C5" s="21"/>
      <c r="D5" s="21"/>
      <c r="E5" s="21"/>
      <c r="F5" s="21"/>
      <c r="G5" s="21">
        <v>50.350288799259097</v>
      </c>
      <c r="H5" s="21"/>
      <c r="I5" s="21"/>
      <c r="J5" s="21">
        <v>72.92294749833178</v>
      </c>
      <c r="K5" s="21"/>
      <c r="L5" s="21"/>
      <c r="M5" s="21">
        <v>33.097763536357377</v>
      </c>
      <c r="N5" s="21"/>
      <c r="O5" s="21"/>
      <c r="P5" s="21"/>
      <c r="Q5" s="21"/>
      <c r="R5" s="21"/>
      <c r="S5" s="21">
        <v>51.172528469484845</v>
      </c>
    </row>
    <row r="6" spans="1:19">
      <c r="A6" s="9">
        <f>EDATE(A5,1)</f>
        <v>32905</v>
      </c>
      <c r="B6" s="21"/>
      <c r="C6" s="21"/>
      <c r="D6" s="21"/>
      <c r="E6" s="21"/>
      <c r="F6" s="21"/>
      <c r="G6" s="21">
        <v>51.117834373302166</v>
      </c>
      <c r="H6" s="21"/>
      <c r="I6" s="21"/>
      <c r="J6" s="21">
        <v>73.517506174832803</v>
      </c>
      <c r="K6" s="21"/>
      <c r="L6" s="21"/>
      <c r="M6" s="21">
        <v>33.701145702430232</v>
      </c>
      <c r="N6" s="21"/>
      <c r="O6" s="21"/>
      <c r="P6" s="21"/>
      <c r="Q6" s="21"/>
      <c r="R6" s="21"/>
      <c r="S6" s="21">
        <v>51.172528469484845</v>
      </c>
    </row>
    <row r="7" spans="1:19">
      <c r="A7" s="9">
        <f t="shared" ref="A7:A70" si="0">EDATE(A6,1)</f>
        <v>32933</v>
      </c>
      <c r="B7" s="21"/>
      <c r="C7" s="21"/>
      <c r="D7" s="21"/>
      <c r="E7" s="21"/>
      <c r="F7" s="21"/>
      <c r="G7" s="21">
        <v>55.749862182518541</v>
      </c>
      <c r="H7" s="21"/>
      <c r="I7" s="21"/>
      <c r="J7" s="21">
        <v>74.241923553130874</v>
      </c>
      <c r="K7" s="21"/>
      <c r="L7" s="21"/>
      <c r="M7" s="21">
        <v>31.811295202799091</v>
      </c>
      <c r="N7" s="21"/>
      <c r="O7" s="21"/>
      <c r="P7" s="21"/>
      <c r="Q7" s="21"/>
      <c r="R7" s="21"/>
      <c r="S7" s="21">
        <v>51.172528469484845</v>
      </c>
    </row>
    <row r="8" spans="1:19">
      <c r="A8" s="9">
        <f t="shared" si="0"/>
        <v>32964</v>
      </c>
      <c r="B8" s="21"/>
      <c r="C8" s="21"/>
      <c r="D8" s="21"/>
      <c r="E8" s="21"/>
      <c r="F8" s="21"/>
      <c r="G8" s="21">
        <v>57.600807889526934</v>
      </c>
      <c r="H8" s="21"/>
      <c r="I8" s="21"/>
      <c r="J8" s="21">
        <v>76.095284242334401</v>
      </c>
      <c r="K8" s="21"/>
      <c r="L8" s="21"/>
      <c r="M8" s="21">
        <v>30.422052938323795</v>
      </c>
      <c r="N8" s="21"/>
      <c r="O8" s="21"/>
      <c r="P8" s="21"/>
      <c r="Q8" s="21"/>
      <c r="R8" s="21"/>
      <c r="S8" s="21">
        <v>51.172528469484845</v>
      </c>
    </row>
    <row r="9" spans="1:19">
      <c r="A9" s="9">
        <f t="shared" si="0"/>
        <v>32994</v>
      </c>
      <c r="B9" s="21"/>
      <c r="C9" s="21"/>
      <c r="D9" s="21"/>
      <c r="E9" s="21"/>
      <c r="F9" s="21"/>
      <c r="G9" s="21">
        <v>57.177568615695435</v>
      </c>
      <c r="H9" s="21"/>
      <c r="I9" s="21"/>
      <c r="J9" s="21">
        <v>75.491770935938447</v>
      </c>
      <c r="K9" s="21"/>
      <c r="L9" s="21"/>
      <c r="M9" s="21">
        <v>30.077283096900249</v>
      </c>
      <c r="N9" s="21"/>
      <c r="O9" s="21"/>
      <c r="P9" s="21"/>
      <c r="Q9" s="21"/>
      <c r="R9" s="21"/>
      <c r="S9" s="21">
        <v>54.120417413380018</v>
      </c>
    </row>
    <row r="10" spans="1:19">
      <c r="A10" s="9">
        <f t="shared" si="0"/>
        <v>33025</v>
      </c>
      <c r="B10" s="21"/>
      <c r="C10" s="21"/>
      <c r="D10" s="21"/>
      <c r="E10" s="21"/>
      <c r="F10" s="21"/>
      <c r="G10" s="21">
        <v>54.257810883582273</v>
      </c>
      <c r="H10" s="21"/>
      <c r="I10" s="21"/>
      <c r="J10" s="21">
        <v>75.635124736078495</v>
      </c>
      <c r="K10" s="21"/>
      <c r="L10" s="21"/>
      <c r="M10" s="21">
        <v>28.805239315948928</v>
      </c>
      <c r="N10" s="21"/>
      <c r="O10" s="21"/>
      <c r="P10" s="21"/>
      <c r="Q10" s="21"/>
      <c r="R10" s="21"/>
      <c r="S10" s="21">
        <v>55.284676533308982</v>
      </c>
    </row>
    <row r="11" spans="1:19">
      <c r="A11" s="9">
        <f t="shared" si="0"/>
        <v>33055</v>
      </c>
      <c r="B11" s="21"/>
      <c r="C11" s="21"/>
      <c r="D11" s="21"/>
      <c r="E11" s="21"/>
      <c r="F11" s="21"/>
      <c r="G11" s="21">
        <v>54.00662817028541</v>
      </c>
      <c r="H11" s="21"/>
      <c r="I11" s="21"/>
      <c r="J11" s="21">
        <v>76.307111859735613</v>
      </c>
      <c r="K11" s="21"/>
      <c r="L11" s="21"/>
      <c r="M11" s="21">
        <v>29.489651661417994</v>
      </c>
      <c r="N11" s="21"/>
      <c r="O11" s="21"/>
      <c r="P11" s="21"/>
      <c r="Q11" s="21"/>
      <c r="R11" s="21"/>
      <c r="S11" s="21">
        <v>55.284676533308982</v>
      </c>
    </row>
    <row r="12" spans="1:19">
      <c r="A12" s="9">
        <f t="shared" si="0"/>
        <v>33086</v>
      </c>
      <c r="B12" s="21"/>
      <c r="C12" s="21"/>
      <c r="D12" s="21"/>
      <c r="E12" s="21"/>
      <c r="F12" s="21"/>
      <c r="G12" s="21">
        <v>55.768023599358422</v>
      </c>
      <c r="H12" s="21"/>
      <c r="I12" s="21"/>
      <c r="J12" s="21">
        <v>73.935478484600154</v>
      </c>
      <c r="K12" s="21"/>
      <c r="L12" s="21"/>
      <c r="M12" s="21">
        <v>31.843394727020481</v>
      </c>
      <c r="N12" s="21"/>
      <c r="O12" s="21"/>
      <c r="P12" s="21"/>
      <c r="Q12" s="21"/>
      <c r="R12" s="21"/>
      <c r="S12" s="21">
        <v>55.284676533308982</v>
      </c>
    </row>
    <row r="13" spans="1:19">
      <c r="A13" s="9">
        <f t="shared" si="0"/>
        <v>33117</v>
      </c>
      <c r="B13" s="21"/>
      <c r="C13" s="21"/>
      <c r="D13" s="21"/>
      <c r="E13" s="21"/>
      <c r="F13" s="21"/>
      <c r="G13" s="21">
        <v>57.742933807349694</v>
      </c>
      <c r="H13" s="21"/>
      <c r="I13" s="21"/>
      <c r="J13" s="21">
        <v>73.26877431668143</v>
      </c>
      <c r="K13" s="21"/>
      <c r="L13" s="21"/>
      <c r="M13" s="21">
        <v>31.271277496444252</v>
      </c>
      <c r="N13" s="21"/>
      <c r="O13" s="21"/>
      <c r="P13" s="21"/>
      <c r="Q13" s="21"/>
      <c r="R13" s="21"/>
      <c r="S13" s="21">
        <v>55.284676533308982</v>
      </c>
    </row>
    <row r="14" spans="1:19">
      <c r="A14" s="9">
        <f t="shared" si="0"/>
        <v>33147</v>
      </c>
      <c r="B14" s="21"/>
      <c r="C14" s="21"/>
      <c r="D14" s="21"/>
      <c r="E14" s="21"/>
      <c r="F14" s="21"/>
      <c r="G14" s="21">
        <v>57.957400649749147</v>
      </c>
      <c r="H14" s="21"/>
      <c r="I14" s="21"/>
      <c r="J14" s="21">
        <v>73.21705323124101</v>
      </c>
      <c r="K14" s="21"/>
      <c r="L14" s="21"/>
      <c r="M14" s="21">
        <v>30.334662336144067</v>
      </c>
      <c r="N14" s="21"/>
      <c r="O14" s="21"/>
      <c r="P14" s="21"/>
      <c r="Q14" s="21"/>
      <c r="R14" s="21"/>
      <c r="S14" s="21">
        <v>55.284676533308982</v>
      </c>
    </row>
    <row r="15" spans="1:19">
      <c r="A15" s="9">
        <f t="shared" si="0"/>
        <v>33178</v>
      </c>
      <c r="B15" s="21"/>
      <c r="C15" s="21"/>
      <c r="D15" s="21"/>
      <c r="E15" s="21"/>
      <c r="F15" s="21"/>
      <c r="G15" s="21">
        <v>56.909899464872488</v>
      </c>
      <c r="H15" s="21"/>
      <c r="I15" s="21"/>
      <c r="J15" s="21">
        <v>73.090080610778031</v>
      </c>
      <c r="K15" s="21"/>
      <c r="L15" s="21"/>
      <c r="M15" s="21">
        <v>30.300169766363776</v>
      </c>
      <c r="N15" s="21"/>
      <c r="O15" s="21"/>
      <c r="P15" s="21"/>
      <c r="Q15" s="21"/>
      <c r="R15" s="21"/>
      <c r="S15" s="21">
        <v>55.284676533308982</v>
      </c>
    </row>
    <row r="16" spans="1:19">
      <c r="A16" s="9">
        <f t="shared" si="0"/>
        <v>33208</v>
      </c>
      <c r="B16" s="21"/>
      <c r="C16" s="21"/>
      <c r="D16" s="21"/>
      <c r="E16" s="21"/>
      <c r="F16" s="21"/>
      <c r="G16" s="21">
        <v>57.180144340430338</v>
      </c>
      <c r="H16" s="21"/>
      <c r="I16" s="21"/>
      <c r="J16" s="21">
        <v>72.720280711655022</v>
      </c>
      <c r="K16" s="21"/>
      <c r="L16" s="21"/>
      <c r="M16" s="21">
        <v>29.881488947815516</v>
      </c>
      <c r="N16" s="21"/>
      <c r="O16" s="21"/>
      <c r="P16" s="21"/>
      <c r="Q16" s="21"/>
      <c r="R16" s="21"/>
      <c r="S16" s="21">
        <v>55.284676533308982</v>
      </c>
    </row>
    <row r="17" spans="1:19">
      <c r="A17" s="9">
        <f t="shared" si="0"/>
        <v>33239</v>
      </c>
      <c r="B17" s="21"/>
      <c r="C17" s="21"/>
      <c r="D17" s="21"/>
      <c r="E17" s="21"/>
      <c r="F17" s="21"/>
      <c r="G17" s="21">
        <v>55.380374646799574</v>
      </c>
      <c r="H17" s="21"/>
      <c r="I17" s="21"/>
      <c r="J17" s="21">
        <v>71.305672315283715</v>
      </c>
      <c r="K17" s="21"/>
      <c r="L17" s="21"/>
      <c r="M17" s="21">
        <v>30.309906615589323</v>
      </c>
      <c r="N17" s="21"/>
      <c r="O17" s="21"/>
      <c r="P17" s="21"/>
      <c r="Q17" s="21">
        <v>51.50744034375267</v>
      </c>
      <c r="R17" s="21"/>
      <c r="S17" s="21">
        <v>55.284676533308982</v>
      </c>
    </row>
    <row r="18" spans="1:19">
      <c r="A18" s="9">
        <f t="shared" si="0"/>
        <v>33270</v>
      </c>
      <c r="B18" s="21"/>
      <c r="C18" s="21"/>
      <c r="D18" s="21"/>
      <c r="E18" s="21"/>
      <c r="F18" s="21"/>
      <c r="G18" s="21">
        <v>54.070644539736463</v>
      </c>
      <c r="H18" s="21"/>
      <c r="I18" s="21"/>
      <c r="J18" s="21">
        <v>72.54447109438577</v>
      </c>
      <c r="K18" s="21"/>
      <c r="L18" s="21"/>
      <c r="M18" s="21">
        <v>28.754326474117011</v>
      </c>
      <c r="N18" s="21"/>
      <c r="O18" s="21"/>
      <c r="P18" s="21"/>
      <c r="Q18" s="21">
        <v>40.37155169985315</v>
      </c>
      <c r="R18" s="21"/>
      <c r="S18" s="21">
        <v>55.284676533308982</v>
      </c>
    </row>
    <row r="19" spans="1:19">
      <c r="A19" s="9">
        <f t="shared" si="0"/>
        <v>33298</v>
      </c>
      <c r="B19" s="21"/>
      <c r="C19" s="21"/>
      <c r="D19" s="21"/>
      <c r="E19" s="21"/>
      <c r="F19" s="21"/>
      <c r="G19" s="21">
        <v>54.212555289218898</v>
      </c>
      <c r="H19" s="21"/>
      <c r="I19" s="21"/>
      <c r="J19" s="21">
        <v>71.120067238801212</v>
      </c>
      <c r="K19" s="21"/>
      <c r="L19" s="21"/>
      <c r="M19" s="21">
        <v>28.768994515679079</v>
      </c>
      <c r="N19" s="21"/>
      <c r="O19" s="21"/>
      <c r="P19" s="21"/>
      <c r="Q19" s="21">
        <v>42.103298515584974</v>
      </c>
      <c r="R19" s="21"/>
      <c r="S19" s="21">
        <v>52.242706363864571</v>
      </c>
    </row>
    <row r="20" spans="1:19">
      <c r="A20" s="9">
        <f t="shared" si="0"/>
        <v>33329</v>
      </c>
      <c r="B20" s="21"/>
      <c r="C20" s="21"/>
      <c r="D20" s="21"/>
      <c r="E20" s="21"/>
      <c r="F20" s="21"/>
      <c r="G20" s="21">
        <v>53.303556630694302</v>
      </c>
      <c r="H20" s="21"/>
      <c r="I20" s="21"/>
      <c r="J20" s="21">
        <v>71.9606543237024</v>
      </c>
      <c r="K20" s="21"/>
      <c r="L20" s="21"/>
      <c r="M20" s="21">
        <v>28.497437653789152</v>
      </c>
      <c r="N20" s="21"/>
      <c r="O20" s="21"/>
      <c r="P20" s="21"/>
      <c r="Q20" s="21">
        <v>43.902024397735453</v>
      </c>
      <c r="R20" s="21"/>
      <c r="S20" s="21">
        <v>52.242706363864571</v>
      </c>
    </row>
    <row r="21" spans="1:19">
      <c r="A21" s="9">
        <f t="shared" si="0"/>
        <v>33359</v>
      </c>
      <c r="B21" s="21"/>
      <c r="C21" s="21"/>
      <c r="D21" s="21"/>
      <c r="E21" s="21"/>
      <c r="F21" s="21"/>
      <c r="G21" s="21">
        <v>49.882004918942812</v>
      </c>
      <c r="H21" s="21"/>
      <c r="I21" s="21"/>
      <c r="J21" s="21">
        <v>72.888600321041153</v>
      </c>
      <c r="K21" s="21"/>
      <c r="L21" s="21"/>
      <c r="M21" s="21">
        <v>28.391203916796801</v>
      </c>
      <c r="N21" s="21"/>
      <c r="O21" s="21"/>
      <c r="P21" s="21"/>
      <c r="Q21" s="21">
        <v>44.890130646567592</v>
      </c>
      <c r="R21" s="21"/>
      <c r="S21" s="21">
        <v>52.242706363864571</v>
      </c>
    </row>
    <row r="22" spans="1:19">
      <c r="A22" s="9">
        <f t="shared" si="0"/>
        <v>33390</v>
      </c>
      <c r="B22" s="21"/>
      <c r="C22" s="21"/>
      <c r="D22" s="21"/>
      <c r="E22" s="21"/>
      <c r="F22" s="21"/>
      <c r="G22" s="21">
        <v>48.54183389354673</v>
      </c>
      <c r="H22" s="21"/>
      <c r="I22" s="21"/>
      <c r="J22" s="21">
        <v>74.102694950707715</v>
      </c>
      <c r="K22" s="21"/>
      <c r="L22" s="21"/>
      <c r="M22" s="21">
        <v>29.163260010832662</v>
      </c>
      <c r="N22" s="21"/>
      <c r="O22" s="21"/>
      <c r="P22" s="21"/>
      <c r="Q22" s="21">
        <v>43.582340859215414</v>
      </c>
      <c r="R22" s="21"/>
      <c r="S22" s="21">
        <v>52.242706363864571</v>
      </c>
    </row>
    <row r="23" spans="1:19">
      <c r="A23" s="9">
        <f t="shared" si="0"/>
        <v>33420</v>
      </c>
      <c r="B23" s="21"/>
      <c r="C23" s="21"/>
      <c r="D23" s="21"/>
      <c r="E23" s="21"/>
      <c r="F23" s="21"/>
      <c r="G23" s="21">
        <v>46.995307266449238</v>
      </c>
      <c r="H23" s="21"/>
      <c r="I23" s="21"/>
      <c r="J23" s="21">
        <v>72.328430061991753</v>
      </c>
      <c r="K23" s="21"/>
      <c r="L23" s="21"/>
      <c r="M23" s="21">
        <v>29.199029403058045</v>
      </c>
      <c r="N23" s="21"/>
      <c r="O23" s="21"/>
      <c r="P23" s="21"/>
      <c r="Q23" s="21">
        <v>46.184280424409671</v>
      </c>
      <c r="R23" s="21"/>
      <c r="S23" s="21">
        <v>52.242706363864571</v>
      </c>
    </row>
    <row r="24" spans="1:19">
      <c r="A24" s="9">
        <f t="shared" si="0"/>
        <v>33451</v>
      </c>
      <c r="B24" s="21"/>
      <c r="C24" s="21"/>
      <c r="D24" s="21"/>
      <c r="E24" s="21"/>
      <c r="F24" s="21"/>
      <c r="G24" s="21">
        <v>48.455007053382872</v>
      </c>
      <c r="H24" s="21"/>
      <c r="I24" s="21"/>
      <c r="J24" s="21">
        <v>71.086458055897552</v>
      </c>
      <c r="K24" s="21"/>
      <c r="L24" s="21"/>
      <c r="M24" s="21">
        <v>28.122251634741549</v>
      </c>
      <c r="N24" s="21"/>
      <c r="O24" s="21"/>
      <c r="P24" s="21"/>
      <c r="Q24" s="21">
        <v>46.487023619936757</v>
      </c>
      <c r="R24" s="21"/>
      <c r="S24" s="21">
        <v>52.242706363864571</v>
      </c>
    </row>
    <row r="25" spans="1:19">
      <c r="A25" s="9">
        <f t="shared" si="0"/>
        <v>33482</v>
      </c>
      <c r="B25" s="21"/>
      <c r="C25" s="21"/>
      <c r="D25" s="21"/>
      <c r="E25" s="21"/>
      <c r="F25" s="21"/>
      <c r="G25" s="21">
        <v>51.803704857795886</v>
      </c>
      <c r="H25" s="21"/>
      <c r="I25" s="21"/>
      <c r="J25" s="21">
        <v>71.545135600107258</v>
      </c>
      <c r="K25" s="21"/>
      <c r="L25" s="21"/>
      <c r="M25" s="21">
        <v>27.598747574833222</v>
      </c>
      <c r="N25" s="21"/>
      <c r="O25" s="21"/>
      <c r="P25" s="21"/>
      <c r="Q25" s="21">
        <v>47.581358223287673</v>
      </c>
      <c r="R25" s="21"/>
      <c r="S25" s="21">
        <v>52.242706363864571</v>
      </c>
    </row>
    <row r="26" spans="1:19">
      <c r="A26" s="9">
        <f t="shared" si="0"/>
        <v>33512</v>
      </c>
      <c r="B26" s="21"/>
      <c r="C26" s="21"/>
      <c r="D26" s="21"/>
      <c r="E26" s="21"/>
      <c r="F26" s="21"/>
      <c r="G26" s="21">
        <v>50.775504817472928</v>
      </c>
      <c r="H26" s="21"/>
      <c r="I26" s="21"/>
      <c r="J26" s="21">
        <v>70.138412579685195</v>
      </c>
      <c r="K26" s="21"/>
      <c r="L26" s="21"/>
      <c r="M26" s="21">
        <v>28.39853839105276</v>
      </c>
      <c r="N26" s="21"/>
      <c r="O26" s="21"/>
      <c r="P26" s="21"/>
      <c r="Q26" s="21">
        <v>50.506464390939023</v>
      </c>
      <c r="R26" s="21"/>
      <c r="S26" s="21">
        <v>52.242706363864571</v>
      </c>
    </row>
    <row r="27" spans="1:19">
      <c r="A27" s="9">
        <f t="shared" si="0"/>
        <v>33543</v>
      </c>
      <c r="B27" s="21"/>
      <c r="C27" s="21"/>
      <c r="D27" s="21"/>
      <c r="E27" s="21"/>
      <c r="F27" s="21"/>
      <c r="G27" s="21">
        <v>52.50476595063067</v>
      </c>
      <c r="H27" s="21"/>
      <c r="I27" s="21"/>
      <c r="J27" s="21">
        <v>68.874159027405312</v>
      </c>
      <c r="K27" s="21"/>
      <c r="L27" s="21"/>
      <c r="M27" s="21">
        <v>28.448638914108514</v>
      </c>
      <c r="N27" s="21"/>
      <c r="O27" s="21"/>
      <c r="P27" s="21"/>
      <c r="Q27" s="21">
        <v>47.779849407015433</v>
      </c>
      <c r="R27" s="21"/>
      <c r="S27" s="21">
        <v>52.242706363864571</v>
      </c>
    </row>
    <row r="28" spans="1:19">
      <c r="A28" s="9">
        <f t="shared" si="0"/>
        <v>33573</v>
      </c>
      <c r="B28" s="21"/>
      <c r="C28" s="21"/>
      <c r="D28" s="21"/>
      <c r="E28" s="21"/>
      <c r="F28" s="21"/>
      <c r="G28" s="21">
        <v>52.267110864483477</v>
      </c>
      <c r="H28" s="21"/>
      <c r="I28" s="21"/>
      <c r="J28" s="21">
        <v>68.807437871929949</v>
      </c>
      <c r="K28" s="21"/>
      <c r="L28" s="21"/>
      <c r="M28" s="21">
        <v>28.486246544217313</v>
      </c>
      <c r="N28" s="21"/>
      <c r="O28" s="21"/>
      <c r="P28" s="21"/>
      <c r="Q28" s="21">
        <v>40.241216101881008</v>
      </c>
      <c r="R28" s="21"/>
      <c r="S28" s="21">
        <v>52.242706363864571</v>
      </c>
    </row>
    <row r="29" spans="1:19">
      <c r="A29" s="9">
        <f t="shared" si="0"/>
        <v>33604</v>
      </c>
      <c r="B29" s="21"/>
      <c r="C29" s="21"/>
      <c r="D29" s="21"/>
      <c r="E29" s="21">
        <v>57.083500387679905</v>
      </c>
      <c r="F29" s="21">
        <v>57.735817267767665</v>
      </c>
      <c r="G29" s="21">
        <v>49.373771403271881</v>
      </c>
      <c r="H29" s="21">
        <v>52.72388320350052</v>
      </c>
      <c r="I29" s="21">
        <v>58.39327510381576</v>
      </c>
      <c r="J29" s="21">
        <v>67.253551987573388</v>
      </c>
      <c r="K29" s="21">
        <v>37.324285380803893</v>
      </c>
      <c r="L29" s="21">
        <v>46.948672994708289</v>
      </c>
      <c r="M29" s="21">
        <v>28.019392476996295</v>
      </c>
      <c r="N29" s="21">
        <v>44.529298950694276</v>
      </c>
      <c r="O29" s="21"/>
      <c r="P29" s="21">
        <v>44.452235258828594</v>
      </c>
      <c r="Q29" s="21">
        <v>39.559948961784343</v>
      </c>
      <c r="R29" s="21">
        <v>54.061430836970139</v>
      </c>
      <c r="S29" s="21">
        <v>52.242706363864571</v>
      </c>
    </row>
    <row r="30" spans="1:19">
      <c r="A30" s="9">
        <f t="shared" si="0"/>
        <v>33635</v>
      </c>
      <c r="B30" s="21"/>
      <c r="C30" s="21"/>
      <c r="D30" s="21"/>
      <c r="E30" s="21">
        <v>56.88200234100055</v>
      </c>
      <c r="F30" s="21">
        <v>57.843878002213877</v>
      </c>
      <c r="G30" s="21">
        <v>45.513600125722434</v>
      </c>
      <c r="H30" s="21">
        <v>53.988902484028365</v>
      </c>
      <c r="I30" s="21">
        <v>58.346391571249065</v>
      </c>
      <c r="J30" s="21">
        <v>68.252594436329233</v>
      </c>
      <c r="K30" s="21">
        <v>38.015313440199542</v>
      </c>
      <c r="L30" s="21">
        <v>48.319411967610378</v>
      </c>
      <c r="M30" s="21">
        <v>28.053273556298439</v>
      </c>
      <c r="N30" s="21">
        <v>45.838746196160329</v>
      </c>
      <c r="O30" s="21"/>
      <c r="P30" s="21">
        <v>44.012856718196311</v>
      </c>
      <c r="Q30" s="21">
        <v>40.694549227088544</v>
      </c>
      <c r="R30" s="21">
        <v>49.539479434775672</v>
      </c>
      <c r="S30" s="21">
        <v>52.242706363864571</v>
      </c>
    </row>
    <row r="31" spans="1:19">
      <c r="A31" s="9">
        <f t="shared" si="0"/>
        <v>33664</v>
      </c>
      <c r="B31" s="21"/>
      <c r="C31" s="21"/>
      <c r="D31" s="21"/>
      <c r="E31" s="21">
        <v>56.477506920235612</v>
      </c>
      <c r="F31" s="21">
        <v>57.470365734203959</v>
      </c>
      <c r="G31" s="21">
        <v>44.742915023047928</v>
      </c>
      <c r="H31" s="21">
        <v>54.023533275310207</v>
      </c>
      <c r="I31" s="21">
        <v>58.041842312031314</v>
      </c>
      <c r="J31" s="21">
        <v>68.624154323109636</v>
      </c>
      <c r="K31" s="21">
        <v>37.604653782846412</v>
      </c>
      <c r="L31" s="21">
        <v>48.220121168463727</v>
      </c>
      <c r="M31" s="21">
        <v>27.341581355845499</v>
      </c>
      <c r="N31" s="21">
        <v>45.717642311043015</v>
      </c>
      <c r="O31" s="21"/>
      <c r="P31" s="21">
        <v>43.828585099523359</v>
      </c>
      <c r="Q31" s="21">
        <v>40.998011341795596</v>
      </c>
      <c r="R31" s="21">
        <v>50.136085178652685</v>
      </c>
      <c r="S31" s="21">
        <v>52.242706363864571</v>
      </c>
    </row>
    <row r="32" spans="1:19">
      <c r="A32" s="9">
        <f t="shared" si="0"/>
        <v>33695</v>
      </c>
      <c r="B32" s="21"/>
      <c r="C32" s="21"/>
      <c r="D32" s="21"/>
      <c r="E32" s="21">
        <v>55.259510760727451</v>
      </c>
      <c r="F32" s="21">
        <v>56.212981376289555</v>
      </c>
      <c r="G32" s="21">
        <v>43.990447725609606</v>
      </c>
      <c r="H32" s="21">
        <v>55.436577519993314</v>
      </c>
      <c r="I32" s="21">
        <v>57.488172994781159</v>
      </c>
      <c r="J32" s="21">
        <v>72.564479042546836</v>
      </c>
      <c r="K32" s="21">
        <v>37.577696607534783</v>
      </c>
      <c r="L32" s="21">
        <v>48.628629369332785</v>
      </c>
      <c r="M32" s="21">
        <v>26.893614673100512</v>
      </c>
      <c r="N32" s="21">
        <v>46.024608684666255</v>
      </c>
      <c r="O32" s="21"/>
      <c r="P32" s="21">
        <v>46.155697926572984</v>
      </c>
      <c r="Q32" s="21">
        <v>43.622441023084271</v>
      </c>
      <c r="R32" s="21">
        <v>51.533947708892534</v>
      </c>
      <c r="S32" s="21">
        <v>52.242706363864571</v>
      </c>
    </row>
    <row r="33" spans="1:19">
      <c r="A33" s="9">
        <f t="shared" si="0"/>
        <v>33725</v>
      </c>
      <c r="B33" s="21"/>
      <c r="C33" s="21"/>
      <c r="D33" s="21"/>
      <c r="E33" s="21">
        <v>56.440071855689062</v>
      </c>
      <c r="F33" s="21">
        <v>57.690999979294617</v>
      </c>
      <c r="G33" s="21">
        <v>41.655360457947438</v>
      </c>
      <c r="H33" s="21">
        <v>55.354037044994641</v>
      </c>
      <c r="I33" s="21">
        <v>58.486790574152067</v>
      </c>
      <c r="J33" s="21">
        <v>72.332297229107795</v>
      </c>
      <c r="K33" s="21">
        <v>37.534082133386555</v>
      </c>
      <c r="L33" s="21">
        <v>48.605567895422219</v>
      </c>
      <c r="M33" s="21">
        <v>26.830129483667786</v>
      </c>
      <c r="N33" s="21">
        <v>46.048889909379447</v>
      </c>
      <c r="O33" s="21"/>
      <c r="P33" s="21">
        <v>48.205261643772708</v>
      </c>
      <c r="Q33" s="21">
        <v>45.133051568528764</v>
      </c>
      <c r="R33" s="21">
        <v>54.264787345144988</v>
      </c>
      <c r="S33" s="21">
        <v>52.242706363864571</v>
      </c>
    </row>
    <row r="34" spans="1:19">
      <c r="A34" s="9">
        <f t="shared" si="0"/>
        <v>33756</v>
      </c>
      <c r="B34" s="21"/>
      <c r="C34" s="21"/>
      <c r="D34" s="21"/>
      <c r="E34" s="21">
        <v>55.97901027584286</v>
      </c>
      <c r="F34" s="21">
        <v>57.29455513351342</v>
      </c>
      <c r="G34" s="21">
        <v>40.430594116342192</v>
      </c>
      <c r="H34" s="21">
        <v>55.753156892637563</v>
      </c>
      <c r="I34" s="21">
        <v>58.226972803815755</v>
      </c>
      <c r="J34" s="21">
        <v>73.433840196181535</v>
      </c>
      <c r="K34" s="21">
        <v>37.747590106310867</v>
      </c>
      <c r="L34" s="21">
        <v>48.725490658085846</v>
      </c>
      <c r="M34" s="21">
        <v>27.134115977801905</v>
      </c>
      <c r="N34" s="21">
        <v>46.18093378030953</v>
      </c>
      <c r="O34" s="21"/>
      <c r="P34" s="21">
        <v>50.650198559215724</v>
      </c>
      <c r="Q34" s="21">
        <v>47.449347407070697</v>
      </c>
      <c r="R34" s="21">
        <v>55.368530707931392</v>
      </c>
      <c r="S34" s="21">
        <v>50.690360870625938</v>
      </c>
    </row>
    <row r="35" spans="1:19">
      <c r="A35" s="9">
        <f t="shared" si="0"/>
        <v>33786</v>
      </c>
      <c r="B35" s="21"/>
      <c r="C35" s="21"/>
      <c r="D35" s="21"/>
      <c r="E35" s="21">
        <v>56.572916731560412</v>
      </c>
      <c r="F35" s="21">
        <v>57.772141553438701</v>
      </c>
      <c r="G35" s="21">
        <v>42.39928632234485</v>
      </c>
      <c r="H35" s="21">
        <v>57.417124359094366</v>
      </c>
      <c r="I35" s="21">
        <v>58.818853545806618</v>
      </c>
      <c r="J35" s="21">
        <v>74.012017524688829</v>
      </c>
      <c r="K35" s="21">
        <v>39.204354793440089</v>
      </c>
      <c r="L35" s="21">
        <v>50.821034809633026</v>
      </c>
      <c r="M35" s="21">
        <v>27.973306358491758</v>
      </c>
      <c r="N35" s="21">
        <v>48.088059378388117</v>
      </c>
      <c r="O35" s="21"/>
      <c r="P35" s="21">
        <v>49.901068711196437</v>
      </c>
      <c r="Q35" s="21">
        <v>44.903367008122522</v>
      </c>
      <c r="R35" s="21">
        <v>57.934626219987301</v>
      </c>
      <c r="S35" s="21">
        <v>49.138015377387312</v>
      </c>
    </row>
    <row r="36" spans="1:19">
      <c r="A36" s="9">
        <f t="shared" si="0"/>
        <v>33817</v>
      </c>
      <c r="B36" s="21"/>
      <c r="C36" s="21"/>
      <c r="D36" s="21"/>
      <c r="E36" s="21">
        <v>58.391865867074458</v>
      </c>
      <c r="F36" s="21">
        <v>59.728390517923842</v>
      </c>
      <c r="G36" s="21">
        <v>42.595489667760233</v>
      </c>
      <c r="H36" s="21">
        <v>56.603973510445186</v>
      </c>
      <c r="I36" s="21">
        <v>60.148410682381645</v>
      </c>
      <c r="J36" s="21">
        <v>72.030968217364773</v>
      </c>
      <c r="K36" s="21">
        <v>38.623054658553237</v>
      </c>
      <c r="L36" s="21">
        <v>50.472096821002076</v>
      </c>
      <c r="M36" s="21">
        <v>27.167357656595158</v>
      </c>
      <c r="N36" s="21">
        <v>47.643110313111571</v>
      </c>
      <c r="O36" s="21"/>
      <c r="P36" s="21">
        <v>49.70990818455661</v>
      </c>
      <c r="Q36" s="21">
        <v>43.321866893454256</v>
      </c>
      <c r="R36" s="21">
        <v>61.038157079971313</v>
      </c>
      <c r="S36" s="21">
        <v>49.138015377387312</v>
      </c>
    </row>
    <row r="37" spans="1:19">
      <c r="A37" s="9">
        <f t="shared" si="0"/>
        <v>33848</v>
      </c>
      <c r="B37" s="21"/>
      <c r="C37" s="21"/>
      <c r="D37" s="21"/>
      <c r="E37" s="21">
        <v>58.125882865397571</v>
      </c>
      <c r="F37" s="21">
        <v>59.460201081423889</v>
      </c>
      <c r="G37" s="21">
        <v>42.355584504978424</v>
      </c>
      <c r="H37" s="21">
        <v>55.474080565592764</v>
      </c>
      <c r="I37" s="21">
        <v>59.839809440630269</v>
      </c>
      <c r="J37" s="21">
        <v>71.434065939788979</v>
      </c>
      <c r="K37" s="21">
        <v>38.047418684626422</v>
      </c>
      <c r="L37" s="21">
        <v>49.130352306193636</v>
      </c>
      <c r="M37" s="21">
        <v>27.332398202730488</v>
      </c>
      <c r="N37" s="21">
        <v>46.465106013545352</v>
      </c>
      <c r="O37" s="21"/>
      <c r="P37" s="21">
        <v>51.181152293484331</v>
      </c>
      <c r="Q37" s="21">
        <v>44.463698216029798</v>
      </c>
      <c r="R37" s="21">
        <v>63.399961869868058</v>
      </c>
      <c r="S37" s="21">
        <v>49.138015377387312</v>
      </c>
    </row>
    <row r="38" spans="1:19">
      <c r="A38" s="9">
        <f t="shared" si="0"/>
        <v>33878</v>
      </c>
      <c r="B38" s="21"/>
      <c r="C38" s="21"/>
      <c r="D38" s="21"/>
      <c r="E38" s="21">
        <v>55.791104366609567</v>
      </c>
      <c r="F38" s="21">
        <v>57.035706911675739</v>
      </c>
      <c r="G38" s="21">
        <v>41.081154940689991</v>
      </c>
      <c r="H38" s="21">
        <v>53.295594862925739</v>
      </c>
      <c r="I38" s="21">
        <v>57.841378969861076</v>
      </c>
      <c r="J38" s="21">
        <v>71.71094023772433</v>
      </c>
      <c r="K38" s="21">
        <v>36.489354942873383</v>
      </c>
      <c r="L38" s="21">
        <v>45.975917299211908</v>
      </c>
      <c r="M38" s="21">
        <v>27.31771199870348</v>
      </c>
      <c r="N38" s="21">
        <v>43.654583652900598</v>
      </c>
      <c r="O38" s="21"/>
      <c r="P38" s="21">
        <v>51.357135261532207</v>
      </c>
      <c r="Q38" s="21">
        <v>44.861904286915014</v>
      </c>
      <c r="R38" s="21">
        <v>66.889226195530867</v>
      </c>
      <c r="S38" s="21">
        <v>47.532748535817738</v>
      </c>
    </row>
    <row r="39" spans="1:19">
      <c r="A39" s="9">
        <f t="shared" si="0"/>
        <v>33909</v>
      </c>
      <c r="B39" s="21"/>
      <c r="C39" s="21"/>
      <c r="D39" s="21"/>
      <c r="E39" s="21">
        <v>54.848257674862772</v>
      </c>
      <c r="F39" s="21">
        <v>55.856469970258544</v>
      </c>
      <c r="G39" s="21">
        <v>42.93220308004139</v>
      </c>
      <c r="H39" s="21">
        <v>51.93786198964834</v>
      </c>
      <c r="I39" s="21">
        <v>57.073217793849516</v>
      </c>
      <c r="J39" s="21">
        <v>72.124480019845976</v>
      </c>
      <c r="K39" s="21">
        <v>35.122713672225082</v>
      </c>
      <c r="L39" s="21">
        <v>43.914144156742061</v>
      </c>
      <c r="M39" s="21">
        <v>26.623126746661292</v>
      </c>
      <c r="N39" s="21">
        <v>41.820373001651149</v>
      </c>
      <c r="O39" s="21"/>
      <c r="P39" s="21">
        <v>48.793312560443766</v>
      </c>
      <c r="Q39" s="21">
        <v>43.72634614044815</v>
      </c>
      <c r="R39" s="21">
        <v>64.947498169007886</v>
      </c>
      <c r="S39" s="21">
        <v>45.927481694248165</v>
      </c>
    </row>
    <row r="40" spans="1:19">
      <c r="A40" s="9">
        <f t="shared" si="0"/>
        <v>33939</v>
      </c>
      <c r="B40" s="21"/>
      <c r="C40" s="21"/>
      <c r="D40" s="21"/>
      <c r="E40" s="21">
        <v>54.72416180296397</v>
      </c>
      <c r="F40" s="21">
        <v>55.142055122091278</v>
      </c>
      <c r="G40" s="21">
        <v>49.78508336851845</v>
      </c>
      <c r="H40" s="21">
        <v>52.70392598285283</v>
      </c>
      <c r="I40" s="21">
        <v>57.029424397650537</v>
      </c>
      <c r="J40" s="21">
        <v>72.623911470169276</v>
      </c>
      <c r="K40" s="21">
        <v>35.572290965054783</v>
      </c>
      <c r="L40" s="21">
        <v>44.786188472452736</v>
      </c>
      <c r="M40" s="21">
        <v>26.664261387241758</v>
      </c>
      <c r="N40" s="21">
        <v>42.649244813135653</v>
      </c>
      <c r="O40" s="21"/>
      <c r="P40" s="21">
        <v>46.991517846436167</v>
      </c>
      <c r="Q40" s="21">
        <v>41.560605697418985</v>
      </c>
      <c r="R40" s="21">
        <v>63.826579970309773</v>
      </c>
      <c r="S40" s="21">
        <v>45.927481694248165</v>
      </c>
    </row>
    <row r="41" spans="1:19">
      <c r="A41" s="9">
        <f t="shared" si="0"/>
        <v>33970</v>
      </c>
      <c r="B41" s="21"/>
      <c r="C41" s="21"/>
      <c r="D41" s="21"/>
      <c r="E41" s="21">
        <v>55.669993509175356</v>
      </c>
      <c r="F41" s="21">
        <v>56.277224554510305</v>
      </c>
      <c r="G41" s="21">
        <v>48.493133713946143</v>
      </c>
      <c r="H41" s="21">
        <v>52.548356160260973</v>
      </c>
      <c r="I41" s="21">
        <v>57.903911614397046</v>
      </c>
      <c r="J41" s="21">
        <v>73.015772229860474</v>
      </c>
      <c r="K41" s="21">
        <v>35.175844488159193</v>
      </c>
      <c r="L41" s="21">
        <v>44.413027544764816</v>
      </c>
      <c r="M41" s="21">
        <v>26.245302356792038</v>
      </c>
      <c r="N41" s="21">
        <v>42.30640392944337</v>
      </c>
      <c r="O41" s="21"/>
      <c r="P41" s="21">
        <v>45.78558564358481</v>
      </c>
      <c r="Q41" s="21">
        <v>40.333550502739485</v>
      </c>
      <c r="R41" s="21">
        <v>62.266635892812751</v>
      </c>
      <c r="S41" s="21">
        <v>45.927481694248165</v>
      </c>
    </row>
    <row r="42" spans="1:19">
      <c r="A42" s="9">
        <f t="shared" si="0"/>
        <v>34001</v>
      </c>
      <c r="B42" s="21"/>
      <c r="C42" s="21"/>
      <c r="D42" s="21"/>
      <c r="E42" s="21">
        <v>55.291275307238365</v>
      </c>
      <c r="F42" s="21">
        <v>56.098736155087302</v>
      </c>
      <c r="G42" s="21">
        <v>45.747900771846901</v>
      </c>
      <c r="H42" s="21">
        <v>53.524326963568818</v>
      </c>
      <c r="I42" s="21">
        <v>58.088268777697969</v>
      </c>
      <c r="J42" s="21">
        <v>77.009184172558449</v>
      </c>
      <c r="K42" s="21">
        <v>35.073151131085496</v>
      </c>
      <c r="L42" s="21">
        <v>44.189634678355844</v>
      </c>
      <c r="M42" s="21">
        <v>26.259301723760778</v>
      </c>
      <c r="N42" s="21">
        <v>42.103220090826454</v>
      </c>
      <c r="O42" s="21"/>
      <c r="P42" s="21">
        <v>46.478208159777445</v>
      </c>
      <c r="Q42" s="21">
        <v>42.553231177076889</v>
      </c>
      <c r="R42" s="21">
        <v>59.826241304202441</v>
      </c>
      <c r="S42" s="21">
        <v>43.073673975902267</v>
      </c>
    </row>
    <row r="43" spans="1:19">
      <c r="A43" s="9">
        <f t="shared" si="0"/>
        <v>34029</v>
      </c>
      <c r="B43" s="21"/>
      <c r="C43" s="21"/>
      <c r="D43" s="21"/>
      <c r="E43" s="21">
        <v>56.783786024628753</v>
      </c>
      <c r="F43" s="21">
        <v>57.823318571862693</v>
      </c>
      <c r="G43" s="21">
        <v>44.497557576015389</v>
      </c>
      <c r="H43" s="21">
        <v>53.212931686870498</v>
      </c>
      <c r="I43" s="21">
        <v>59.61852004218489</v>
      </c>
      <c r="J43" s="21">
        <v>78.794740179838527</v>
      </c>
      <c r="K43" s="21">
        <v>34.511350955831091</v>
      </c>
      <c r="L43" s="21">
        <v>43.044749344688924</v>
      </c>
      <c r="M43" s="21">
        <v>26.261230397601135</v>
      </c>
      <c r="N43" s="21">
        <v>41.035525853686856</v>
      </c>
      <c r="O43" s="21"/>
      <c r="P43" s="21">
        <v>48.075957740341508</v>
      </c>
      <c r="Q43" s="21">
        <v>42.992082515674845</v>
      </c>
      <c r="R43" s="21">
        <v>65.115604364570828</v>
      </c>
      <c r="S43" s="21">
        <v>43.073673975902267</v>
      </c>
    </row>
    <row r="44" spans="1:19">
      <c r="A44" s="9">
        <f t="shared" si="0"/>
        <v>34060</v>
      </c>
      <c r="B44" s="21"/>
      <c r="C44" s="21"/>
      <c r="D44" s="21"/>
      <c r="E44" s="21">
        <v>57.483343895227321</v>
      </c>
      <c r="F44" s="21">
        <v>58.745142650948331</v>
      </c>
      <c r="G44" s="21">
        <v>42.570152566860351</v>
      </c>
      <c r="H44" s="21">
        <v>53.622143022292391</v>
      </c>
      <c r="I44" s="21">
        <v>60.912659752901945</v>
      </c>
      <c r="J44" s="21">
        <v>84.111067575660783</v>
      </c>
      <c r="K44" s="21">
        <v>34.286579973754094</v>
      </c>
      <c r="L44" s="21">
        <v>41.503494555320856</v>
      </c>
      <c r="M44" s="21">
        <v>27.309240742280256</v>
      </c>
      <c r="N44" s="21">
        <v>39.854297225604846</v>
      </c>
      <c r="O44" s="21"/>
      <c r="P44" s="21">
        <v>48.540772279647847</v>
      </c>
      <c r="Q44" s="21">
        <v>41.987183786994308</v>
      </c>
      <c r="R44" s="21">
        <v>67.555160506960888</v>
      </c>
      <c r="S44" s="21">
        <v>43.073673975902267</v>
      </c>
    </row>
    <row r="45" spans="1:19">
      <c r="A45" s="9">
        <f t="shared" si="0"/>
        <v>34090</v>
      </c>
      <c r="B45" s="21"/>
      <c r="C45" s="21"/>
      <c r="D45" s="21"/>
      <c r="E45" s="21">
        <v>58.390126040948822</v>
      </c>
      <c r="F45" s="21">
        <v>59.660036991141219</v>
      </c>
      <c r="G45" s="21">
        <v>43.38105673862097</v>
      </c>
      <c r="H45" s="21">
        <v>54.151245905210999</v>
      </c>
      <c r="I45" s="21">
        <v>62.338489627476633</v>
      </c>
      <c r="J45" s="21">
        <v>89.048117003391113</v>
      </c>
      <c r="K45" s="21">
        <v>34.695439691443944</v>
      </c>
      <c r="L45" s="21">
        <v>40.280539751053063</v>
      </c>
      <c r="M45" s="21">
        <v>29.295744667042321</v>
      </c>
      <c r="N45" s="21">
        <v>38.999617080824997</v>
      </c>
      <c r="O45" s="21"/>
      <c r="P45" s="21">
        <v>47.47958964106526</v>
      </c>
      <c r="Q45" s="21">
        <v>41.297010965409243</v>
      </c>
      <c r="R45" s="21">
        <v>64.815133228926641</v>
      </c>
      <c r="S45" s="21">
        <v>43.073673975902267</v>
      </c>
    </row>
    <row r="46" spans="1:19">
      <c r="A46" s="9">
        <f t="shared" si="0"/>
        <v>34121</v>
      </c>
      <c r="B46" s="21"/>
      <c r="C46" s="21"/>
      <c r="D46" s="21"/>
      <c r="E46" s="21">
        <v>57.800749988067174</v>
      </c>
      <c r="F46" s="21">
        <v>59.033430594948925</v>
      </c>
      <c r="G46" s="21">
        <v>43.231705872398663</v>
      </c>
      <c r="H46" s="21">
        <v>53.882016549590013</v>
      </c>
      <c r="I46" s="21">
        <v>61.613563051248057</v>
      </c>
      <c r="J46" s="21">
        <v>87.406227262584338</v>
      </c>
      <c r="K46" s="21">
        <v>35.013720951142631</v>
      </c>
      <c r="L46" s="21">
        <v>40.556911426504364</v>
      </c>
      <c r="M46" s="21">
        <v>29.654544265019652</v>
      </c>
      <c r="N46" s="21">
        <v>39.242192812402415</v>
      </c>
      <c r="O46" s="21"/>
      <c r="P46" s="21">
        <v>45.842420701601618</v>
      </c>
      <c r="Q46" s="21">
        <v>39.765490545376899</v>
      </c>
      <c r="R46" s="21">
        <v>62.66789757365332</v>
      </c>
      <c r="S46" s="21">
        <v>43.073673975902267</v>
      </c>
    </row>
    <row r="47" spans="1:19">
      <c r="A47" s="9">
        <f t="shared" si="0"/>
        <v>34151</v>
      </c>
      <c r="B47" s="21"/>
      <c r="C47" s="21"/>
      <c r="D47" s="21"/>
      <c r="E47" s="21">
        <v>58.303755991637935</v>
      </c>
      <c r="F47" s="21">
        <v>59.301970803302495</v>
      </c>
      <c r="G47" s="21">
        <v>46.50586159233896</v>
      </c>
      <c r="H47" s="21">
        <v>54.12268370853625</v>
      </c>
      <c r="I47" s="21">
        <v>62.145497924327216</v>
      </c>
      <c r="J47" s="21">
        <v>88.133858227992135</v>
      </c>
      <c r="K47" s="21">
        <v>35.950529599837999</v>
      </c>
      <c r="L47" s="21">
        <v>40.604021637375389</v>
      </c>
      <c r="M47" s="21">
        <v>31.451516595057228</v>
      </c>
      <c r="N47" s="21">
        <v>39.602808828444566</v>
      </c>
      <c r="O47" s="21"/>
      <c r="P47" s="21">
        <v>43.943351407559419</v>
      </c>
      <c r="Q47" s="21">
        <v>37.604927369646425</v>
      </c>
      <c r="R47" s="21">
        <v>63.190087679414404</v>
      </c>
      <c r="S47" s="21">
        <v>43.073673975902267</v>
      </c>
    </row>
    <row r="48" spans="1:19">
      <c r="A48" s="9">
        <f t="shared" si="0"/>
        <v>34182</v>
      </c>
      <c r="B48" s="21"/>
      <c r="C48" s="21"/>
      <c r="D48" s="21"/>
      <c r="E48" s="21">
        <v>57.946162889868916</v>
      </c>
      <c r="F48" s="21">
        <v>58.526810092107532</v>
      </c>
      <c r="G48" s="21">
        <v>51.083497364162902</v>
      </c>
      <c r="H48" s="21">
        <v>52.690020060992289</v>
      </c>
      <c r="I48" s="21">
        <v>61.391052649430847</v>
      </c>
      <c r="J48" s="21">
        <v>84.69481376782295</v>
      </c>
      <c r="K48" s="21">
        <v>35.086920541515362</v>
      </c>
      <c r="L48" s="21">
        <v>39.968848361015908</v>
      </c>
      <c r="M48" s="21">
        <v>30.367054992984801</v>
      </c>
      <c r="N48" s="21">
        <v>38.92828799280295</v>
      </c>
      <c r="O48" s="21"/>
      <c r="P48" s="21">
        <v>44.754196202396592</v>
      </c>
      <c r="Q48" s="21">
        <v>37.761171485148267</v>
      </c>
      <c r="R48" s="21">
        <v>66.096178814319572</v>
      </c>
      <c r="S48" s="21">
        <v>43.073673975902267</v>
      </c>
    </row>
    <row r="49" spans="1:19">
      <c r="A49" s="9">
        <f t="shared" si="0"/>
        <v>34213</v>
      </c>
      <c r="B49" s="21"/>
      <c r="C49" s="21"/>
      <c r="D49" s="21"/>
      <c r="E49" s="21">
        <v>58.037606829477333</v>
      </c>
      <c r="F49" s="21">
        <v>58.213052723351417</v>
      </c>
      <c r="G49" s="21">
        <v>55.964012945145619</v>
      </c>
      <c r="H49" s="21">
        <v>51.432137420912987</v>
      </c>
      <c r="I49" s="21">
        <v>61.415230449326245</v>
      </c>
      <c r="J49" s="21">
        <v>84.263954059804661</v>
      </c>
      <c r="K49" s="21">
        <v>33.242339327434216</v>
      </c>
      <c r="L49" s="21">
        <v>38.382243067232395</v>
      </c>
      <c r="M49" s="21">
        <v>28.2730617221134</v>
      </c>
      <c r="N49" s="21">
        <v>37.166187741263947</v>
      </c>
      <c r="O49" s="21"/>
      <c r="P49" s="21">
        <v>43.52369893237681</v>
      </c>
      <c r="Q49" s="21">
        <v>36.083829499967813</v>
      </c>
      <c r="R49" s="21">
        <v>64.612635821410819</v>
      </c>
      <c r="S49" s="21">
        <v>43.073673975902267</v>
      </c>
    </row>
    <row r="50" spans="1:19">
      <c r="A50" s="9">
        <f t="shared" si="0"/>
        <v>34243</v>
      </c>
      <c r="B50" s="21"/>
      <c r="C50" s="21"/>
      <c r="D50" s="21"/>
      <c r="E50" s="21">
        <v>57.392477730884089</v>
      </c>
      <c r="F50" s="21">
        <v>57.637233108133316</v>
      </c>
      <c r="G50" s="21">
        <v>54.499715511065133</v>
      </c>
      <c r="H50" s="21">
        <v>50.510870349048552</v>
      </c>
      <c r="I50" s="21">
        <v>60.862959494256593</v>
      </c>
      <c r="J50" s="21">
        <v>84.339843697846746</v>
      </c>
      <c r="K50" s="21">
        <v>32.929564787030387</v>
      </c>
      <c r="L50" s="21">
        <v>37.064629065757906</v>
      </c>
      <c r="M50" s="21">
        <v>28.931769622553318</v>
      </c>
      <c r="N50" s="21">
        <v>36.083606891388158</v>
      </c>
      <c r="O50" s="21"/>
      <c r="P50" s="21">
        <v>43.754110188381894</v>
      </c>
      <c r="Q50" s="21">
        <v>37.675927546125969</v>
      </c>
      <c r="R50" s="21">
        <v>61.101818656461546</v>
      </c>
      <c r="S50" s="21">
        <v>43.073673975902267</v>
      </c>
    </row>
    <row r="51" spans="1:19">
      <c r="A51" s="9">
        <f t="shared" si="0"/>
        <v>34274</v>
      </c>
      <c r="B51" s="21"/>
      <c r="C51" s="21"/>
      <c r="D51" s="21"/>
      <c r="E51" s="21">
        <v>58.00222133149861</v>
      </c>
      <c r="F51" s="21">
        <v>58.191450432702574</v>
      </c>
      <c r="G51" s="21">
        <v>55.765723808930417</v>
      </c>
      <c r="H51" s="21">
        <v>49.873489200335719</v>
      </c>
      <c r="I51" s="21">
        <v>61.20872923648492</v>
      </c>
      <c r="J51" s="21">
        <v>82.899900640338203</v>
      </c>
      <c r="K51" s="21">
        <v>33.236581074018126</v>
      </c>
      <c r="L51" s="21">
        <v>36.746247874838033</v>
      </c>
      <c r="M51" s="21">
        <v>29.843422462814811</v>
      </c>
      <c r="N51" s="21">
        <v>35.875352908369187</v>
      </c>
      <c r="O51" s="21"/>
      <c r="P51" s="21">
        <v>42.26063064418809</v>
      </c>
      <c r="Q51" s="21">
        <v>35.221834995279288</v>
      </c>
      <c r="R51" s="21">
        <v>64.756341161554943</v>
      </c>
      <c r="S51" s="21">
        <v>43.073673975902267</v>
      </c>
    </row>
    <row r="52" spans="1:19">
      <c r="A52" s="9">
        <f t="shared" si="0"/>
        <v>34304</v>
      </c>
      <c r="B52" s="21"/>
      <c r="C52" s="21"/>
      <c r="D52" s="21"/>
      <c r="E52" s="21">
        <v>59.53264447546141</v>
      </c>
      <c r="F52" s="21">
        <v>59.731552928296786</v>
      </c>
      <c r="G52" s="21">
        <v>57.181746758599807</v>
      </c>
      <c r="H52" s="21">
        <v>51.312347120609239</v>
      </c>
      <c r="I52" s="21">
        <v>62.571894485349695</v>
      </c>
      <c r="J52" s="21">
        <v>83.131610805129483</v>
      </c>
      <c r="K52" s="21">
        <v>34.590899600015085</v>
      </c>
      <c r="L52" s="21">
        <v>38.664919350711926</v>
      </c>
      <c r="M52" s="21">
        <v>30.65212250697024</v>
      </c>
      <c r="N52" s="21">
        <v>37.733095610544751</v>
      </c>
      <c r="O52" s="21"/>
      <c r="P52" s="21">
        <v>38.449990695546298</v>
      </c>
      <c r="Q52" s="21">
        <v>31.144736467942394</v>
      </c>
      <c r="R52" s="21">
        <v>61.484831815456268</v>
      </c>
      <c r="S52" s="21">
        <v>42.685587602592598</v>
      </c>
    </row>
    <row r="53" spans="1:19">
      <c r="A53" s="9">
        <f t="shared" si="0"/>
        <v>34335</v>
      </c>
      <c r="B53" s="21"/>
      <c r="C53" s="21"/>
      <c r="D53" s="21"/>
      <c r="E53" s="21">
        <v>60.296460061722392</v>
      </c>
      <c r="F53" s="21">
        <v>60.820793879390145</v>
      </c>
      <c r="G53" s="21">
        <v>54.099362063837638</v>
      </c>
      <c r="H53" s="21">
        <v>52.972330002407709</v>
      </c>
      <c r="I53" s="21">
        <v>63.507639215053558</v>
      </c>
      <c r="J53" s="21">
        <v>85.230410369015459</v>
      </c>
      <c r="K53" s="21">
        <v>35.495218227228165</v>
      </c>
      <c r="L53" s="21">
        <v>40.150482662467752</v>
      </c>
      <c r="M53" s="21">
        <v>30.994491661911038</v>
      </c>
      <c r="N53" s="21">
        <v>39.124090961187548</v>
      </c>
      <c r="O53" s="21"/>
      <c r="P53" s="21">
        <v>39.817276760295726</v>
      </c>
      <c r="Q53" s="21">
        <v>33.015139289094741</v>
      </c>
      <c r="R53" s="21">
        <v>61.886090528234398</v>
      </c>
      <c r="S53" s="21">
        <v>43.073673975902267</v>
      </c>
    </row>
    <row r="54" spans="1:19">
      <c r="A54" s="9">
        <f t="shared" si="0"/>
        <v>34366</v>
      </c>
      <c r="B54" s="21"/>
      <c r="C54" s="21"/>
      <c r="D54" s="21"/>
      <c r="E54" s="21">
        <v>60.9852164385699</v>
      </c>
      <c r="F54" s="21">
        <v>61.490330653154743</v>
      </c>
      <c r="G54" s="21">
        <v>55.015274805145957</v>
      </c>
      <c r="H54" s="21">
        <v>55.165324280384546</v>
      </c>
      <c r="I54" s="21">
        <v>64.600336659053397</v>
      </c>
      <c r="J54" s="21">
        <v>89.055661477090595</v>
      </c>
      <c r="K54" s="21">
        <v>36.128690549685764</v>
      </c>
      <c r="L54" s="21">
        <v>41.694692274486634</v>
      </c>
      <c r="M54" s="21">
        <v>30.74745986474769</v>
      </c>
      <c r="N54" s="21">
        <v>40.578923899966867</v>
      </c>
      <c r="O54" s="21"/>
      <c r="P54" s="21">
        <v>40.417322920866923</v>
      </c>
      <c r="Q54" s="21">
        <v>31.852333834327236</v>
      </c>
      <c r="R54" s="21">
        <v>66.969957328159438</v>
      </c>
      <c r="S54" s="21">
        <v>43.073673975902267</v>
      </c>
    </row>
    <row r="55" spans="1:19">
      <c r="A55" s="9">
        <f t="shared" si="0"/>
        <v>34394</v>
      </c>
      <c r="B55" s="21"/>
      <c r="C55" s="21"/>
      <c r="D55" s="21"/>
      <c r="E55" s="21">
        <v>60.549067461601439</v>
      </c>
      <c r="F55" s="21">
        <v>60.728594982893476</v>
      </c>
      <c r="G55" s="21">
        <v>58.427232849230265</v>
      </c>
      <c r="H55" s="21">
        <v>55.251644945151689</v>
      </c>
      <c r="I55" s="21">
        <v>64.230093315930361</v>
      </c>
      <c r="J55" s="21">
        <v>89.131252182278274</v>
      </c>
      <c r="K55" s="21">
        <v>36.276136839128149</v>
      </c>
      <c r="L55" s="21">
        <v>41.785277852172555</v>
      </c>
      <c r="M55" s="21">
        <v>30.949879296851474</v>
      </c>
      <c r="N55" s="21">
        <v>40.743737502812699</v>
      </c>
      <c r="O55" s="21"/>
      <c r="P55" s="21">
        <v>38.312259350338088</v>
      </c>
      <c r="Q55" s="21">
        <v>30.899187140999203</v>
      </c>
      <c r="R55" s="21">
        <v>58.939841486718706</v>
      </c>
      <c r="S55" s="21">
        <v>42.003496081522535</v>
      </c>
    </row>
    <row r="56" spans="1:19">
      <c r="A56" s="9">
        <f t="shared" si="0"/>
        <v>34425</v>
      </c>
      <c r="B56" s="21"/>
      <c r="C56" s="21"/>
      <c r="D56" s="21"/>
      <c r="E56" s="21">
        <v>60.50491476007479</v>
      </c>
      <c r="F56" s="21">
        <v>60.466312934917561</v>
      </c>
      <c r="G56" s="21">
        <v>60.961149481803396</v>
      </c>
      <c r="H56" s="21">
        <v>56.375928491555136</v>
      </c>
      <c r="I56" s="21">
        <v>64.886533795387436</v>
      </c>
      <c r="J56" s="21">
        <v>94.527018814481522</v>
      </c>
      <c r="K56" s="21">
        <v>35.734289465329205</v>
      </c>
      <c r="L56" s="21">
        <v>41.211744807544306</v>
      </c>
      <c r="M56" s="21">
        <v>30.438665744702284</v>
      </c>
      <c r="N56" s="21">
        <v>40.188440326540352</v>
      </c>
      <c r="O56" s="21"/>
      <c r="P56" s="21">
        <v>40.654490627646915</v>
      </c>
      <c r="Q56" s="21">
        <v>34.442435294234464</v>
      </c>
      <c r="R56" s="21">
        <v>57.732847163468847</v>
      </c>
      <c r="S56" s="21">
        <v>42.003496081522535</v>
      </c>
    </row>
    <row r="57" spans="1:19">
      <c r="A57" s="9">
        <f t="shared" si="0"/>
        <v>34455</v>
      </c>
      <c r="B57" s="21"/>
      <c r="C57" s="21"/>
      <c r="D57" s="21"/>
      <c r="E57" s="21">
        <v>61.287748155318425</v>
      </c>
      <c r="F57" s="21">
        <v>60.179648706402119</v>
      </c>
      <c r="G57" s="21">
        <v>74.38436837119778</v>
      </c>
      <c r="H57" s="21">
        <v>58.754511816592341</v>
      </c>
      <c r="I57" s="21">
        <v>65.677666577087464</v>
      </c>
      <c r="J57" s="21">
        <v>95.374294733671661</v>
      </c>
      <c r="K57" s="21">
        <v>37.380859790858331</v>
      </c>
      <c r="L57" s="21">
        <v>44.198987716944586</v>
      </c>
      <c r="M57" s="21">
        <v>30.789068946416691</v>
      </c>
      <c r="N57" s="21">
        <v>42.889909794873013</v>
      </c>
      <c r="O57" s="21"/>
      <c r="P57" s="21">
        <v>42.611714246920201</v>
      </c>
      <c r="Q57" s="21">
        <v>37.086996244345357</v>
      </c>
      <c r="R57" s="21">
        <v>56.342110782055236</v>
      </c>
      <c r="S57" s="21">
        <v>43.359054747736849</v>
      </c>
    </row>
    <row r="58" spans="1:19">
      <c r="A58" s="9">
        <f t="shared" si="0"/>
        <v>34486</v>
      </c>
      <c r="B58" s="21"/>
      <c r="C58" s="21"/>
      <c r="D58" s="21"/>
      <c r="E58" s="21">
        <v>61.3882912460829</v>
      </c>
      <c r="F58" s="21">
        <v>59.48260153189883</v>
      </c>
      <c r="G58" s="21">
        <v>83.911625645702216</v>
      </c>
      <c r="H58" s="21">
        <v>61.415413578451101</v>
      </c>
      <c r="I58" s="21">
        <v>66.167295731127012</v>
      </c>
      <c r="J58" s="21">
        <v>98.495987409596097</v>
      </c>
      <c r="K58" s="21">
        <v>38.749783901132737</v>
      </c>
      <c r="L58" s="21">
        <v>46.676735655369512</v>
      </c>
      <c r="M58" s="21">
        <v>31.085978152051908</v>
      </c>
      <c r="N58" s="21">
        <v>45.096726230577872</v>
      </c>
      <c r="O58" s="21"/>
      <c r="P58" s="21">
        <v>44.494919533551595</v>
      </c>
      <c r="Q58" s="21">
        <v>38.84827245729965</v>
      </c>
      <c r="R58" s="21">
        <v>57.653612963106916</v>
      </c>
      <c r="S58" s="21">
        <v>46.092908112756078</v>
      </c>
    </row>
    <row r="59" spans="1:19">
      <c r="A59" s="9">
        <f t="shared" si="0"/>
        <v>34516</v>
      </c>
      <c r="B59" s="21"/>
      <c r="C59" s="21"/>
      <c r="D59" s="21"/>
      <c r="E59" s="21">
        <v>62.762418487130589</v>
      </c>
      <c r="F59" s="21">
        <v>58.457758854052933</v>
      </c>
      <c r="G59" s="21">
        <v>113.63916283365874</v>
      </c>
      <c r="H59" s="21">
        <v>61.939786725849679</v>
      </c>
      <c r="I59" s="21">
        <v>67.183040392206095</v>
      </c>
      <c r="J59" s="21">
        <v>97.087369430506456</v>
      </c>
      <c r="K59" s="21">
        <v>39.395312589631267</v>
      </c>
      <c r="L59" s="21">
        <v>47.969428456374786</v>
      </c>
      <c r="M59" s="21">
        <v>31.105826225883206</v>
      </c>
      <c r="N59" s="21">
        <v>46.286459606020443</v>
      </c>
      <c r="O59" s="21"/>
      <c r="P59" s="21">
        <v>45.846290207705628</v>
      </c>
      <c r="Q59" s="21">
        <v>39.761072357670152</v>
      </c>
      <c r="R59" s="21">
        <v>58.142897912205015</v>
      </c>
      <c r="S59" s="21">
        <v>45.736182147962843</v>
      </c>
    </row>
    <row r="60" spans="1:19">
      <c r="A60" s="9">
        <f t="shared" si="0"/>
        <v>34547</v>
      </c>
      <c r="B60" s="21"/>
      <c r="C60" s="21"/>
      <c r="D60" s="21"/>
      <c r="E60" s="21">
        <v>63.154322031471409</v>
      </c>
      <c r="F60" s="21">
        <v>58.65074924510634</v>
      </c>
      <c r="G60" s="21">
        <v>116.38201964947346</v>
      </c>
      <c r="H60" s="21">
        <v>61.243907441036605</v>
      </c>
      <c r="I60" s="21">
        <v>67.570304097082612</v>
      </c>
      <c r="J60" s="21">
        <v>97.443245857980656</v>
      </c>
      <c r="K60" s="21">
        <v>38.679600702606947</v>
      </c>
      <c r="L60" s="21">
        <v>46.855500390338605</v>
      </c>
      <c r="M60" s="21">
        <v>30.775111187169102</v>
      </c>
      <c r="N60" s="21">
        <v>45.292486589656988</v>
      </c>
      <c r="O60" s="21"/>
      <c r="P60" s="21">
        <v>43.781642519646091</v>
      </c>
      <c r="Q60" s="21">
        <v>37.708545374310702</v>
      </c>
      <c r="R60" s="21">
        <v>55.199181097776446</v>
      </c>
      <c r="S60" s="21">
        <v>45.736182147962843</v>
      </c>
    </row>
    <row r="61" spans="1:19">
      <c r="A61" s="9">
        <f t="shared" si="0"/>
        <v>34578</v>
      </c>
      <c r="B61" s="21"/>
      <c r="C61" s="21"/>
      <c r="D61" s="21"/>
      <c r="E61" s="21">
        <v>64.670640622525397</v>
      </c>
      <c r="F61" s="21">
        <v>59.355752914873619</v>
      </c>
      <c r="G61" s="21">
        <v>127.48726404493908</v>
      </c>
      <c r="H61" s="21">
        <v>62.482749856697517</v>
      </c>
      <c r="I61" s="21">
        <v>68.609663842280924</v>
      </c>
      <c r="J61" s="21">
        <v>95.256106126302157</v>
      </c>
      <c r="K61" s="21">
        <v>40.425574143549987</v>
      </c>
      <c r="L61" s="21">
        <v>49.456092159442711</v>
      </c>
      <c r="M61" s="21">
        <v>31.694836524213944</v>
      </c>
      <c r="N61" s="21">
        <v>47.72693885257334</v>
      </c>
      <c r="O61" s="21"/>
      <c r="P61" s="21">
        <v>42.13168630928493</v>
      </c>
      <c r="Q61" s="21">
        <v>35.647128798822038</v>
      </c>
      <c r="R61" s="21">
        <v>53.451378335350533</v>
      </c>
      <c r="S61" s="21">
        <v>46.124268521272491</v>
      </c>
    </row>
    <row r="62" spans="1:19">
      <c r="A62" s="9">
        <f t="shared" si="0"/>
        <v>34608</v>
      </c>
      <c r="B62" s="21"/>
      <c r="C62" s="21"/>
      <c r="D62" s="21"/>
      <c r="E62" s="21">
        <v>64.146063738696938</v>
      </c>
      <c r="F62" s="21">
        <v>59.203264274047115</v>
      </c>
      <c r="G62" s="21">
        <v>122.56497862497166</v>
      </c>
      <c r="H62" s="21">
        <v>63.71679546193009</v>
      </c>
      <c r="I62" s="21">
        <v>68.027775105856975</v>
      </c>
      <c r="J62" s="21">
        <v>94.286517981375866</v>
      </c>
      <c r="K62" s="21">
        <v>41.37519708942397</v>
      </c>
      <c r="L62" s="21">
        <v>51.566031655959783</v>
      </c>
      <c r="M62" s="21">
        <v>31.522661214305771</v>
      </c>
      <c r="N62" s="21">
        <v>49.59558617895992</v>
      </c>
      <c r="O62" s="21"/>
      <c r="P62" s="21">
        <v>42.942937857115545</v>
      </c>
      <c r="Q62" s="21">
        <v>35.927821223133854</v>
      </c>
      <c r="R62" s="21">
        <v>53.849776059363215</v>
      </c>
      <c r="S62" s="21">
        <v>47.4825708278563</v>
      </c>
    </row>
    <row r="63" spans="1:19">
      <c r="A63" s="9">
        <f t="shared" si="0"/>
        <v>34639</v>
      </c>
      <c r="B63" s="21"/>
      <c r="C63" s="21"/>
      <c r="D63" s="21"/>
      <c r="E63" s="21">
        <v>62.953619875865328</v>
      </c>
      <c r="F63" s="21">
        <v>58.746286856815416</v>
      </c>
      <c r="G63" s="21">
        <v>112.6800616010311</v>
      </c>
      <c r="H63" s="21">
        <v>67.147283751784357</v>
      </c>
      <c r="I63" s="21">
        <v>67.054344621726813</v>
      </c>
      <c r="J63" s="21">
        <v>94.794654634430316</v>
      </c>
      <c r="K63" s="21">
        <v>43.393402232364302</v>
      </c>
      <c r="L63" s="21">
        <v>56.15808771844128</v>
      </c>
      <c r="M63" s="21">
        <v>31.052457939229246</v>
      </c>
      <c r="N63" s="21">
        <v>53.57950420839056</v>
      </c>
      <c r="O63" s="21"/>
      <c r="P63" s="21">
        <v>44.067180918616501</v>
      </c>
      <c r="Q63" s="21">
        <v>37.405763032853322</v>
      </c>
      <c r="R63" s="21">
        <v>53.834012095465873</v>
      </c>
      <c r="S63" s="21">
        <v>47.288527641201462</v>
      </c>
    </row>
    <row r="64" spans="1:19">
      <c r="A64" s="9">
        <f t="shared" si="0"/>
        <v>34669</v>
      </c>
      <c r="B64" s="21"/>
      <c r="C64" s="21"/>
      <c r="D64" s="21"/>
      <c r="E64" s="21">
        <v>63.479500171555173</v>
      </c>
      <c r="F64" s="21">
        <v>60.739778116644871</v>
      </c>
      <c r="G64" s="21">
        <v>95.860257408930451</v>
      </c>
      <c r="H64" s="21">
        <v>69.927866485981923</v>
      </c>
      <c r="I64" s="21">
        <v>68.015840246339721</v>
      </c>
      <c r="J64" s="21">
        <v>98.702971862421293</v>
      </c>
      <c r="K64" s="21">
        <v>44.280743668581621</v>
      </c>
      <c r="L64" s="21">
        <v>58.490421847791005</v>
      </c>
      <c r="M64" s="21">
        <v>30.542775191075936</v>
      </c>
      <c r="N64" s="21">
        <v>55.510891928722991</v>
      </c>
      <c r="O64" s="21"/>
      <c r="P64" s="21">
        <v>43.037614997771925</v>
      </c>
      <c r="Q64" s="21">
        <v>35.922453502346166</v>
      </c>
      <c r="R64" s="21">
        <v>55.177899480551694</v>
      </c>
      <c r="S64" s="21">
        <v>50.593142549889869</v>
      </c>
    </row>
    <row r="65" spans="1:19">
      <c r="A65" s="9">
        <f t="shared" si="0"/>
        <v>34700</v>
      </c>
      <c r="B65" s="21"/>
      <c r="C65" s="21"/>
      <c r="D65" s="21"/>
      <c r="E65" s="21">
        <v>63.14133008800809</v>
      </c>
      <c r="F65" s="21">
        <v>60.153145084283288</v>
      </c>
      <c r="G65" s="21">
        <v>98.458669309539459</v>
      </c>
      <c r="H65" s="21">
        <v>73.492927331795414</v>
      </c>
      <c r="I65" s="21">
        <v>68.115017323759162</v>
      </c>
      <c r="J65" s="21">
        <v>101.76068592543825</v>
      </c>
      <c r="K65" s="21">
        <v>46.110748321676375</v>
      </c>
      <c r="L65" s="21">
        <v>62.257141407436677</v>
      </c>
      <c r="M65" s="21">
        <v>30.500356837783311</v>
      </c>
      <c r="N65" s="21">
        <v>58.875695817162786</v>
      </c>
      <c r="O65" s="21"/>
      <c r="P65" s="21">
        <v>44.045109863730517</v>
      </c>
      <c r="Q65" s="21">
        <v>36.979437985960978</v>
      </c>
      <c r="R65" s="21">
        <v>54.370202098730076</v>
      </c>
      <c r="S65" s="21">
        <v>52.858939972714971</v>
      </c>
    </row>
    <row r="66" spans="1:19">
      <c r="A66" s="9">
        <f t="shared" si="0"/>
        <v>34731</v>
      </c>
      <c r="B66" s="21"/>
      <c r="C66" s="21"/>
      <c r="D66" s="21"/>
      <c r="E66" s="21">
        <v>63.803433692181073</v>
      </c>
      <c r="F66" s="21">
        <v>60.736426557222281</v>
      </c>
      <c r="G66" s="21">
        <v>100.05237117268409</v>
      </c>
      <c r="H66" s="21">
        <v>71.254729610154428</v>
      </c>
      <c r="I66" s="21">
        <v>69.022747974063037</v>
      </c>
      <c r="J66" s="21">
        <v>104.33001808022081</v>
      </c>
      <c r="K66" s="21">
        <v>43.991405295542684</v>
      </c>
      <c r="L66" s="21">
        <v>58.108060785847577</v>
      </c>
      <c r="M66" s="21">
        <v>30.343371491556358</v>
      </c>
      <c r="N66" s="21">
        <v>55.175098775390786</v>
      </c>
      <c r="O66" s="21"/>
      <c r="P66" s="21">
        <v>45.172195067968275</v>
      </c>
      <c r="Q66" s="21">
        <v>37.936679354163267</v>
      </c>
      <c r="R66" s="21">
        <v>55.55723635032809</v>
      </c>
      <c r="S66" s="21">
        <v>53.603752310817868</v>
      </c>
    </row>
    <row r="67" spans="1:19">
      <c r="A67" s="9">
        <f t="shared" si="0"/>
        <v>34759</v>
      </c>
      <c r="B67" s="21"/>
      <c r="C67" s="21"/>
      <c r="D67" s="21"/>
      <c r="E67" s="21">
        <v>64.302383036682158</v>
      </c>
      <c r="F67" s="21">
        <v>60.729126147185347</v>
      </c>
      <c r="G67" s="21">
        <v>106.5346830899674</v>
      </c>
      <c r="H67" s="21">
        <v>71.175603341794968</v>
      </c>
      <c r="I67" s="21">
        <v>69.987688533763887</v>
      </c>
      <c r="J67" s="21">
        <v>108.44726501841832</v>
      </c>
      <c r="K67" s="21">
        <v>43.323226188234614</v>
      </c>
      <c r="L67" s="21">
        <v>56.360972381353562</v>
      </c>
      <c r="M67" s="21">
        <v>30.718285811692333</v>
      </c>
      <c r="N67" s="21">
        <v>53.632613877108589</v>
      </c>
      <c r="O67" s="21"/>
      <c r="P67" s="21">
        <v>45.382321341558118</v>
      </c>
      <c r="Q67" s="21">
        <v>36.323389118036644</v>
      </c>
      <c r="R67" s="21">
        <v>56.702327090918054</v>
      </c>
      <c r="S67" s="21">
        <v>54.332884444662554</v>
      </c>
    </row>
    <row r="68" spans="1:19">
      <c r="A68" s="9">
        <f t="shared" si="0"/>
        <v>34790</v>
      </c>
      <c r="B68" s="21"/>
      <c r="C68" s="21"/>
      <c r="D68" s="21"/>
      <c r="E68" s="21">
        <v>63.401957153455577</v>
      </c>
      <c r="F68" s="21">
        <v>59.912492349118629</v>
      </c>
      <c r="G68" s="21">
        <v>104.64391909448132</v>
      </c>
      <c r="H68" s="21">
        <v>71.695220601767517</v>
      </c>
      <c r="I68" s="21">
        <v>69.3397206215907</v>
      </c>
      <c r="J68" s="21">
        <v>109.50710799729971</v>
      </c>
      <c r="K68" s="21">
        <v>44.029806808068592</v>
      </c>
      <c r="L68" s="21">
        <v>56.665862304229819</v>
      </c>
      <c r="M68" s="21">
        <v>31.813222456407068</v>
      </c>
      <c r="N68" s="21">
        <v>54.302791103189129</v>
      </c>
      <c r="O68" s="21"/>
      <c r="P68" s="21">
        <v>47.800847154166604</v>
      </c>
      <c r="Q68" s="21">
        <v>38.006543542187806</v>
      </c>
      <c r="R68" s="21">
        <v>58.956863766658302</v>
      </c>
      <c r="S68" s="21">
        <v>53.63511271933428</v>
      </c>
    </row>
    <row r="69" spans="1:19">
      <c r="A69" s="9">
        <f t="shared" si="0"/>
        <v>34820</v>
      </c>
      <c r="B69" s="21"/>
      <c r="C69" s="21"/>
      <c r="D69" s="21"/>
      <c r="E69" s="21">
        <v>63.062055537209176</v>
      </c>
      <c r="F69" s="21">
        <v>59.624041528834908</v>
      </c>
      <c r="G69" s="21">
        <v>103.6959208537066</v>
      </c>
      <c r="H69" s="21">
        <v>70.437653461449202</v>
      </c>
      <c r="I69" s="21">
        <v>69.03612900079591</v>
      </c>
      <c r="J69" s="21">
        <v>109.44914381867923</v>
      </c>
      <c r="K69" s="21">
        <v>42.935295280156453</v>
      </c>
      <c r="L69" s="21">
        <v>54.931480490855186</v>
      </c>
      <c r="M69" s="21">
        <v>31.337339844682347</v>
      </c>
      <c r="N69" s="21">
        <v>52.700590885105846</v>
      </c>
      <c r="O69" s="21"/>
      <c r="P69" s="21">
        <v>47.746623508933432</v>
      </c>
      <c r="Q69" s="21">
        <v>38.241706998977918</v>
      </c>
      <c r="R69" s="21">
        <v>58.885115500286311</v>
      </c>
      <c r="S69" s="21">
        <v>54.826577441743702</v>
      </c>
    </row>
    <row r="70" spans="1:19">
      <c r="A70" s="9">
        <f t="shared" si="0"/>
        <v>34851</v>
      </c>
      <c r="B70" s="21"/>
      <c r="C70" s="21"/>
      <c r="D70" s="21"/>
      <c r="E70" s="21">
        <v>64.345286608344949</v>
      </c>
      <c r="F70" s="21">
        <v>61.689342731972673</v>
      </c>
      <c r="G70" s="21">
        <v>95.735870095734299</v>
      </c>
      <c r="H70" s="21">
        <v>70.887952307102111</v>
      </c>
      <c r="I70" s="21">
        <v>69.661807460611641</v>
      </c>
      <c r="J70" s="21">
        <v>105.62665410868807</v>
      </c>
      <c r="K70" s="21">
        <v>44.040248359361975</v>
      </c>
      <c r="L70" s="21">
        <v>57.080114821871383</v>
      </c>
      <c r="M70" s="21">
        <v>31.433258098671534</v>
      </c>
      <c r="N70" s="21">
        <v>54.551879449844328</v>
      </c>
      <c r="O70" s="21"/>
      <c r="P70" s="21">
        <v>45.827121247732897</v>
      </c>
      <c r="Q70" s="21">
        <v>35.57287954892584</v>
      </c>
      <c r="R70" s="21">
        <v>59.116751612487541</v>
      </c>
      <c r="S70" s="21">
        <v>56.168102298788533</v>
      </c>
    </row>
    <row r="71" spans="1:19">
      <c r="A71" s="9">
        <f t="shared" ref="A71:A134" si="1">EDATE(A70,1)</f>
        <v>34881</v>
      </c>
      <c r="B71" s="21"/>
      <c r="C71" s="21"/>
      <c r="D71" s="21"/>
      <c r="E71" s="21">
        <v>65.970668005345502</v>
      </c>
      <c r="F71" s="21">
        <v>64.258712869875708</v>
      </c>
      <c r="G71" s="21">
        <v>86.204254672859008</v>
      </c>
      <c r="H71" s="21">
        <v>70.840049392545382</v>
      </c>
      <c r="I71" s="21">
        <v>70.293162698256253</v>
      </c>
      <c r="J71" s="21">
        <v>99.533687298358117</v>
      </c>
      <c r="K71" s="21">
        <v>45.103161012363174</v>
      </c>
      <c r="L71" s="21">
        <v>59.434986206061218</v>
      </c>
      <c r="M71" s="21">
        <v>31.247100357574947</v>
      </c>
      <c r="N71" s="21">
        <v>56.55523026979445</v>
      </c>
      <c r="O71" s="21"/>
      <c r="P71" s="21">
        <v>43.383802288850859</v>
      </c>
      <c r="Q71" s="21">
        <v>33.311361110079091</v>
      </c>
      <c r="R71" s="21">
        <v>56.132384920599939</v>
      </c>
      <c r="S71" s="21">
        <v>57.345846499813071</v>
      </c>
    </row>
    <row r="72" spans="1:19">
      <c r="A72" s="9">
        <f t="shared" si="1"/>
        <v>34912</v>
      </c>
      <c r="B72" s="21"/>
      <c r="C72" s="21"/>
      <c r="D72" s="21"/>
      <c r="E72" s="21">
        <v>66.329804339761978</v>
      </c>
      <c r="F72" s="21">
        <v>63.993833168442258</v>
      </c>
      <c r="G72" s="21">
        <v>93.938632496779974</v>
      </c>
      <c r="H72" s="21">
        <v>69.72541601739087</v>
      </c>
      <c r="I72" s="21">
        <v>69.969553578346478</v>
      </c>
      <c r="J72" s="21">
        <v>94.591487139903819</v>
      </c>
      <c r="K72" s="21">
        <v>45.22206756032918</v>
      </c>
      <c r="L72" s="21">
        <v>59.841722869704718</v>
      </c>
      <c r="M72" s="21">
        <v>31.087731704217994</v>
      </c>
      <c r="N72" s="21">
        <v>56.934994862533351</v>
      </c>
      <c r="O72" s="21"/>
      <c r="P72" s="21">
        <v>44.042981459917257</v>
      </c>
      <c r="Q72" s="21">
        <v>35.227808489105364</v>
      </c>
      <c r="R72" s="21">
        <v>56.080945534584771</v>
      </c>
      <c r="S72" s="21">
        <v>56.875281935804693</v>
      </c>
    </row>
    <row r="73" spans="1:19">
      <c r="A73" s="9">
        <f t="shared" si="1"/>
        <v>34943</v>
      </c>
      <c r="B73" s="21"/>
      <c r="C73" s="21"/>
      <c r="D73" s="21"/>
      <c r="E73" s="21">
        <v>66.019192768758472</v>
      </c>
      <c r="F73" s="21">
        <v>64.244061132026147</v>
      </c>
      <c r="G73" s="21">
        <v>86.999462095858547</v>
      </c>
      <c r="H73" s="21">
        <v>67.963969169840709</v>
      </c>
      <c r="I73" s="21">
        <v>69.802511608565936</v>
      </c>
      <c r="J73" s="21">
        <v>95.395655259350534</v>
      </c>
      <c r="K73" s="21">
        <v>43.840357386063928</v>
      </c>
      <c r="L73" s="21">
        <v>57.060502896598351</v>
      </c>
      <c r="M73" s="21">
        <v>31.059072686914909</v>
      </c>
      <c r="N73" s="21">
        <v>54.46713456160613</v>
      </c>
      <c r="O73" s="21"/>
      <c r="P73" s="21">
        <v>44.720820960022181</v>
      </c>
      <c r="Q73" s="21">
        <v>36.387786875296648</v>
      </c>
      <c r="R73" s="21">
        <v>57.46246144127074</v>
      </c>
      <c r="S73" s="21">
        <v>57.089474264006455</v>
      </c>
    </row>
    <row r="74" spans="1:19">
      <c r="A74" s="9">
        <f t="shared" si="1"/>
        <v>34973</v>
      </c>
      <c r="B74" s="21"/>
      <c r="C74" s="21"/>
      <c r="D74" s="21"/>
      <c r="E74" s="21">
        <v>66.927064962316365</v>
      </c>
      <c r="F74" s="21">
        <v>65.49882346878266</v>
      </c>
      <c r="G74" s="21">
        <v>83.807441931788091</v>
      </c>
      <c r="H74" s="21">
        <v>66.269893601776459</v>
      </c>
      <c r="I74" s="21">
        <v>70.404495141246045</v>
      </c>
      <c r="J74" s="21">
        <v>93.928383524243358</v>
      </c>
      <c r="K74" s="21">
        <v>42.900398109379353</v>
      </c>
      <c r="L74" s="21">
        <v>55.276278005039337</v>
      </c>
      <c r="M74" s="21">
        <v>30.935352473318851</v>
      </c>
      <c r="N74" s="21">
        <v>52.776741483098064</v>
      </c>
      <c r="O74" s="21"/>
      <c r="P74" s="21">
        <v>44.118819904915114</v>
      </c>
      <c r="Q74" s="21">
        <v>34.648811676584586</v>
      </c>
      <c r="R74" s="21">
        <v>59.996158347679966</v>
      </c>
      <c r="S74" s="21">
        <v>56.978301246798424</v>
      </c>
    </row>
    <row r="75" spans="1:19">
      <c r="A75" s="9">
        <f t="shared" si="1"/>
        <v>35004</v>
      </c>
      <c r="B75" s="21"/>
      <c r="C75" s="21"/>
      <c r="D75" s="21"/>
      <c r="E75" s="21">
        <v>65.929985242672728</v>
      </c>
      <c r="F75" s="21">
        <v>64.481001415911621</v>
      </c>
      <c r="G75" s="21">
        <v>83.055515714328763</v>
      </c>
      <c r="H75" s="21">
        <v>68.857131517875644</v>
      </c>
      <c r="I75" s="21">
        <v>70.134578986623239</v>
      </c>
      <c r="J75" s="21">
        <v>98.577535089046776</v>
      </c>
      <c r="K75" s="21">
        <v>43.848137289107456</v>
      </c>
      <c r="L75" s="21">
        <v>57.043952520856621</v>
      </c>
      <c r="M75" s="21">
        <v>31.090375191862954</v>
      </c>
      <c r="N75" s="21">
        <v>54.321938983736828</v>
      </c>
      <c r="O75" s="21"/>
      <c r="P75" s="21">
        <v>45.571366575632808</v>
      </c>
      <c r="Q75" s="21">
        <v>36.256341256701909</v>
      </c>
      <c r="R75" s="21">
        <v>61.850202913393616</v>
      </c>
      <c r="S75" s="21">
        <v>56.242112862887282</v>
      </c>
    </row>
    <row r="76" spans="1:19">
      <c r="A76" s="9">
        <f t="shared" si="1"/>
        <v>35034</v>
      </c>
      <c r="B76" s="21"/>
      <c r="C76" s="21"/>
      <c r="D76" s="21"/>
      <c r="E76" s="21">
        <v>65.873283509758622</v>
      </c>
      <c r="F76" s="21">
        <v>65.284231949643114</v>
      </c>
      <c r="G76" s="21">
        <v>72.835280086824383</v>
      </c>
      <c r="H76" s="21">
        <v>67.862964166181712</v>
      </c>
      <c r="I76" s="21">
        <v>69.925172997289195</v>
      </c>
      <c r="J76" s="21">
        <v>97.33512550257467</v>
      </c>
      <c r="K76" s="21">
        <v>43.437985351018014</v>
      </c>
      <c r="L76" s="21">
        <v>56.148455765846599</v>
      </c>
      <c r="M76" s="21">
        <v>31.149456385691405</v>
      </c>
      <c r="N76" s="21">
        <v>53.458274042358717</v>
      </c>
      <c r="O76" s="21"/>
      <c r="P76" s="21">
        <v>49.653388996444882</v>
      </c>
      <c r="Q76" s="21">
        <v>39.25218435345375</v>
      </c>
      <c r="R76" s="21">
        <v>70.953652702822069</v>
      </c>
      <c r="S76" s="21">
        <v>55.24814128837005</v>
      </c>
    </row>
    <row r="77" spans="1:19">
      <c r="A77" s="9">
        <f t="shared" si="1"/>
        <v>35065</v>
      </c>
      <c r="B77" s="21"/>
      <c r="C77" s="21"/>
      <c r="D77" s="21"/>
      <c r="E77" s="21">
        <v>66.021328279820509</v>
      </c>
      <c r="F77" s="21">
        <v>65.598639146254598</v>
      </c>
      <c r="G77" s="21">
        <v>71.017088414080874</v>
      </c>
      <c r="H77" s="21">
        <v>65.523063228960424</v>
      </c>
      <c r="I77" s="21">
        <v>69.798482030529016</v>
      </c>
      <c r="J77" s="21">
        <v>95.349920496630659</v>
      </c>
      <c r="K77" s="21">
        <v>42.72679226922174</v>
      </c>
      <c r="L77" s="21">
        <v>53.667571328328684</v>
      </c>
      <c r="M77" s="21">
        <v>32.149207334660723</v>
      </c>
      <c r="N77" s="21">
        <v>51.361499818409442</v>
      </c>
      <c r="O77" s="21"/>
      <c r="P77" s="21">
        <v>50.013663496839492</v>
      </c>
      <c r="Q77" s="21">
        <v>39.196993235367309</v>
      </c>
      <c r="R77" s="21">
        <v>74.922145904472401</v>
      </c>
      <c r="S77" s="21">
        <v>55.060605412840758</v>
      </c>
    </row>
    <row r="78" spans="1:19">
      <c r="A78" s="9">
        <f t="shared" si="1"/>
        <v>35096</v>
      </c>
      <c r="B78" s="21"/>
      <c r="C78" s="21"/>
      <c r="D78" s="21"/>
      <c r="E78" s="21">
        <v>68.013092197206092</v>
      </c>
      <c r="F78" s="21">
        <v>67.190638829138379</v>
      </c>
      <c r="G78" s="21">
        <v>77.733663232042076</v>
      </c>
      <c r="H78" s="21">
        <v>65.853444775536587</v>
      </c>
      <c r="I78" s="21">
        <v>71.461837030864018</v>
      </c>
      <c r="J78" s="21">
        <v>94.791676698091337</v>
      </c>
      <c r="K78" s="21">
        <v>43.279827787773975</v>
      </c>
      <c r="L78" s="21">
        <v>54.351161075392419</v>
      </c>
      <c r="M78" s="21">
        <v>32.576022550875635</v>
      </c>
      <c r="N78" s="21">
        <v>52.075830962670345</v>
      </c>
      <c r="O78" s="21"/>
      <c r="P78" s="21">
        <v>52.236435295141128</v>
      </c>
      <c r="Q78" s="21">
        <v>38.622392078190231</v>
      </c>
      <c r="R78" s="21">
        <v>87.649194977495071</v>
      </c>
      <c r="S78" s="21">
        <v>54.608308365868311</v>
      </c>
    </row>
    <row r="79" spans="1:19">
      <c r="A79" s="9">
        <f t="shared" si="1"/>
        <v>35125</v>
      </c>
      <c r="B79" s="21"/>
      <c r="C79" s="21"/>
      <c r="D79" s="21"/>
      <c r="E79" s="21">
        <v>68.382991394711169</v>
      </c>
      <c r="F79" s="21">
        <v>67.911077082673572</v>
      </c>
      <c r="G79" s="21">
        <v>73.960543594776638</v>
      </c>
      <c r="H79" s="21">
        <v>66.32789395179806</v>
      </c>
      <c r="I79" s="21">
        <v>71.929177794971039</v>
      </c>
      <c r="J79" s="21">
        <v>95.918183690897223</v>
      </c>
      <c r="K79" s="21">
        <v>43.053548769426932</v>
      </c>
      <c r="L79" s="21">
        <v>54.566432219807893</v>
      </c>
      <c r="M79" s="21">
        <v>31.922851231326156</v>
      </c>
      <c r="N79" s="21">
        <v>52.195002223571805</v>
      </c>
      <c r="O79" s="21"/>
      <c r="P79" s="21">
        <v>52.433870375462831</v>
      </c>
      <c r="Q79" s="21">
        <v>42.507558686718504</v>
      </c>
      <c r="R79" s="21">
        <v>75.525544959107876</v>
      </c>
      <c r="S79" s="21">
        <v>53.383366591876275</v>
      </c>
    </row>
    <row r="80" spans="1:19">
      <c r="A80" s="9">
        <f t="shared" si="1"/>
        <v>35156</v>
      </c>
      <c r="B80" s="21"/>
      <c r="C80" s="21"/>
      <c r="D80" s="21"/>
      <c r="E80" s="21">
        <v>72.294612835701571</v>
      </c>
      <c r="F80" s="21">
        <v>72.03857700640053</v>
      </c>
      <c r="G80" s="21">
        <v>75.320698645321514</v>
      </c>
      <c r="H80" s="21">
        <v>65.396216274318959</v>
      </c>
      <c r="I80" s="21">
        <v>74.9444812200488</v>
      </c>
      <c r="J80" s="21">
        <v>92.870134617985215</v>
      </c>
      <c r="K80" s="21">
        <v>42.857562825662797</v>
      </c>
      <c r="L80" s="21">
        <v>54.475963648340745</v>
      </c>
      <c r="M80" s="21">
        <v>31.624850708754263</v>
      </c>
      <c r="N80" s="21">
        <v>52.046609841313881</v>
      </c>
      <c r="O80" s="21"/>
      <c r="P80" s="21">
        <v>53.071019416586779</v>
      </c>
      <c r="Q80" s="21">
        <v>45.966770599655341</v>
      </c>
      <c r="R80" s="21">
        <v>67.115197609739511</v>
      </c>
      <c r="S80" s="21">
        <v>54.193800769308439</v>
      </c>
    </row>
    <row r="81" spans="1:19">
      <c r="A81" s="9">
        <f t="shared" si="1"/>
        <v>35186</v>
      </c>
      <c r="B81" s="21"/>
      <c r="C81" s="21"/>
      <c r="D81" s="21"/>
      <c r="E81" s="21">
        <v>74.306767709598631</v>
      </c>
      <c r="F81" s="21">
        <v>74.005750179531674</v>
      </c>
      <c r="G81" s="21">
        <v>77.864491949480467</v>
      </c>
      <c r="H81" s="21">
        <v>66.642200236162594</v>
      </c>
      <c r="I81" s="21">
        <v>77.088809302006524</v>
      </c>
      <c r="J81" s="21">
        <v>95.908579226704674</v>
      </c>
      <c r="K81" s="21">
        <v>43.053874566836015</v>
      </c>
      <c r="L81" s="21">
        <v>55.009485600173306</v>
      </c>
      <c r="M81" s="21">
        <v>31.495146393412622</v>
      </c>
      <c r="N81" s="21">
        <v>52.479525115325494</v>
      </c>
      <c r="O81" s="21"/>
      <c r="P81" s="21">
        <v>50.298864549068114</v>
      </c>
      <c r="Q81" s="21">
        <v>42.577053960130023</v>
      </c>
      <c r="R81" s="21">
        <v>66.975471043719551</v>
      </c>
      <c r="S81" s="21">
        <v>53.084892717694188</v>
      </c>
    </row>
    <row r="82" spans="1:19">
      <c r="A82" s="9">
        <f t="shared" si="1"/>
        <v>35217</v>
      </c>
      <c r="B82" s="21"/>
      <c r="C82" s="21"/>
      <c r="D82" s="21"/>
      <c r="E82" s="21">
        <v>71.816458323301788</v>
      </c>
      <c r="F82" s="21">
        <v>71.540147362050405</v>
      </c>
      <c r="G82" s="21">
        <v>75.082175786236164</v>
      </c>
      <c r="H82" s="21">
        <v>63.631963962308653</v>
      </c>
      <c r="I82" s="21">
        <v>75.04390067219704</v>
      </c>
      <c r="J82" s="21">
        <v>96.876688009810323</v>
      </c>
      <c r="K82" s="21">
        <v>40.5001705901335</v>
      </c>
      <c r="L82" s="21">
        <v>50.4179483807509</v>
      </c>
      <c r="M82" s="21">
        <v>30.911626997797956</v>
      </c>
      <c r="N82" s="21">
        <v>48.292964145824641</v>
      </c>
      <c r="O82" s="21"/>
      <c r="P82" s="21">
        <v>50.243153705352356</v>
      </c>
      <c r="Q82" s="21">
        <v>41.791846382660367</v>
      </c>
      <c r="R82" s="21">
        <v>70.108298489659717</v>
      </c>
      <c r="S82" s="21">
        <v>52.401860700669189</v>
      </c>
    </row>
    <row r="83" spans="1:19">
      <c r="A83" s="9">
        <f t="shared" si="1"/>
        <v>35247</v>
      </c>
      <c r="B83" s="21"/>
      <c r="C83" s="21"/>
      <c r="D83" s="21"/>
      <c r="E83" s="21">
        <v>72.25232021886751</v>
      </c>
      <c r="F83" s="21">
        <v>72.340719816086875</v>
      </c>
      <c r="G83" s="21">
        <v>71.207525951393592</v>
      </c>
      <c r="H83" s="21">
        <v>61.158601983150248</v>
      </c>
      <c r="I83" s="21">
        <v>75.017101070675054</v>
      </c>
      <c r="J83" s="21">
        <v>93.720106685409363</v>
      </c>
      <c r="K83" s="21">
        <v>39.34833183049534</v>
      </c>
      <c r="L83" s="21">
        <v>48.216150426631671</v>
      </c>
      <c r="M83" s="21">
        <v>30.774892601153269</v>
      </c>
      <c r="N83" s="21">
        <v>46.31896617633722</v>
      </c>
      <c r="O83" s="21"/>
      <c r="P83" s="21">
        <v>51.745556573668146</v>
      </c>
      <c r="Q83" s="21">
        <v>43.349307786789531</v>
      </c>
      <c r="R83" s="21">
        <v>70.99301576515991</v>
      </c>
      <c r="S83" s="21">
        <v>52.31169926260069</v>
      </c>
    </row>
    <row r="84" spans="1:19">
      <c r="A84" s="9">
        <f t="shared" si="1"/>
        <v>35278</v>
      </c>
      <c r="B84" s="21"/>
      <c r="C84" s="21"/>
      <c r="D84" s="21"/>
      <c r="E84" s="21">
        <v>71.508431822154307</v>
      </c>
      <c r="F84" s="21">
        <v>71.450208365985006</v>
      </c>
      <c r="G84" s="21">
        <v>72.196574473836932</v>
      </c>
      <c r="H84" s="21">
        <v>61.204449237075735</v>
      </c>
      <c r="I84" s="21">
        <v>74.360647063481352</v>
      </c>
      <c r="J84" s="21">
        <v>93.655123020986238</v>
      </c>
      <c r="K84" s="21">
        <v>39.544589722698966</v>
      </c>
      <c r="L84" s="21">
        <v>48.306050429495137</v>
      </c>
      <c r="M84" s="21">
        <v>31.073977687094946</v>
      </c>
      <c r="N84" s="21">
        <v>46.422266675459596</v>
      </c>
      <c r="O84" s="21"/>
      <c r="P84" s="21">
        <v>52.015101706731073</v>
      </c>
      <c r="Q84" s="21">
        <v>44.860735307796368</v>
      </c>
      <c r="R84" s="21">
        <v>64.603469229354005</v>
      </c>
      <c r="S84" s="21">
        <v>52.221694573858016</v>
      </c>
    </row>
    <row r="85" spans="1:19">
      <c r="A85" s="9">
        <f t="shared" si="1"/>
        <v>35309</v>
      </c>
      <c r="B85" s="21"/>
      <c r="C85" s="21"/>
      <c r="D85" s="21"/>
      <c r="E85" s="21">
        <v>66.109128762722207</v>
      </c>
      <c r="F85" s="21">
        <v>65.779349271237351</v>
      </c>
      <c r="G85" s="21">
        <v>70.006790438474326</v>
      </c>
      <c r="H85" s="21">
        <v>61.227195412451834</v>
      </c>
      <c r="I85" s="21">
        <v>69.921414631678488</v>
      </c>
      <c r="J85" s="21">
        <v>95.710512514589098</v>
      </c>
      <c r="K85" s="21">
        <v>38.950227314901213</v>
      </c>
      <c r="L85" s="21">
        <v>47.520867489850779</v>
      </c>
      <c r="M85" s="21">
        <v>30.664101262604355</v>
      </c>
      <c r="N85" s="21">
        <v>45.639203017339412</v>
      </c>
      <c r="O85" s="21"/>
      <c r="P85" s="21">
        <v>55.437039065997929</v>
      </c>
      <c r="Q85" s="21">
        <v>49.679319428121282</v>
      </c>
      <c r="R85" s="21">
        <v>61.587427863025383</v>
      </c>
      <c r="S85" s="21">
        <v>53.091164799397475</v>
      </c>
    </row>
    <row r="86" spans="1:19">
      <c r="A86" s="9">
        <f t="shared" si="1"/>
        <v>35339</v>
      </c>
      <c r="B86" s="21"/>
      <c r="C86" s="21"/>
      <c r="D86" s="21"/>
      <c r="E86" s="21">
        <v>63.990138991782473</v>
      </c>
      <c r="F86" s="21">
        <v>63.483800216979844</v>
      </c>
      <c r="G86" s="21">
        <v>69.974553694496038</v>
      </c>
      <c r="H86" s="21">
        <v>60.023371536356159</v>
      </c>
      <c r="I86" s="21">
        <v>67.855677845026676</v>
      </c>
      <c r="J86" s="21">
        <v>94.005017974076665</v>
      </c>
      <c r="K86" s="21">
        <v>38.350561933967249</v>
      </c>
      <c r="L86" s="21">
        <v>46.516446200672071</v>
      </c>
      <c r="M86" s="21">
        <v>30.455755363957213</v>
      </c>
      <c r="N86" s="21">
        <v>44.67721849073299</v>
      </c>
      <c r="O86" s="21"/>
      <c r="P86" s="21">
        <v>59.372026222319079</v>
      </c>
      <c r="Q86" s="21">
        <v>52.618054621244291</v>
      </c>
      <c r="R86" s="21">
        <v>70.289442775069816</v>
      </c>
      <c r="S86" s="21">
        <v>53.409709124163037</v>
      </c>
    </row>
    <row r="87" spans="1:19">
      <c r="A87" s="9">
        <f t="shared" si="1"/>
        <v>35370</v>
      </c>
      <c r="B87" s="21"/>
      <c r="C87" s="21"/>
      <c r="D87" s="21"/>
      <c r="E87" s="21">
        <v>63.355997383343848</v>
      </c>
      <c r="F87" s="21">
        <v>62.87401446058761</v>
      </c>
      <c r="G87" s="21">
        <v>69.052550428335422</v>
      </c>
      <c r="H87" s="21">
        <v>62.382155637342763</v>
      </c>
      <c r="I87" s="21">
        <v>67.555274944815608</v>
      </c>
      <c r="J87" s="21">
        <v>95.962268489597804</v>
      </c>
      <c r="K87" s="21">
        <v>39.475421964029138</v>
      </c>
      <c r="L87" s="21">
        <v>49.034830695612293</v>
      </c>
      <c r="M87" s="21">
        <v>30.233350879672681</v>
      </c>
      <c r="N87" s="21">
        <v>46.877206045845249</v>
      </c>
      <c r="O87" s="21"/>
      <c r="P87" s="21">
        <v>60.504780121697351</v>
      </c>
      <c r="Q87" s="21">
        <v>49.901702192730617</v>
      </c>
      <c r="R87" s="21">
        <v>82.497343226410109</v>
      </c>
      <c r="S87" s="21">
        <v>51.968771455820608</v>
      </c>
    </row>
    <row r="88" spans="1:19">
      <c r="A88" s="9">
        <f t="shared" si="1"/>
        <v>35400</v>
      </c>
      <c r="B88" s="21"/>
      <c r="C88" s="21"/>
      <c r="D88" s="21"/>
      <c r="E88" s="21">
        <v>63.227310584778493</v>
      </c>
      <c r="F88" s="21">
        <v>63.023006103442924</v>
      </c>
      <c r="G88" s="21">
        <v>65.641983927564453</v>
      </c>
      <c r="H88" s="21">
        <v>61.230866340401917</v>
      </c>
      <c r="I88" s="21">
        <v>66.872950432015287</v>
      </c>
      <c r="J88" s="21">
        <v>91.534732391186409</v>
      </c>
      <c r="K88" s="21">
        <v>39.185393348867258</v>
      </c>
      <c r="L88" s="21">
        <v>49.185774385229024</v>
      </c>
      <c r="M88" s="21">
        <v>29.516988638506106</v>
      </c>
      <c r="N88" s="21">
        <v>46.970539364213437</v>
      </c>
      <c r="O88" s="21"/>
      <c r="P88" s="21">
        <v>64.294939976800094</v>
      </c>
      <c r="Q88" s="21">
        <v>52.91153117327773</v>
      </c>
      <c r="R88" s="21">
        <v>91.680359364293253</v>
      </c>
      <c r="S88" s="21">
        <v>52.417618752422712</v>
      </c>
    </row>
    <row r="89" spans="1:19">
      <c r="A89" s="9">
        <f t="shared" si="1"/>
        <v>35431</v>
      </c>
      <c r="B89" s="21"/>
      <c r="C89" s="21"/>
      <c r="D89" s="21"/>
      <c r="E89" s="21">
        <v>64.711085382447209</v>
      </c>
      <c r="F89" s="21">
        <v>64.373053246612301</v>
      </c>
      <c r="G89" s="21">
        <v>68.706285008367018</v>
      </c>
      <c r="H89" s="21">
        <v>63.535974210103994</v>
      </c>
      <c r="I89" s="21">
        <v>68.419043740768331</v>
      </c>
      <c r="J89" s="21">
        <v>93.502393818783375</v>
      </c>
      <c r="K89" s="21">
        <v>39.869705320025872</v>
      </c>
      <c r="L89" s="21">
        <v>51.625009478774075</v>
      </c>
      <c r="M89" s="21">
        <v>28.504634560530338</v>
      </c>
      <c r="N89" s="21">
        <v>49.100618646850016</v>
      </c>
      <c r="O89" s="21"/>
      <c r="P89" s="21">
        <v>61.484578729773034</v>
      </c>
      <c r="Q89" s="21">
        <v>53.093303586266899</v>
      </c>
      <c r="R89" s="21">
        <v>85.013802831053738</v>
      </c>
      <c r="S89" s="21">
        <v>51.967203329961265</v>
      </c>
    </row>
    <row r="90" spans="1:19">
      <c r="A90" s="9">
        <f t="shared" si="1"/>
        <v>35462</v>
      </c>
      <c r="B90" s="21"/>
      <c r="C90" s="21"/>
      <c r="D90" s="21"/>
      <c r="E90" s="21">
        <v>65.538385360111448</v>
      </c>
      <c r="F90" s="21">
        <v>64.447717343491945</v>
      </c>
      <c r="G90" s="21">
        <v>78.428983590478907</v>
      </c>
      <c r="H90" s="21">
        <v>64.083509776033608</v>
      </c>
      <c r="I90" s="21">
        <v>69.113179662529717</v>
      </c>
      <c r="J90" s="21">
        <v>93.295710392203546</v>
      </c>
      <c r="K90" s="21">
        <v>40.075243026821596</v>
      </c>
      <c r="L90" s="21">
        <v>52.472329801668032</v>
      </c>
      <c r="M90" s="21">
        <v>28.08969450293381</v>
      </c>
      <c r="N90" s="21">
        <v>50.022078802396017</v>
      </c>
      <c r="O90" s="21"/>
      <c r="P90" s="21">
        <v>53.480830956196279</v>
      </c>
      <c r="Q90" s="21">
        <v>47.947164028989242</v>
      </c>
      <c r="R90" s="21">
        <v>70.132845160297876</v>
      </c>
      <c r="S90" s="21">
        <v>50.920075599424912</v>
      </c>
    </row>
    <row r="91" spans="1:19">
      <c r="A91" s="9">
        <f t="shared" si="1"/>
        <v>35490</v>
      </c>
      <c r="B91" s="21"/>
      <c r="C91" s="21"/>
      <c r="D91" s="21"/>
      <c r="E91" s="21">
        <v>66.882861421734646</v>
      </c>
      <c r="F91" s="21">
        <v>65.153214199990444</v>
      </c>
      <c r="G91" s="21">
        <v>87.32555074243426</v>
      </c>
      <c r="H91" s="21">
        <v>64.679783994327011</v>
      </c>
      <c r="I91" s="21">
        <v>70.261429306833321</v>
      </c>
      <c r="J91" s="21">
        <v>93.11654062006815</v>
      </c>
      <c r="K91" s="21">
        <v>40.776920052421488</v>
      </c>
      <c r="L91" s="21">
        <v>53.37682522695691</v>
      </c>
      <c r="M91" s="21">
        <v>28.595285963016693</v>
      </c>
      <c r="N91" s="21">
        <v>50.961297904172973</v>
      </c>
      <c r="O91" s="21"/>
      <c r="P91" s="21">
        <v>50.539143015758327</v>
      </c>
      <c r="Q91" s="21">
        <v>45.600239315232251</v>
      </c>
      <c r="R91" s="21">
        <v>64.260960478737289</v>
      </c>
      <c r="S91" s="21">
        <v>50.538261307818537</v>
      </c>
    </row>
    <row r="92" spans="1:19">
      <c r="A92" s="9">
        <f t="shared" si="1"/>
        <v>35521</v>
      </c>
      <c r="B92" s="21"/>
      <c r="C92" s="21"/>
      <c r="D92" s="21"/>
      <c r="E92" s="21">
        <v>67.099110890838716</v>
      </c>
      <c r="F92" s="21">
        <v>65.150843255988121</v>
      </c>
      <c r="G92" s="21">
        <v>90.125673459280776</v>
      </c>
      <c r="H92" s="21">
        <v>62.416092390146517</v>
      </c>
      <c r="I92" s="21">
        <v>69.979820774958554</v>
      </c>
      <c r="J92" s="21">
        <v>89.4670553967877</v>
      </c>
      <c r="K92" s="21">
        <v>39.598488418204525</v>
      </c>
      <c r="L92" s="21">
        <v>51.663954813213884</v>
      </c>
      <c r="M92" s="21">
        <v>27.933551682088684</v>
      </c>
      <c r="N92" s="21">
        <v>49.297779601564152</v>
      </c>
      <c r="O92" s="21"/>
      <c r="P92" s="21">
        <v>47.81372945958028</v>
      </c>
      <c r="Q92" s="21">
        <v>42.352673498929924</v>
      </c>
      <c r="R92" s="21">
        <v>63.826285605918528</v>
      </c>
      <c r="S92" s="21">
        <v>50.862137218332457</v>
      </c>
    </row>
    <row r="93" spans="1:19">
      <c r="A93" s="9">
        <f t="shared" si="1"/>
        <v>35551</v>
      </c>
      <c r="B93" s="21"/>
      <c r="C93" s="21"/>
      <c r="D93" s="21"/>
      <c r="E93" s="21">
        <v>68.026090101821865</v>
      </c>
      <c r="F93" s="21">
        <v>64.697310891425985</v>
      </c>
      <c r="G93" s="21">
        <v>107.36891004790567</v>
      </c>
      <c r="H93" s="21">
        <v>64.249213092303521</v>
      </c>
      <c r="I93" s="21">
        <v>71.08382488053401</v>
      </c>
      <c r="J93" s="21">
        <v>91.76858573499139</v>
      </c>
      <c r="K93" s="21">
        <v>40.440267630339989</v>
      </c>
      <c r="L93" s="21">
        <v>53.310893424629825</v>
      </c>
      <c r="M93" s="21">
        <v>27.996899862417507</v>
      </c>
      <c r="N93" s="21">
        <v>50.87725810681389</v>
      </c>
      <c r="O93" s="21"/>
      <c r="P93" s="21">
        <v>50.701203415840602</v>
      </c>
      <c r="Q93" s="21">
        <v>45.294244056277414</v>
      </c>
      <c r="R93" s="21">
        <v>66.56246220768719</v>
      </c>
      <c r="S93" s="21">
        <v>50.740536891651097</v>
      </c>
    </row>
    <row r="94" spans="1:19">
      <c r="A94" s="9">
        <f t="shared" si="1"/>
        <v>35582</v>
      </c>
      <c r="B94" s="21"/>
      <c r="C94" s="21"/>
      <c r="D94" s="21"/>
      <c r="E94" s="21">
        <v>65.301342069647333</v>
      </c>
      <c r="F94" s="21">
        <v>62.410982095036047</v>
      </c>
      <c r="G94" s="21">
        <v>99.462487905142893</v>
      </c>
      <c r="H94" s="21">
        <v>63.31351269665678</v>
      </c>
      <c r="I94" s="21">
        <v>68.450820530400293</v>
      </c>
      <c r="J94" s="21">
        <v>89.75620294305601</v>
      </c>
      <c r="K94" s="21">
        <v>40.227612147390758</v>
      </c>
      <c r="L94" s="21">
        <v>52.803149595583491</v>
      </c>
      <c r="M94" s="21">
        <v>28.069536864325002</v>
      </c>
      <c r="N94" s="21">
        <v>50.701640808372751</v>
      </c>
      <c r="O94" s="21"/>
      <c r="P94" s="21">
        <v>48.119794388495471</v>
      </c>
      <c r="Q94" s="21">
        <v>41.775903085353555</v>
      </c>
      <c r="R94" s="21">
        <v>66.071210621392765</v>
      </c>
      <c r="S94" s="21">
        <v>49.66894783160491</v>
      </c>
    </row>
    <row r="95" spans="1:19">
      <c r="A95" s="9">
        <f t="shared" si="1"/>
        <v>35612</v>
      </c>
      <c r="B95" s="21"/>
      <c r="C95" s="21"/>
      <c r="D95" s="21"/>
      <c r="E95" s="21">
        <v>63.397957954977215</v>
      </c>
      <c r="F95" s="21">
        <v>61.198175328629915</v>
      </c>
      <c r="G95" s="21">
        <v>89.39717458028565</v>
      </c>
      <c r="H95" s="21">
        <v>62.462126803321134</v>
      </c>
      <c r="I95" s="21">
        <v>66.639379485010807</v>
      </c>
      <c r="J95" s="21">
        <v>88.566732257403132</v>
      </c>
      <c r="K95" s="21">
        <v>39.16276593223936</v>
      </c>
      <c r="L95" s="21">
        <v>52.086144655664228</v>
      </c>
      <c r="M95" s="21">
        <v>26.668396440814522</v>
      </c>
      <c r="N95" s="21">
        <v>49.83725640595371</v>
      </c>
      <c r="O95" s="21"/>
      <c r="P95" s="21">
        <v>48.371750732516794</v>
      </c>
      <c r="Q95" s="21">
        <v>43.112245601365345</v>
      </c>
      <c r="R95" s="21">
        <v>63.978548068897453</v>
      </c>
      <c r="S95" s="21">
        <v>49.24173932231264</v>
      </c>
    </row>
    <row r="96" spans="1:19">
      <c r="A96" s="9">
        <f t="shared" si="1"/>
        <v>35643</v>
      </c>
      <c r="B96" s="21"/>
      <c r="C96" s="21"/>
      <c r="D96" s="21"/>
      <c r="E96" s="21">
        <v>62.490512983314517</v>
      </c>
      <c r="F96" s="21">
        <v>60.364527475767758</v>
      </c>
      <c r="G96" s="21">
        <v>87.617521939083716</v>
      </c>
      <c r="H96" s="21">
        <v>61.419067146687766</v>
      </c>
      <c r="I96" s="21">
        <v>65.357672398497343</v>
      </c>
      <c r="J96" s="21">
        <v>84.753241709332343</v>
      </c>
      <c r="K96" s="21">
        <v>39.279747589173176</v>
      </c>
      <c r="L96" s="21">
        <v>52.144267758580177</v>
      </c>
      <c r="M96" s="21">
        <v>26.842282761564896</v>
      </c>
      <c r="N96" s="21">
        <v>50.051331938594288</v>
      </c>
      <c r="O96" s="21"/>
      <c r="P96" s="21">
        <v>49.751696091376736</v>
      </c>
      <c r="Q96" s="21">
        <v>44.622120688136228</v>
      </c>
      <c r="R96" s="21">
        <v>67.166218614563107</v>
      </c>
      <c r="S96" s="21">
        <v>50.432420087225907</v>
      </c>
    </row>
    <row r="97" spans="1:19">
      <c r="A97" s="9">
        <f t="shared" si="1"/>
        <v>35674</v>
      </c>
      <c r="B97" s="21"/>
      <c r="C97" s="21"/>
      <c r="D97" s="21"/>
      <c r="E97" s="21">
        <v>61.731003540648345</v>
      </c>
      <c r="F97" s="21">
        <v>59.467789475624514</v>
      </c>
      <c r="G97" s="21">
        <v>88.479915929189715</v>
      </c>
      <c r="H97" s="21">
        <v>59.428688750238834</v>
      </c>
      <c r="I97" s="21">
        <v>64.47349139976987</v>
      </c>
      <c r="J97" s="21">
        <v>83.025690860337264</v>
      </c>
      <c r="K97" s="21">
        <v>38.260826892192604</v>
      </c>
      <c r="L97" s="21">
        <v>50.049421438067391</v>
      </c>
      <c r="M97" s="21">
        <v>26.863570865502307</v>
      </c>
      <c r="N97" s="21">
        <v>48.180905193211956</v>
      </c>
      <c r="O97" s="21"/>
      <c r="P97" s="21">
        <v>50.868911616598176</v>
      </c>
      <c r="Q97" s="21">
        <v>44.377561872597141</v>
      </c>
      <c r="R97" s="21">
        <v>72.814294586024005</v>
      </c>
      <c r="S97" s="21">
        <v>49.696780853122711</v>
      </c>
    </row>
    <row r="98" spans="1:19">
      <c r="A98" s="9">
        <f t="shared" si="1"/>
        <v>35704</v>
      </c>
      <c r="B98" s="21"/>
      <c r="C98" s="21"/>
      <c r="D98" s="21"/>
      <c r="E98" s="21">
        <v>61.364250268174573</v>
      </c>
      <c r="F98" s="21">
        <v>59.438049712938287</v>
      </c>
      <c r="G98" s="21">
        <v>84.130002165458095</v>
      </c>
      <c r="H98" s="21">
        <v>57.588610712967942</v>
      </c>
      <c r="I98" s="21">
        <v>63.767737479075521</v>
      </c>
      <c r="J98" s="21">
        <v>80.026687902228886</v>
      </c>
      <c r="K98" s="21">
        <v>37.640820408601257</v>
      </c>
      <c r="L98" s="21">
        <v>48.669989485267578</v>
      </c>
      <c r="M98" s="21">
        <v>26.977779684004574</v>
      </c>
      <c r="N98" s="21">
        <v>47.09796395161608</v>
      </c>
      <c r="O98" s="21"/>
      <c r="P98" s="21">
        <v>53.429404473586708</v>
      </c>
      <c r="Q98" s="21">
        <v>47.256346000437446</v>
      </c>
      <c r="R98" s="21">
        <v>74.406740319723326</v>
      </c>
      <c r="S98" s="21">
        <v>49.013748836097719</v>
      </c>
    </row>
    <row r="99" spans="1:19">
      <c r="A99" s="9">
        <f t="shared" si="1"/>
        <v>35735</v>
      </c>
      <c r="B99" s="21"/>
      <c r="C99" s="21"/>
      <c r="D99" s="21"/>
      <c r="E99" s="21">
        <v>62.175395220594417</v>
      </c>
      <c r="F99" s="21">
        <v>60.434292094274326</v>
      </c>
      <c r="G99" s="21">
        <v>82.753481803341586</v>
      </c>
      <c r="H99" s="21">
        <v>56.69516668843108</v>
      </c>
      <c r="I99" s="21">
        <v>64.48524500462365</v>
      </c>
      <c r="J99" s="21">
        <v>80.11076319050369</v>
      </c>
      <c r="K99" s="21">
        <v>36.300104787605839</v>
      </c>
      <c r="L99" s="21">
        <v>47.388003946224188</v>
      </c>
      <c r="M99" s="21">
        <v>25.580283606452504</v>
      </c>
      <c r="N99" s="21">
        <v>45.873872285822735</v>
      </c>
      <c r="O99" s="21"/>
      <c r="P99" s="21">
        <v>51.295631750308281</v>
      </c>
      <c r="Q99" s="21">
        <v>45.11937237219697</v>
      </c>
      <c r="R99" s="21">
        <v>73.314156367623909</v>
      </c>
      <c r="S99" s="21">
        <v>45.46420818799443</v>
      </c>
    </row>
    <row r="100" spans="1:19">
      <c r="A100" s="9">
        <f t="shared" si="1"/>
        <v>35765</v>
      </c>
      <c r="B100" s="21"/>
      <c r="C100" s="21"/>
      <c r="D100" s="21"/>
      <c r="E100" s="21">
        <v>61.270105282128405</v>
      </c>
      <c r="F100" s="21">
        <v>58.954268362455146</v>
      </c>
      <c r="G100" s="21">
        <v>88.640966849232285</v>
      </c>
      <c r="H100" s="21">
        <v>53.722635353161863</v>
      </c>
      <c r="I100" s="21">
        <v>63.03284741198533</v>
      </c>
      <c r="J100" s="21">
        <v>74.957328128237677</v>
      </c>
      <c r="K100" s="21">
        <v>34.678513023085323</v>
      </c>
      <c r="L100" s="21">
        <v>45.282331839181261</v>
      </c>
      <c r="M100" s="21">
        <v>24.426702475408785</v>
      </c>
      <c r="N100" s="21">
        <v>44.089256162507297</v>
      </c>
      <c r="O100" s="21"/>
      <c r="P100" s="21">
        <v>46.373655513503067</v>
      </c>
      <c r="Q100" s="21">
        <v>41.172456192192136</v>
      </c>
      <c r="R100" s="21">
        <v>65.554681973938784</v>
      </c>
      <c r="S100" s="21">
        <v>43.941184307701327</v>
      </c>
    </row>
    <row r="101" spans="1:19">
      <c r="A101" s="9">
        <f t="shared" si="1"/>
        <v>35796</v>
      </c>
      <c r="B101" s="21"/>
      <c r="C101" s="21"/>
      <c r="D101" s="21"/>
      <c r="E101" s="21">
        <v>70.210070130116861</v>
      </c>
      <c r="F101" s="21">
        <v>68.531238635070125</v>
      </c>
      <c r="G101" s="21">
        <v>90.052168705823306</v>
      </c>
      <c r="H101" s="21">
        <v>52.096493250267514</v>
      </c>
      <c r="I101" s="21">
        <v>70.520114820040277</v>
      </c>
      <c r="J101" s="21">
        <v>72.617484516688961</v>
      </c>
      <c r="K101" s="21">
        <v>34.172214212516323</v>
      </c>
      <c r="L101" s="21">
        <v>43.939869722394342</v>
      </c>
      <c r="M101" s="21">
        <v>24.728809386489136</v>
      </c>
      <c r="N101" s="21">
        <v>43.051788982712743</v>
      </c>
      <c r="O101" s="21"/>
      <c r="P101" s="21">
        <v>42.128222323917633</v>
      </c>
      <c r="Q101" s="21">
        <v>36.606741667414468</v>
      </c>
      <c r="R101" s="21">
        <v>62.113793901182284</v>
      </c>
      <c r="S101" s="21">
        <v>43.747141121046504</v>
      </c>
    </row>
    <row r="102" spans="1:19">
      <c r="A102" s="9">
        <f t="shared" si="1"/>
        <v>35827</v>
      </c>
      <c r="B102" s="21"/>
      <c r="C102" s="21"/>
      <c r="D102" s="21"/>
      <c r="E102" s="21">
        <v>69.751201996483701</v>
      </c>
      <c r="F102" s="21">
        <v>67.986532082205386</v>
      </c>
      <c r="G102" s="21">
        <v>90.607824293600686</v>
      </c>
      <c r="H102" s="21">
        <v>52.083791776443412</v>
      </c>
      <c r="I102" s="21">
        <v>70.350770302306458</v>
      </c>
      <c r="J102" s="21">
        <v>74.406690098947152</v>
      </c>
      <c r="K102" s="21">
        <v>34.312615876842997</v>
      </c>
      <c r="L102" s="21">
        <v>43.210951507484666</v>
      </c>
      <c r="M102" s="21">
        <v>25.709672667694072</v>
      </c>
      <c r="N102" s="21">
        <v>42.790425560236798</v>
      </c>
      <c r="O102" s="21"/>
      <c r="P102" s="21">
        <v>40.329750243482174</v>
      </c>
      <c r="Q102" s="21">
        <v>33.956351821454767</v>
      </c>
      <c r="R102" s="21">
        <v>61.297599948013939</v>
      </c>
      <c r="S102" s="21">
        <v>44.628215224904622</v>
      </c>
    </row>
    <row r="103" spans="1:19">
      <c r="A103" s="9">
        <f t="shared" si="1"/>
        <v>35855</v>
      </c>
      <c r="B103" s="21"/>
      <c r="C103" s="21"/>
      <c r="D103" s="21"/>
      <c r="E103" s="21">
        <v>69.888011820291837</v>
      </c>
      <c r="F103" s="21">
        <v>68.63575604412668</v>
      </c>
      <c r="G103" s="21">
        <v>84.688414735043892</v>
      </c>
      <c r="H103" s="21">
        <v>52.141757655457482</v>
      </c>
      <c r="I103" s="21">
        <v>70.388616434987298</v>
      </c>
      <c r="J103" s="21">
        <v>73.775073236179992</v>
      </c>
      <c r="K103" s="21">
        <v>34.400999500459911</v>
      </c>
      <c r="L103" s="21">
        <v>43.543010715763565</v>
      </c>
      <c r="M103" s="21">
        <v>25.562469850956393</v>
      </c>
      <c r="N103" s="21">
        <v>43.047482556110602</v>
      </c>
      <c r="O103" s="21"/>
      <c r="P103" s="21">
        <v>38.408636792511835</v>
      </c>
      <c r="Q103" s="21">
        <v>31.814467378936389</v>
      </c>
      <c r="R103" s="21">
        <v>60.686039294896005</v>
      </c>
      <c r="S103" s="21">
        <v>43.499706759817336</v>
      </c>
    </row>
    <row r="104" spans="1:19">
      <c r="A104" s="9">
        <f t="shared" si="1"/>
        <v>35886</v>
      </c>
      <c r="B104" s="21"/>
      <c r="C104" s="21"/>
      <c r="D104" s="21"/>
      <c r="E104" s="21">
        <v>71.832081359317741</v>
      </c>
      <c r="F104" s="21">
        <v>70.744700626943327</v>
      </c>
      <c r="G104" s="21">
        <v>84.683827198465735</v>
      </c>
      <c r="H104" s="21">
        <v>52.282226390511568</v>
      </c>
      <c r="I104" s="21">
        <v>72.048858705983974</v>
      </c>
      <c r="J104" s="21">
        <v>73.515299682379819</v>
      </c>
      <c r="K104" s="21">
        <v>35.15631011697883</v>
      </c>
      <c r="L104" s="21">
        <v>43.842566583974843</v>
      </c>
      <c r="M104" s="21">
        <v>26.758405813578143</v>
      </c>
      <c r="N104" s="21">
        <v>43.614845241289878</v>
      </c>
      <c r="O104" s="21"/>
      <c r="P104" s="21">
        <v>39.459778482924307</v>
      </c>
      <c r="Q104" s="21">
        <v>32.886972157147063</v>
      </c>
      <c r="R104" s="21">
        <v>61.85982285943934</v>
      </c>
      <c r="S104" s="21">
        <v>43.473755784544579</v>
      </c>
    </row>
    <row r="105" spans="1:19">
      <c r="A105" s="9">
        <f t="shared" si="1"/>
        <v>35916</v>
      </c>
      <c r="B105" s="21"/>
      <c r="C105" s="21"/>
      <c r="D105" s="21"/>
      <c r="E105" s="21">
        <v>72.011467178360476</v>
      </c>
      <c r="F105" s="21">
        <v>71.116171407031572</v>
      </c>
      <c r="G105" s="21">
        <v>82.592962105954214</v>
      </c>
      <c r="H105" s="21">
        <v>51.041874247448405</v>
      </c>
      <c r="I105" s="21">
        <v>72.129793633470996</v>
      </c>
      <c r="J105" s="21">
        <v>72.930240566853314</v>
      </c>
      <c r="K105" s="21">
        <v>33.976599543168945</v>
      </c>
      <c r="L105" s="21">
        <v>42.341750486872435</v>
      </c>
      <c r="M105" s="21">
        <v>25.889141226039779</v>
      </c>
      <c r="N105" s="21">
        <v>42.084011663581279</v>
      </c>
      <c r="O105" s="21"/>
      <c r="P105" s="21">
        <v>39.049348374737079</v>
      </c>
      <c r="Q105" s="21">
        <v>33.522859365704257</v>
      </c>
      <c r="R105" s="21">
        <v>58.237546484062761</v>
      </c>
      <c r="S105" s="21">
        <v>43.048977416970168</v>
      </c>
    </row>
    <row r="106" spans="1:19">
      <c r="A106" s="9">
        <f t="shared" si="1"/>
        <v>35947</v>
      </c>
      <c r="B106" s="21"/>
      <c r="C106" s="21"/>
      <c r="D106" s="21"/>
      <c r="E106" s="21">
        <v>69.740887172077962</v>
      </c>
      <c r="F106" s="21">
        <v>69.061427349997331</v>
      </c>
      <c r="G106" s="21">
        <v>77.771418412249076</v>
      </c>
      <c r="H106" s="21">
        <v>49.422063145239612</v>
      </c>
      <c r="I106" s="21">
        <v>70.017806871693267</v>
      </c>
      <c r="J106" s="21">
        <v>71.891094837120818</v>
      </c>
      <c r="K106" s="21">
        <v>32.577350209910989</v>
      </c>
      <c r="L106" s="21">
        <v>40.491138212465323</v>
      </c>
      <c r="M106" s="21">
        <v>24.926271223771472</v>
      </c>
      <c r="N106" s="21">
        <v>39.970494185116763</v>
      </c>
      <c r="O106" s="21"/>
      <c r="P106" s="21">
        <v>36.899318537550798</v>
      </c>
      <c r="Q106" s="21">
        <v>31.002008766256932</v>
      </c>
      <c r="R106" s="21">
        <v>58.076517435484369</v>
      </c>
      <c r="S106" s="21">
        <v>42.616359052700162</v>
      </c>
    </row>
    <row r="107" spans="1:19">
      <c r="A107" s="9">
        <f t="shared" si="1"/>
        <v>35977</v>
      </c>
      <c r="B107" s="21"/>
      <c r="C107" s="21"/>
      <c r="D107" s="21"/>
      <c r="E107" s="21">
        <v>66.800863178475595</v>
      </c>
      <c r="F107" s="21">
        <v>66.221294780804868</v>
      </c>
      <c r="G107" s="21">
        <v>73.650778319975203</v>
      </c>
      <c r="H107" s="21">
        <v>48.746988744854129</v>
      </c>
      <c r="I107" s="21">
        <v>67.169876805738028</v>
      </c>
      <c r="J107" s="21">
        <v>69.666155647545779</v>
      </c>
      <c r="K107" s="21">
        <v>32.676007514920329</v>
      </c>
      <c r="L107" s="21">
        <v>40.43209953084218</v>
      </c>
      <c r="M107" s="21">
        <v>25.17738958145657</v>
      </c>
      <c r="N107" s="21">
        <v>40.135088532481795</v>
      </c>
      <c r="O107" s="21"/>
      <c r="P107" s="21">
        <v>36.701413376893626</v>
      </c>
      <c r="Q107" s="21">
        <v>31.111215922860854</v>
      </c>
      <c r="R107" s="21">
        <v>57.061883356794688</v>
      </c>
      <c r="S107" s="21">
        <v>42.010944310337095</v>
      </c>
    </row>
    <row r="108" spans="1:19">
      <c r="A108" s="9">
        <f t="shared" si="1"/>
        <v>36008</v>
      </c>
      <c r="B108" s="21"/>
      <c r="C108" s="21"/>
      <c r="D108" s="21"/>
      <c r="E108" s="21">
        <v>64.804807705056135</v>
      </c>
      <c r="F108" s="21">
        <v>63.873507697654432</v>
      </c>
      <c r="G108" s="21">
        <v>75.811836465799345</v>
      </c>
      <c r="H108" s="21">
        <v>48.259445570538581</v>
      </c>
      <c r="I108" s="21">
        <v>65.424378607072839</v>
      </c>
      <c r="J108" s="21">
        <v>69.615610636030226</v>
      </c>
      <c r="K108" s="21">
        <v>31.929671079949532</v>
      </c>
      <c r="L108" s="21">
        <v>39.770859606206187</v>
      </c>
      <c r="M108" s="21">
        <v>24.348781531197847</v>
      </c>
      <c r="N108" s="21">
        <v>39.345059064191837</v>
      </c>
      <c r="O108" s="21"/>
      <c r="P108" s="21">
        <v>35.118176956255333</v>
      </c>
      <c r="Q108" s="21">
        <v>30.468364810096205</v>
      </c>
      <c r="R108" s="21">
        <v>52.67420801261656</v>
      </c>
      <c r="S108" s="21">
        <v>39.10578379125365</v>
      </c>
    </row>
    <row r="109" spans="1:19">
      <c r="A109" s="9">
        <f t="shared" si="1"/>
        <v>36039</v>
      </c>
      <c r="B109" s="21"/>
      <c r="C109" s="21"/>
      <c r="D109" s="21"/>
      <c r="E109" s="21">
        <v>63.81582948301314</v>
      </c>
      <c r="F109" s="21">
        <v>62.983520370818745</v>
      </c>
      <c r="G109" s="21">
        <v>73.652885493902588</v>
      </c>
      <c r="H109" s="21">
        <v>49.030005358321162</v>
      </c>
      <c r="I109" s="21">
        <v>64.809614656505943</v>
      </c>
      <c r="J109" s="21">
        <v>71.532306499341871</v>
      </c>
      <c r="K109" s="21">
        <v>32.212470761685822</v>
      </c>
      <c r="L109" s="21">
        <v>40.085856582308139</v>
      </c>
      <c r="M109" s="21">
        <v>24.600452751791092</v>
      </c>
      <c r="N109" s="21">
        <v>39.540962948599187</v>
      </c>
      <c r="O109" s="21"/>
      <c r="P109" s="21">
        <v>37.657978086530989</v>
      </c>
      <c r="Q109" s="21">
        <v>32.672750578590488</v>
      </c>
      <c r="R109" s="21">
        <v>54.416878204747931</v>
      </c>
      <c r="S109" s="21">
        <v>39.841658465646127</v>
      </c>
    </row>
    <row r="110" spans="1:19">
      <c r="A110" s="9">
        <f t="shared" si="1"/>
        <v>36069</v>
      </c>
      <c r="B110" s="21"/>
      <c r="C110" s="21"/>
      <c r="D110" s="21"/>
      <c r="E110" s="21">
        <v>65.365002104445992</v>
      </c>
      <c r="F110" s="21">
        <v>64.778176933270615</v>
      </c>
      <c r="G110" s="21">
        <v>72.300685005036144</v>
      </c>
      <c r="H110" s="21">
        <v>47.517358195540623</v>
      </c>
      <c r="I110" s="21">
        <v>65.919565041823219</v>
      </c>
      <c r="J110" s="21">
        <v>69.671035515408292</v>
      </c>
      <c r="K110" s="21">
        <v>31.729397533758146</v>
      </c>
      <c r="L110" s="21">
        <v>38.711779395269801</v>
      </c>
      <c r="M110" s="21">
        <v>24.978805387927306</v>
      </c>
      <c r="N110" s="21">
        <v>38.231141840933901</v>
      </c>
      <c r="O110" s="21"/>
      <c r="P110" s="21">
        <v>36.444469293864834</v>
      </c>
      <c r="Q110" s="21">
        <v>30.552796051560467</v>
      </c>
      <c r="R110" s="21">
        <v>52.132120655580835</v>
      </c>
      <c r="S110" s="21">
        <v>39.577132523625238</v>
      </c>
    </row>
    <row r="111" spans="1:19">
      <c r="A111" s="9">
        <f t="shared" si="1"/>
        <v>36100</v>
      </c>
      <c r="B111" s="21"/>
      <c r="C111" s="21"/>
      <c r="D111" s="21"/>
      <c r="E111" s="21">
        <v>66.215489970457483</v>
      </c>
      <c r="F111" s="21">
        <v>65.645399682221353</v>
      </c>
      <c r="G111" s="21">
        <v>72.95338339788529</v>
      </c>
      <c r="H111" s="21">
        <v>47.144586653831283</v>
      </c>
      <c r="I111" s="21">
        <v>66.470580491728995</v>
      </c>
      <c r="J111" s="21">
        <v>68.196199883402443</v>
      </c>
      <c r="K111" s="21">
        <v>31.694320732434583</v>
      </c>
      <c r="L111" s="21">
        <v>38.777053061583416</v>
      </c>
      <c r="M111" s="21">
        <v>24.846709389988906</v>
      </c>
      <c r="N111" s="21">
        <v>38.297141162116652</v>
      </c>
      <c r="O111" s="21"/>
      <c r="P111" s="21">
        <v>34.514999032120045</v>
      </c>
      <c r="Q111" s="21">
        <v>27.708665164330018</v>
      </c>
      <c r="R111" s="21">
        <v>54.047396576790376</v>
      </c>
      <c r="S111" s="21">
        <v>39.344907696942727</v>
      </c>
    </row>
    <row r="112" spans="1:19">
      <c r="A112" s="9">
        <f t="shared" si="1"/>
        <v>36130</v>
      </c>
      <c r="B112" s="21"/>
      <c r="C112" s="21"/>
      <c r="D112" s="21"/>
      <c r="E112" s="21">
        <v>64.524995971631284</v>
      </c>
      <c r="F112" s="21">
        <v>63.740981358944381</v>
      </c>
      <c r="G112" s="21">
        <v>73.791259605370669</v>
      </c>
      <c r="H112" s="21">
        <v>46.102256445497609</v>
      </c>
      <c r="I112" s="21">
        <v>65.013243803066658</v>
      </c>
      <c r="J112" s="21">
        <v>68.316110258737936</v>
      </c>
      <c r="K112" s="21">
        <v>30.918778282083149</v>
      </c>
      <c r="L112" s="21">
        <v>37.272758868823857</v>
      </c>
      <c r="M112" s="21">
        <v>24.775726771244241</v>
      </c>
      <c r="N112" s="21">
        <v>37.026486608394357</v>
      </c>
      <c r="O112" s="21"/>
      <c r="P112" s="21">
        <v>30.836014338979179</v>
      </c>
      <c r="Q112" s="21">
        <v>24.095548190086323</v>
      </c>
      <c r="R112" s="21">
        <v>48.937662483310206</v>
      </c>
      <c r="S112" s="21">
        <v>39.344907696942727</v>
      </c>
    </row>
    <row r="113" spans="1:19">
      <c r="A113" s="9">
        <f t="shared" si="1"/>
        <v>36161</v>
      </c>
      <c r="B113" s="21"/>
      <c r="C113" s="21"/>
      <c r="D113" s="21"/>
      <c r="E113" s="21">
        <v>65.263630816182172</v>
      </c>
      <c r="F113" s="21">
        <v>64.630326571218049</v>
      </c>
      <c r="G113" s="21">
        <v>72.748649589100751</v>
      </c>
      <c r="H113" s="21">
        <v>45.870257532426237</v>
      </c>
      <c r="I113" s="21">
        <v>65.835167124860163</v>
      </c>
      <c r="J113" s="21">
        <v>69.701457931684928</v>
      </c>
      <c r="K113" s="21">
        <v>30.420388231904109</v>
      </c>
      <c r="L113" s="21">
        <v>36.397901769957684</v>
      </c>
      <c r="M113" s="21">
        <v>24.641306431178034</v>
      </c>
      <c r="N113" s="21">
        <v>36.432264913593116</v>
      </c>
      <c r="O113" s="21"/>
      <c r="P113" s="21">
        <v>32.546720672528771</v>
      </c>
      <c r="Q113" s="21">
        <v>26.221090419818989</v>
      </c>
      <c r="R113" s="21">
        <v>49.622397078272563</v>
      </c>
      <c r="S113" s="21">
        <v>39.189673147618862</v>
      </c>
    </row>
    <row r="114" spans="1:19">
      <c r="A114" s="9">
        <f t="shared" si="1"/>
        <v>36192</v>
      </c>
      <c r="B114" s="21"/>
      <c r="C114" s="21"/>
      <c r="D114" s="21"/>
      <c r="E114" s="21">
        <v>60.482900773402065</v>
      </c>
      <c r="F114" s="21">
        <v>59.730250661013706</v>
      </c>
      <c r="G114" s="21">
        <v>69.378467581082688</v>
      </c>
      <c r="H114" s="21">
        <v>46.147408688761899</v>
      </c>
      <c r="I114" s="21">
        <v>61.627115487894116</v>
      </c>
      <c r="J114" s="21">
        <v>69.367423084286358</v>
      </c>
      <c r="K114" s="21">
        <v>30.844477791540537</v>
      </c>
      <c r="L114" s="21">
        <v>36.917985349646727</v>
      </c>
      <c r="M114" s="21">
        <v>24.97258862354829</v>
      </c>
      <c r="N114" s="21">
        <v>37.152754298396907</v>
      </c>
      <c r="O114" s="21"/>
      <c r="P114" s="21">
        <v>31.353670234952581</v>
      </c>
      <c r="Q114" s="21">
        <v>25.22150762698077</v>
      </c>
      <c r="R114" s="21">
        <v>48.414883609156206</v>
      </c>
      <c r="S114" s="21">
        <v>39.096532418024552</v>
      </c>
    </row>
    <row r="115" spans="1:19">
      <c r="A115" s="9">
        <f t="shared" si="1"/>
        <v>36220</v>
      </c>
      <c r="B115" s="21"/>
      <c r="C115" s="21"/>
      <c r="D115" s="21"/>
      <c r="E115" s="21">
        <v>58.614054980962685</v>
      </c>
      <c r="F115" s="21">
        <v>57.937052288626049</v>
      </c>
      <c r="G115" s="21">
        <v>66.615545420590522</v>
      </c>
      <c r="H115" s="21">
        <v>46.62872110155854</v>
      </c>
      <c r="I115" s="21">
        <v>60.093165057189303</v>
      </c>
      <c r="J115" s="21">
        <v>70.098950522026655</v>
      </c>
      <c r="K115" s="21">
        <v>30.937996644467951</v>
      </c>
      <c r="L115" s="21">
        <v>37.299843026900334</v>
      </c>
      <c r="M115" s="21">
        <v>24.787340453783376</v>
      </c>
      <c r="N115" s="21">
        <v>37.415255290537239</v>
      </c>
      <c r="O115" s="21"/>
      <c r="P115" s="21">
        <v>35.421849078064405</v>
      </c>
      <c r="Q115" s="21">
        <v>31.365284296441654</v>
      </c>
      <c r="R115" s="21">
        <v>48.564733399371178</v>
      </c>
      <c r="S115" s="21">
        <v>38.064222665020864</v>
      </c>
    </row>
    <row r="116" spans="1:19">
      <c r="A116" s="9">
        <f t="shared" si="1"/>
        <v>36251</v>
      </c>
      <c r="B116" s="21"/>
      <c r="C116" s="21"/>
      <c r="D116" s="21"/>
      <c r="E116" s="21">
        <v>59.521807343965264</v>
      </c>
      <c r="F116" s="21">
        <v>59.170833708037776</v>
      </c>
      <c r="G116" s="21">
        <v>63.669962475730586</v>
      </c>
      <c r="H116" s="21">
        <v>47.396466977897504</v>
      </c>
      <c r="I116" s="21">
        <v>60.755358534126671</v>
      </c>
      <c r="J116" s="21">
        <v>69.100003579164294</v>
      </c>
      <c r="K116" s="21">
        <v>31.501900295197139</v>
      </c>
      <c r="L116" s="21">
        <v>38.769808792548517</v>
      </c>
      <c r="M116" s="21">
        <v>24.475259960717406</v>
      </c>
      <c r="N116" s="21">
        <v>38.668067201962756</v>
      </c>
      <c r="O116" s="21"/>
      <c r="P116" s="21">
        <v>40.651286356962153</v>
      </c>
      <c r="Q116" s="21">
        <v>37.702175050038001</v>
      </c>
      <c r="R116" s="21">
        <v>52.347900413478961</v>
      </c>
      <c r="S116" s="21">
        <v>38.064222665020864</v>
      </c>
    </row>
    <row r="117" spans="1:19">
      <c r="A117" s="9">
        <f t="shared" si="1"/>
        <v>36281</v>
      </c>
      <c r="B117" s="21"/>
      <c r="C117" s="21"/>
      <c r="D117" s="21"/>
      <c r="E117" s="21">
        <v>59.99186774046364</v>
      </c>
      <c r="F117" s="21">
        <v>59.728118426114939</v>
      </c>
      <c r="G117" s="21">
        <v>63.109119179945338</v>
      </c>
      <c r="H117" s="21">
        <v>48.856261417114027</v>
      </c>
      <c r="I117" s="21">
        <v>61.431535871104913</v>
      </c>
      <c r="J117" s="21">
        <v>71.17050708581597</v>
      </c>
      <c r="K117" s="21">
        <v>31.861867289626005</v>
      </c>
      <c r="L117" s="21">
        <v>39.986860379655461</v>
      </c>
      <c r="M117" s="21">
        <v>24.006594457754801</v>
      </c>
      <c r="N117" s="21">
        <v>39.688800756869341</v>
      </c>
      <c r="O117" s="21"/>
      <c r="P117" s="21">
        <v>41.88406478933053</v>
      </c>
      <c r="Q117" s="21">
        <v>38.69840491101683</v>
      </c>
      <c r="R117" s="21">
        <v>55.824928756634918</v>
      </c>
      <c r="S117" s="21">
        <v>38.064222665020864</v>
      </c>
    </row>
    <row r="118" spans="1:19">
      <c r="A118" s="9">
        <f t="shared" si="1"/>
        <v>36312</v>
      </c>
      <c r="B118" s="21"/>
      <c r="C118" s="21"/>
      <c r="D118" s="21"/>
      <c r="E118" s="21">
        <v>58.304734140807923</v>
      </c>
      <c r="F118" s="21">
        <v>57.970115270052368</v>
      </c>
      <c r="G118" s="21">
        <v>62.259592408843076</v>
      </c>
      <c r="H118" s="21">
        <v>48.032670731345632</v>
      </c>
      <c r="I118" s="21">
        <v>59.902628960942543</v>
      </c>
      <c r="J118" s="21">
        <v>70.711961560737748</v>
      </c>
      <c r="K118" s="21">
        <v>30.805378672941593</v>
      </c>
      <c r="L118" s="21">
        <v>39.018172612183527</v>
      </c>
      <c r="M118" s="21">
        <v>22.86521966113256</v>
      </c>
      <c r="N118" s="21">
        <v>38.788274210842957</v>
      </c>
      <c r="O118" s="21"/>
      <c r="P118" s="21">
        <v>42.82764517986957</v>
      </c>
      <c r="Q118" s="21">
        <v>39.639666980551517</v>
      </c>
      <c r="R118" s="21">
        <v>57.221635183766892</v>
      </c>
      <c r="S118" s="21">
        <v>38.219457214344722</v>
      </c>
    </row>
    <row r="119" spans="1:19">
      <c r="A119" s="9">
        <f t="shared" si="1"/>
        <v>36342</v>
      </c>
      <c r="B119" s="21"/>
      <c r="C119" s="21"/>
      <c r="D119" s="21"/>
      <c r="E119" s="21">
        <v>56.413957929582601</v>
      </c>
      <c r="F119" s="21">
        <v>56.29503328733967</v>
      </c>
      <c r="G119" s="21">
        <v>57.819527506652889</v>
      </c>
      <c r="H119" s="21">
        <v>49.772832470172744</v>
      </c>
      <c r="I119" s="21">
        <v>58.108024890293017</v>
      </c>
      <c r="J119" s="21">
        <v>69.567936390037602</v>
      </c>
      <c r="K119" s="21">
        <v>32.059907894218497</v>
      </c>
      <c r="L119" s="21">
        <v>41.904732519579028</v>
      </c>
      <c r="M119" s="21">
        <v>22.541895687041261</v>
      </c>
      <c r="N119" s="21">
        <v>41.356500381156216</v>
      </c>
      <c r="O119" s="21"/>
      <c r="P119" s="21">
        <v>47.252961762701126</v>
      </c>
      <c r="Q119" s="21">
        <v>45.49891028185823</v>
      </c>
      <c r="R119" s="21">
        <v>57.745043028390334</v>
      </c>
      <c r="S119" s="21">
        <v>37.078483276814332</v>
      </c>
    </row>
    <row r="120" spans="1:19">
      <c r="A120" s="9">
        <f t="shared" si="1"/>
        <v>36373</v>
      </c>
      <c r="B120" s="21"/>
      <c r="C120" s="21"/>
      <c r="D120" s="21"/>
      <c r="E120" s="21">
        <v>57.840393482283325</v>
      </c>
      <c r="F120" s="21">
        <v>57.952559231891115</v>
      </c>
      <c r="G120" s="21">
        <v>56.514707213528716</v>
      </c>
      <c r="H120" s="21">
        <v>50.568609704801382</v>
      </c>
      <c r="I120" s="21">
        <v>59.31198843861042</v>
      </c>
      <c r="J120" s="21">
        <v>69.266936120198523</v>
      </c>
      <c r="K120" s="21">
        <v>32.706169179399033</v>
      </c>
      <c r="L120" s="21">
        <v>43.136453665573299</v>
      </c>
      <c r="M120" s="21">
        <v>22.622132252219899</v>
      </c>
      <c r="N120" s="21">
        <v>42.511590908444802</v>
      </c>
      <c r="O120" s="21"/>
      <c r="P120" s="21">
        <v>51.27360798785525</v>
      </c>
      <c r="Q120" s="21">
        <v>48.06034887428558</v>
      </c>
      <c r="R120" s="21">
        <v>65.406600976899739</v>
      </c>
      <c r="S120" s="21">
        <v>36.581732718977975</v>
      </c>
    </row>
    <row r="121" spans="1:19">
      <c r="A121" s="9">
        <f t="shared" si="1"/>
        <v>36404</v>
      </c>
      <c r="B121" s="21"/>
      <c r="C121" s="21"/>
      <c r="D121" s="21"/>
      <c r="E121" s="21">
        <v>58.447981234764498</v>
      </c>
      <c r="F121" s="21">
        <v>58.694530675097809</v>
      </c>
      <c r="G121" s="21">
        <v>55.534014994964799</v>
      </c>
      <c r="H121" s="21">
        <v>52.580927758030064</v>
      </c>
      <c r="I121" s="21">
        <v>60.0566272302502</v>
      </c>
      <c r="J121" s="21">
        <v>70.938688665976201</v>
      </c>
      <c r="K121" s="21">
        <v>34.106748239319813</v>
      </c>
      <c r="L121" s="21">
        <v>45.284138699606771</v>
      </c>
      <c r="M121" s="21">
        <v>23.300406542653811</v>
      </c>
      <c r="N121" s="21">
        <v>44.564987100493859</v>
      </c>
      <c r="O121" s="21"/>
      <c r="P121" s="21">
        <v>55.40367682467997</v>
      </c>
      <c r="Q121" s="21">
        <v>53.681393870737743</v>
      </c>
      <c r="R121" s="21">
        <v>64.330842707019556</v>
      </c>
      <c r="S121" s="21">
        <v>36.084982161141617</v>
      </c>
    </row>
    <row r="122" spans="1:19">
      <c r="A122" s="9">
        <f t="shared" si="1"/>
        <v>36434</v>
      </c>
      <c r="B122" s="21"/>
      <c r="C122" s="21"/>
      <c r="D122" s="21"/>
      <c r="E122" s="21">
        <v>58.293531515249981</v>
      </c>
      <c r="F122" s="21">
        <v>58.351762532984615</v>
      </c>
      <c r="G122" s="21">
        <v>57.605299493475684</v>
      </c>
      <c r="H122" s="21">
        <v>52.72175665106343</v>
      </c>
      <c r="I122" s="21">
        <v>60.04937257793695</v>
      </c>
      <c r="J122" s="21">
        <v>71.927169414002933</v>
      </c>
      <c r="K122" s="21">
        <v>35.856880188582103</v>
      </c>
      <c r="L122" s="21">
        <v>45.088045415045457</v>
      </c>
      <c r="M122" s="21">
        <v>26.932156117255072</v>
      </c>
      <c r="N122" s="21">
        <v>44.720182892494762</v>
      </c>
      <c r="O122" s="21"/>
      <c r="P122" s="21">
        <v>54.967454074505554</v>
      </c>
      <c r="Q122" s="21">
        <v>50.979797565464558</v>
      </c>
      <c r="R122" s="21">
        <v>69.284467980413623</v>
      </c>
      <c r="S122" s="21">
        <v>35.728256196348376</v>
      </c>
    </row>
    <row r="123" spans="1:19">
      <c r="A123" s="9">
        <f t="shared" si="1"/>
        <v>36465</v>
      </c>
      <c r="B123" s="21"/>
      <c r="C123" s="21"/>
      <c r="D123" s="21"/>
      <c r="E123" s="21">
        <v>57.709297519923254</v>
      </c>
      <c r="F123" s="21">
        <v>57.35641925721108</v>
      </c>
      <c r="G123" s="21">
        <v>61.879963423331453</v>
      </c>
      <c r="H123" s="21">
        <v>53.161267524776243</v>
      </c>
      <c r="I123" s="21">
        <v>59.501456542627068</v>
      </c>
      <c r="J123" s="21">
        <v>71.624934699028628</v>
      </c>
      <c r="K123" s="21">
        <v>35.598681900023095</v>
      </c>
      <c r="L123" s="21">
        <v>45.822383153690524</v>
      </c>
      <c r="M123" s="21">
        <v>25.714370392404295</v>
      </c>
      <c r="N123" s="21">
        <v>45.3930646497951</v>
      </c>
      <c r="O123" s="21"/>
      <c r="P123" s="21">
        <v>57.750392651699592</v>
      </c>
      <c r="Q123" s="21">
        <v>56.794507684303717</v>
      </c>
      <c r="R123" s="21">
        <v>65.120673098320822</v>
      </c>
      <c r="S123" s="21">
        <v>36.147702978174451</v>
      </c>
    </row>
    <row r="124" spans="1:19">
      <c r="A124" s="9">
        <f t="shared" si="1"/>
        <v>36495</v>
      </c>
      <c r="B124" s="21"/>
      <c r="C124" s="21"/>
      <c r="D124" s="21"/>
      <c r="E124" s="21">
        <v>58.120985821925878</v>
      </c>
      <c r="F124" s="21">
        <v>57.648097166439925</v>
      </c>
      <c r="G124" s="21">
        <v>63.710053780901895</v>
      </c>
      <c r="H124" s="21">
        <v>53.872199394848295</v>
      </c>
      <c r="I124" s="21">
        <v>59.784918375471676</v>
      </c>
      <c r="J124" s="21">
        <v>71.040978641933791</v>
      </c>
      <c r="K124" s="21">
        <v>35.902794169106805</v>
      </c>
      <c r="L124" s="21">
        <v>47.04800328592129</v>
      </c>
      <c r="M124" s="21">
        <v>25.127565512202381</v>
      </c>
      <c r="N124" s="21">
        <v>46.605814153571288</v>
      </c>
      <c r="O124" s="21"/>
      <c r="P124" s="21">
        <v>59.078669924774061</v>
      </c>
      <c r="Q124" s="21">
        <v>58.727498321557484</v>
      </c>
      <c r="R124" s="21">
        <v>66.183162778114635</v>
      </c>
      <c r="S124" s="21">
        <v>35.433624051284674</v>
      </c>
    </row>
    <row r="125" spans="1:19">
      <c r="A125" s="9">
        <f t="shared" si="1"/>
        <v>36526</v>
      </c>
      <c r="B125" s="21"/>
      <c r="C125" s="21"/>
      <c r="D125" s="21"/>
      <c r="E125" s="21">
        <v>58.387556340999112</v>
      </c>
      <c r="F125" s="21">
        <v>58.498818810584289</v>
      </c>
      <c r="G125" s="21">
        <v>57.072545932986664</v>
      </c>
      <c r="H125" s="21">
        <v>55.182375228260256</v>
      </c>
      <c r="I125" s="21">
        <v>59.905330492997514</v>
      </c>
      <c r="J125" s="21">
        <v>70.172668125984174</v>
      </c>
      <c r="K125" s="21">
        <v>37.073117933208444</v>
      </c>
      <c r="L125" s="21">
        <v>49.224077495374594</v>
      </c>
      <c r="M125" s="21">
        <v>25.325526092548415</v>
      </c>
      <c r="N125" s="21">
        <v>48.650368210967329</v>
      </c>
      <c r="O125" s="21"/>
      <c r="P125" s="21">
        <v>62.239226058615124</v>
      </c>
      <c r="Q125" s="21">
        <v>59.520874503967669</v>
      </c>
      <c r="R125" s="21">
        <v>75.115520159830055</v>
      </c>
      <c r="S125" s="21">
        <v>35.588858600608539</v>
      </c>
    </row>
    <row r="126" spans="1:19">
      <c r="A126" s="9">
        <f t="shared" si="1"/>
        <v>36557</v>
      </c>
      <c r="B126" s="21"/>
      <c r="C126" s="21"/>
      <c r="D126" s="21"/>
      <c r="E126" s="21">
        <v>58.79099347766163</v>
      </c>
      <c r="F126" s="21">
        <v>59.247223439211645</v>
      </c>
      <c r="G126" s="21">
        <v>53.398814514510896</v>
      </c>
      <c r="H126" s="21">
        <v>57.210207178029314</v>
      </c>
      <c r="I126" s="21">
        <v>60.834233797211219</v>
      </c>
      <c r="J126" s="21">
        <v>74.656210010553266</v>
      </c>
      <c r="K126" s="21">
        <v>38.700880298198101</v>
      </c>
      <c r="L126" s="21">
        <v>50.275821050008574</v>
      </c>
      <c r="M126" s="21">
        <v>27.510185535664348</v>
      </c>
      <c r="N126" s="21">
        <v>50.580666452168124</v>
      </c>
      <c r="O126" s="21"/>
      <c r="P126" s="21">
        <v>66.423299922977563</v>
      </c>
      <c r="Q126" s="21">
        <v>65.313164384797432</v>
      </c>
      <c r="R126" s="21">
        <v>78.619786926341902</v>
      </c>
      <c r="S126" s="21">
        <v>36.240843707768768</v>
      </c>
    </row>
    <row r="127" spans="1:19">
      <c r="A127" s="9">
        <f t="shared" si="1"/>
        <v>36586</v>
      </c>
      <c r="B127" s="21"/>
      <c r="C127" s="21"/>
      <c r="D127" s="21"/>
      <c r="E127" s="21">
        <v>59.76609440903546</v>
      </c>
      <c r="F127" s="21">
        <v>60.339641997151617</v>
      </c>
      <c r="G127" s="21">
        <v>52.987339176698868</v>
      </c>
      <c r="H127" s="21">
        <v>56.984034491206749</v>
      </c>
      <c r="I127" s="21">
        <v>61.733691912379676</v>
      </c>
      <c r="J127" s="21">
        <v>75.043964633823606</v>
      </c>
      <c r="K127" s="21">
        <v>37.963838991071675</v>
      </c>
      <c r="L127" s="21">
        <v>49.805626333407126</v>
      </c>
      <c r="M127" s="21">
        <v>26.515155975550901</v>
      </c>
      <c r="N127" s="21">
        <v>50.076177648464125</v>
      </c>
      <c r="O127" s="21"/>
      <c r="P127" s="21">
        <v>66.68511583625957</v>
      </c>
      <c r="Q127" s="21">
        <v>65.735665891209692</v>
      </c>
      <c r="R127" s="21">
        <v>81.899878029673332</v>
      </c>
      <c r="S127" s="21">
        <v>36.846258450131828</v>
      </c>
    </row>
    <row r="128" spans="1:19">
      <c r="A128" s="9">
        <f t="shared" si="1"/>
        <v>36617</v>
      </c>
      <c r="B128" s="21"/>
      <c r="C128" s="21"/>
      <c r="D128" s="21"/>
      <c r="E128" s="21">
        <v>62.147429188799286</v>
      </c>
      <c r="F128" s="21">
        <v>63.093430607026008</v>
      </c>
      <c r="G128" s="21">
        <v>50.966644548652482</v>
      </c>
      <c r="H128" s="21">
        <v>55.339171790888102</v>
      </c>
      <c r="I128" s="21">
        <v>63.733268758468306</v>
      </c>
      <c r="J128" s="21">
        <v>74.4610508017348</v>
      </c>
      <c r="K128" s="21">
        <v>36.528977314662399</v>
      </c>
      <c r="L128" s="21">
        <v>47.738663306084497</v>
      </c>
      <c r="M128" s="21">
        <v>25.691412181187808</v>
      </c>
      <c r="N128" s="21">
        <v>47.952082803582407</v>
      </c>
      <c r="O128" s="21"/>
      <c r="P128" s="21">
        <v>61.416954968085932</v>
      </c>
      <c r="Q128" s="21">
        <v>57.024374097887609</v>
      </c>
      <c r="R128" s="21">
        <v>87.207140686610913</v>
      </c>
      <c r="S128" s="21">
        <v>37.265391733306259</v>
      </c>
    </row>
    <row r="129" spans="1:19">
      <c r="A129" s="9">
        <f t="shared" si="1"/>
        <v>36647</v>
      </c>
      <c r="B129" s="21"/>
      <c r="C129" s="21"/>
      <c r="D129" s="21"/>
      <c r="E129" s="21">
        <v>61.232429189535189</v>
      </c>
      <c r="F129" s="21">
        <v>62.17224723328048</v>
      </c>
      <c r="G129" s="21">
        <v>50.124725812369874</v>
      </c>
      <c r="H129" s="21">
        <v>56.445207662456681</v>
      </c>
      <c r="I129" s="21">
        <v>63.061645577916863</v>
      </c>
      <c r="J129" s="21">
        <v>75.43580693689033</v>
      </c>
      <c r="K129" s="21">
        <v>37.034570256102043</v>
      </c>
      <c r="L129" s="21">
        <v>48.8968798629259</v>
      </c>
      <c r="M129" s="21">
        <v>25.566046240730795</v>
      </c>
      <c r="N129" s="21">
        <v>49.055101789504214</v>
      </c>
      <c r="O129" s="21"/>
      <c r="P129" s="21">
        <v>68.67146880495234</v>
      </c>
      <c r="Q129" s="21">
        <v>67.178962784683165</v>
      </c>
      <c r="R129" s="21">
        <v>92.204873666606503</v>
      </c>
      <c r="S129" s="21">
        <v>38.483669446846939</v>
      </c>
    </row>
    <row r="130" spans="1:19">
      <c r="A130" s="9">
        <f t="shared" si="1"/>
        <v>36678</v>
      </c>
      <c r="B130" s="21"/>
      <c r="C130" s="21"/>
      <c r="D130" s="21"/>
      <c r="E130" s="21">
        <v>59.118061295299995</v>
      </c>
      <c r="F130" s="21">
        <v>59.982856209854766</v>
      </c>
      <c r="G130" s="21">
        <v>48.897055796539071</v>
      </c>
      <c r="H130" s="21">
        <v>54.66485378631495</v>
      </c>
      <c r="I130" s="21">
        <v>61.106205755095701</v>
      </c>
      <c r="J130" s="21">
        <v>74.555473160919775</v>
      </c>
      <c r="K130" s="21">
        <v>36.529782315477355</v>
      </c>
      <c r="L130" s="21">
        <v>46.758788632418309</v>
      </c>
      <c r="M130" s="21">
        <v>26.640341853416153</v>
      </c>
      <c r="N130" s="21">
        <v>47.559765708220915</v>
      </c>
      <c r="O130" s="21"/>
      <c r="P130" s="21">
        <v>75.15070693743462</v>
      </c>
      <c r="Q130" s="21">
        <v>71.955803791371821</v>
      </c>
      <c r="R130" s="21">
        <v>103.82542704697232</v>
      </c>
      <c r="S130" s="21">
        <v>39.221033556135289</v>
      </c>
    </row>
    <row r="131" spans="1:19">
      <c r="A131" s="9">
        <f t="shared" si="1"/>
        <v>36708</v>
      </c>
      <c r="B131" s="21"/>
      <c r="C131" s="21"/>
      <c r="D131" s="21"/>
      <c r="E131" s="21">
        <v>57.371222080664054</v>
      </c>
      <c r="F131" s="21">
        <v>58.090686754699227</v>
      </c>
      <c r="G131" s="21">
        <v>48.867873754126343</v>
      </c>
      <c r="H131" s="21">
        <v>54.46112398497489</v>
      </c>
      <c r="I131" s="21">
        <v>59.303153685566109</v>
      </c>
      <c r="J131" s="21">
        <v>72.372156109444532</v>
      </c>
      <c r="K131" s="21">
        <v>36.786320079551096</v>
      </c>
      <c r="L131" s="21">
        <v>47.341899375489525</v>
      </c>
      <c r="M131" s="21">
        <v>26.581147675183363</v>
      </c>
      <c r="N131" s="21">
        <v>48.292299385721485</v>
      </c>
      <c r="O131" s="21"/>
      <c r="P131" s="21">
        <v>72.686553798070562</v>
      </c>
      <c r="Q131" s="21">
        <v>68.737722144779482</v>
      </c>
      <c r="R131" s="21">
        <v>103.69227275069551</v>
      </c>
      <c r="S131" s="21">
        <v>39.221033556135289</v>
      </c>
    </row>
    <row r="132" spans="1:19">
      <c r="A132" s="9">
        <f t="shared" si="1"/>
        <v>36739</v>
      </c>
      <c r="B132" s="21"/>
      <c r="C132" s="21"/>
      <c r="D132" s="21"/>
      <c r="E132" s="21">
        <v>56.169852311607144</v>
      </c>
      <c r="F132" s="21">
        <v>57.046077473042409</v>
      </c>
      <c r="G132" s="21">
        <v>45.813752798934566</v>
      </c>
      <c r="H132" s="21">
        <v>53.685970671964192</v>
      </c>
      <c r="I132" s="21">
        <v>57.909201835511112</v>
      </c>
      <c r="J132" s="21">
        <v>69.675437806905734</v>
      </c>
      <c r="K132" s="21">
        <v>36.667763050958278</v>
      </c>
      <c r="L132" s="21">
        <v>47.330524088619761</v>
      </c>
      <c r="M132" s="21">
        <v>26.358966949376207</v>
      </c>
      <c r="N132" s="21">
        <v>48.541705051933143</v>
      </c>
      <c r="O132" s="21"/>
      <c r="P132" s="21">
        <v>76.799194715498828</v>
      </c>
      <c r="Q132" s="21">
        <v>73.571104052959143</v>
      </c>
      <c r="R132" s="21">
        <v>109.98164880861721</v>
      </c>
      <c r="S132" s="21">
        <v>39.221033556135289</v>
      </c>
    </row>
    <row r="133" spans="1:19">
      <c r="A133" s="9">
        <f t="shared" si="1"/>
        <v>36770</v>
      </c>
      <c r="B133" s="21"/>
      <c r="C133" s="21"/>
      <c r="D133" s="21"/>
      <c r="E133" s="21">
        <v>55.684452903683756</v>
      </c>
      <c r="F133" s="21">
        <v>56.554046795306341</v>
      </c>
      <c r="G133" s="21">
        <v>45.406728326014118</v>
      </c>
      <c r="H133" s="21">
        <v>55.719462083367098</v>
      </c>
      <c r="I133" s="21">
        <v>57.702879228661814</v>
      </c>
      <c r="J133" s="21">
        <v>71.356995381959223</v>
      </c>
      <c r="K133" s="21">
        <v>37.661757957791941</v>
      </c>
      <c r="L133" s="21">
        <v>49.503901130914166</v>
      </c>
      <c r="M133" s="21">
        <v>26.212730923774025</v>
      </c>
      <c r="N133" s="21">
        <v>50.397416508474677</v>
      </c>
      <c r="O133" s="21"/>
      <c r="P133" s="21">
        <v>82.934811241412746</v>
      </c>
      <c r="Q133" s="21">
        <v>80.466694555502045</v>
      </c>
      <c r="R133" s="21">
        <v>118.53676409193459</v>
      </c>
      <c r="S133" s="21">
        <v>40.326884046994323</v>
      </c>
    </row>
    <row r="134" spans="1:19">
      <c r="A134" s="9">
        <f t="shared" si="1"/>
        <v>36800</v>
      </c>
      <c r="B134" s="21"/>
      <c r="C134" s="21"/>
      <c r="D134" s="21"/>
      <c r="E134" s="21">
        <v>55.2921800516853</v>
      </c>
      <c r="F134" s="21">
        <v>56.219321083768186</v>
      </c>
      <c r="G134" s="21">
        <v>44.334306193321133</v>
      </c>
      <c r="H134" s="21">
        <v>53.411092112935016</v>
      </c>
      <c r="I134" s="21">
        <v>57.243100095906556</v>
      </c>
      <c r="J134" s="21">
        <v>70.440554251129427</v>
      </c>
      <c r="K134" s="21">
        <v>36.116179148928175</v>
      </c>
      <c r="L134" s="21">
        <v>46.642271360561843</v>
      </c>
      <c r="M134" s="21">
        <v>25.939514964772286</v>
      </c>
      <c r="N134" s="21">
        <v>47.835362153979773</v>
      </c>
      <c r="O134" s="21"/>
      <c r="P134" s="21">
        <v>82.305584041293287</v>
      </c>
      <c r="Q134" s="21">
        <v>79.057309513351811</v>
      </c>
      <c r="R134" s="21">
        <v>122.18991836926334</v>
      </c>
      <c r="S134" s="21">
        <v>41.242767888005112</v>
      </c>
    </row>
    <row r="135" spans="1:19">
      <c r="A135" s="9">
        <f t="shared" ref="A135:A198" si="2">EDATE(A134,1)</f>
        <v>36831</v>
      </c>
      <c r="B135" s="21"/>
      <c r="C135" s="21"/>
      <c r="D135" s="21"/>
      <c r="E135" s="21">
        <v>55.714242093184325</v>
      </c>
      <c r="F135" s="21">
        <v>56.8741265500244</v>
      </c>
      <c r="G135" s="21">
        <v>42.005575203771258</v>
      </c>
      <c r="H135" s="21">
        <v>52.979400444510404</v>
      </c>
      <c r="I135" s="21">
        <v>57.864279371928866</v>
      </c>
      <c r="J135" s="21">
        <v>72.408708551535568</v>
      </c>
      <c r="K135" s="21">
        <v>35.399747092125274</v>
      </c>
      <c r="L135" s="21">
        <v>45.256695942638892</v>
      </c>
      <c r="M135" s="21">
        <v>25.870013140031187</v>
      </c>
      <c r="N135" s="21">
        <v>46.774830862057939</v>
      </c>
      <c r="O135" s="21"/>
      <c r="P135" s="21">
        <v>84.8125158439628</v>
      </c>
      <c r="Q135" s="21">
        <v>81.624337487437899</v>
      </c>
      <c r="R135" s="21">
        <v>128.45865983259466</v>
      </c>
      <c r="S135" s="21">
        <v>39.68266066730029</v>
      </c>
    </row>
    <row r="136" spans="1:19">
      <c r="A136" s="9">
        <f t="shared" si="2"/>
        <v>36861</v>
      </c>
      <c r="B136" s="21"/>
      <c r="C136" s="21"/>
      <c r="D136" s="21"/>
      <c r="E136" s="21">
        <v>58.647638061276488</v>
      </c>
      <c r="F136" s="21">
        <v>60.217217729259467</v>
      </c>
      <c r="G136" s="21">
        <v>40.096786122633169</v>
      </c>
      <c r="H136" s="21">
        <v>52.427335616974752</v>
      </c>
      <c r="I136" s="21">
        <v>59.795057020631191</v>
      </c>
      <c r="J136" s="21">
        <v>67.557040479549272</v>
      </c>
      <c r="K136" s="21">
        <v>36.463392964181665</v>
      </c>
      <c r="L136" s="21">
        <v>46.413624824466183</v>
      </c>
      <c r="M136" s="21">
        <v>26.843472659408974</v>
      </c>
      <c r="N136" s="21">
        <v>48.36478394710786</v>
      </c>
      <c r="O136" s="21"/>
      <c r="P136" s="21">
        <v>83.320757006225662</v>
      </c>
      <c r="Q136" s="21">
        <v>62.759288172525942</v>
      </c>
      <c r="R136" s="21">
        <v>172.11944743126108</v>
      </c>
      <c r="S136" s="21">
        <v>48.871841142474359</v>
      </c>
    </row>
    <row r="137" spans="1:19">
      <c r="A137" s="9">
        <f t="shared" si="2"/>
        <v>36892</v>
      </c>
      <c r="B137" s="21"/>
      <c r="C137" s="21"/>
      <c r="D137" s="21"/>
      <c r="E137" s="21">
        <v>57.219727652198543</v>
      </c>
      <c r="F137" s="21">
        <v>58.583314942456084</v>
      </c>
      <c r="G137" s="21">
        <v>41.103498292850162</v>
      </c>
      <c r="H137" s="21">
        <v>53.199025457641426</v>
      </c>
      <c r="I137" s="21">
        <v>58.969003393649416</v>
      </c>
      <c r="J137" s="21">
        <v>70.802387581291313</v>
      </c>
      <c r="K137" s="21">
        <v>36.423326193498312</v>
      </c>
      <c r="L137" s="21">
        <v>46.202092619295478</v>
      </c>
      <c r="M137" s="21">
        <v>26.969179293602288</v>
      </c>
      <c r="N137" s="21">
        <v>48.678607577891903</v>
      </c>
      <c r="O137" s="21"/>
      <c r="P137" s="21">
        <v>82.367104829696586</v>
      </c>
      <c r="Q137" s="21">
        <v>63.978680374355974</v>
      </c>
      <c r="R137" s="21">
        <v>161.3524571213587</v>
      </c>
      <c r="S137" s="21">
        <v>50.02904443407094</v>
      </c>
    </row>
    <row r="138" spans="1:19">
      <c r="A138" s="9">
        <f t="shared" si="2"/>
        <v>36923</v>
      </c>
      <c r="B138" s="21"/>
      <c r="C138" s="21"/>
      <c r="D138" s="21"/>
      <c r="E138" s="21">
        <v>56.404060917482809</v>
      </c>
      <c r="F138" s="21">
        <v>57.566907993219026</v>
      </c>
      <c r="G138" s="21">
        <v>42.66037885450838</v>
      </c>
      <c r="H138" s="21">
        <v>52.51103223609644</v>
      </c>
      <c r="I138" s="21">
        <v>58.18043907876261</v>
      </c>
      <c r="J138" s="21">
        <v>70.197163913422386</v>
      </c>
      <c r="K138" s="21">
        <v>35.749748679705121</v>
      </c>
      <c r="L138" s="21">
        <v>45.481200397885409</v>
      </c>
      <c r="M138" s="21">
        <v>26.341345810994397</v>
      </c>
      <c r="N138" s="21">
        <v>47.680405605378517</v>
      </c>
      <c r="O138" s="21"/>
      <c r="P138" s="21">
        <v>76.51102776054752</v>
      </c>
      <c r="Q138" s="21">
        <v>68.062862457881096</v>
      </c>
      <c r="R138" s="21">
        <v>125.68849254907087</v>
      </c>
      <c r="S138" s="21">
        <v>49.563340786099353</v>
      </c>
    </row>
    <row r="139" spans="1:19">
      <c r="A139" s="9">
        <f t="shared" si="2"/>
        <v>36951</v>
      </c>
      <c r="B139" s="21"/>
      <c r="C139" s="21"/>
      <c r="D139" s="21"/>
      <c r="E139" s="21">
        <v>57.643272111470516</v>
      </c>
      <c r="F139" s="21">
        <v>58.986931821439022</v>
      </c>
      <c r="G139" s="21">
        <v>41.762566694600594</v>
      </c>
      <c r="H139" s="21">
        <v>50.251640203187719</v>
      </c>
      <c r="I139" s="21">
        <v>58.71754894355896</v>
      </c>
      <c r="J139" s="21">
        <v>65.984745404787816</v>
      </c>
      <c r="K139" s="21">
        <v>34.588554312878451</v>
      </c>
      <c r="L139" s="21">
        <v>43.998091610539547</v>
      </c>
      <c r="M139" s="21">
        <v>25.491379475216171</v>
      </c>
      <c r="N139" s="21">
        <v>45.519525016992048</v>
      </c>
      <c r="O139" s="21"/>
      <c r="P139" s="21">
        <v>72.127031375184913</v>
      </c>
      <c r="Q139" s="21">
        <v>63.45438193998725</v>
      </c>
      <c r="R139" s="21">
        <v>121.65787876528157</v>
      </c>
      <c r="S139" s="21">
        <v>50.812665409504795</v>
      </c>
    </row>
    <row r="140" spans="1:19">
      <c r="A140" s="9">
        <f t="shared" si="2"/>
        <v>36982</v>
      </c>
      <c r="B140" s="21"/>
      <c r="C140" s="21"/>
      <c r="D140" s="21"/>
      <c r="E140" s="21">
        <v>57.9090145392612</v>
      </c>
      <c r="F140" s="21">
        <v>59.415533502641416</v>
      </c>
      <c r="G140" s="21">
        <v>40.103476660232218</v>
      </c>
      <c r="H140" s="21">
        <v>50.333846956358499</v>
      </c>
      <c r="I140" s="21">
        <v>59.120764637139033</v>
      </c>
      <c r="J140" s="21">
        <v>67.317931103134782</v>
      </c>
      <c r="K140" s="21">
        <v>34.118393330204498</v>
      </c>
      <c r="L140" s="21">
        <v>43.58306291515796</v>
      </c>
      <c r="M140" s="21">
        <v>24.967916396930814</v>
      </c>
      <c r="N140" s="21">
        <v>44.843869126175562</v>
      </c>
      <c r="O140" s="21"/>
      <c r="P140" s="21">
        <v>73.105310391845876</v>
      </c>
      <c r="Q140" s="21">
        <v>65.632238240973464</v>
      </c>
      <c r="R140" s="21">
        <v>121.75763510224459</v>
      </c>
      <c r="S140" s="21">
        <v>51.4780573285312</v>
      </c>
    </row>
    <row r="141" spans="1:19">
      <c r="A141" s="9">
        <f t="shared" si="2"/>
        <v>37012</v>
      </c>
      <c r="B141" s="21"/>
      <c r="C141" s="21"/>
      <c r="D141" s="21"/>
      <c r="E141" s="21">
        <v>59.312958632007614</v>
      </c>
      <c r="F141" s="21">
        <v>60.901621755655661</v>
      </c>
      <c r="G141" s="21">
        <v>40.536559454353835</v>
      </c>
      <c r="H141" s="21">
        <v>51.101510178197636</v>
      </c>
      <c r="I141" s="21">
        <v>60.268876007309451</v>
      </c>
      <c r="J141" s="21">
        <v>66.735402287612629</v>
      </c>
      <c r="K141" s="21">
        <v>35.145023920104677</v>
      </c>
      <c r="L141" s="21">
        <v>44.887396514958262</v>
      </c>
      <c r="M141" s="21">
        <v>25.726062708158292</v>
      </c>
      <c r="N141" s="21">
        <v>45.938720829700237</v>
      </c>
      <c r="O141" s="21"/>
      <c r="P141" s="21">
        <v>73.018053627502823</v>
      </c>
      <c r="Q141" s="21">
        <v>69.907078714094993</v>
      </c>
      <c r="R141" s="21">
        <v>109.57923567894287</v>
      </c>
      <c r="S141" s="21">
        <v>51.086678165044084</v>
      </c>
    </row>
    <row r="142" spans="1:19">
      <c r="A142" s="9">
        <f t="shared" si="2"/>
        <v>37043</v>
      </c>
      <c r="B142" s="21"/>
      <c r="C142" s="21"/>
      <c r="D142" s="21"/>
      <c r="E142" s="21">
        <v>58.921500115853341</v>
      </c>
      <c r="F142" s="21">
        <v>60.678317200713607</v>
      </c>
      <c r="G142" s="21">
        <v>38.157690358809944</v>
      </c>
      <c r="H142" s="21">
        <v>50.047643424102759</v>
      </c>
      <c r="I142" s="21">
        <v>60.034014043850092</v>
      </c>
      <c r="J142" s="21">
        <v>67.559874268247341</v>
      </c>
      <c r="K142" s="21">
        <v>34.032006267224041</v>
      </c>
      <c r="L142" s="21">
        <v>43.086933179923328</v>
      </c>
      <c r="M142" s="21">
        <v>25.27767003779493</v>
      </c>
      <c r="N142" s="21">
        <v>44.048192249467746</v>
      </c>
      <c r="O142" s="21"/>
      <c r="P142" s="21">
        <v>70.771302516313597</v>
      </c>
      <c r="Q142" s="21">
        <v>69.617839355748472</v>
      </c>
      <c r="R142" s="21">
        <v>104.18662243804413</v>
      </c>
      <c r="S142" s="21">
        <v>51.158023358002723</v>
      </c>
    </row>
    <row r="143" spans="1:19">
      <c r="A143" s="9">
        <f t="shared" si="2"/>
        <v>37073</v>
      </c>
      <c r="B143" s="21"/>
      <c r="C143" s="21"/>
      <c r="D143" s="21"/>
      <c r="E143" s="21">
        <v>60.237763384530751</v>
      </c>
      <c r="F143" s="21">
        <v>62.228078515987619</v>
      </c>
      <c r="G143" s="21">
        <v>36.714241725802111</v>
      </c>
      <c r="H143" s="21">
        <v>48.049235628889427</v>
      </c>
      <c r="I143" s="21">
        <v>60.927126496583682</v>
      </c>
      <c r="J143" s="21">
        <v>65.590484225962854</v>
      </c>
      <c r="K143" s="21">
        <v>32.644458965696423</v>
      </c>
      <c r="L143" s="21">
        <v>41.076991493233095</v>
      </c>
      <c r="M143" s="21">
        <v>24.491855888567056</v>
      </c>
      <c r="N143" s="21">
        <v>41.712022270470349</v>
      </c>
      <c r="O143" s="21"/>
      <c r="P143" s="21">
        <v>64.647998060772494</v>
      </c>
      <c r="Q143" s="21">
        <v>64.025892084414139</v>
      </c>
      <c r="R143" s="21">
        <v>92.146124862749076</v>
      </c>
      <c r="S143" s="21">
        <v>50.918899452313653</v>
      </c>
    </row>
    <row r="144" spans="1:19">
      <c r="A144" s="9">
        <f t="shared" si="2"/>
        <v>37104</v>
      </c>
      <c r="B144" s="21"/>
      <c r="C144" s="21"/>
      <c r="D144" s="21"/>
      <c r="E144" s="21">
        <v>60.296724630664933</v>
      </c>
      <c r="F144" s="21">
        <v>62.275000448874053</v>
      </c>
      <c r="G144" s="21">
        <v>36.91549553730114</v>
      </c>
      <c r="H144" s="21">
        <v>46.793847005758103</v>
      </c>
      <c r="I144" s="21">
        <v>60.84162212329791</v>
      </c>
      <c r="J144" s="21">
        <v>64.527708439146892</v>
      </c>
      <c r="K144" s="21">
        <v>31.840349424290061</v>
      </c>
      <c r="L144" s="21">
        <v>39.745043683848856</v>
      </c>
      <c r="M144" s="21">
        <v>24.198062301909843</v>
      </c>
      <c r="N144" s="21">
        <v>39.961957697162866</v>
      </c>
      <c r="O144" s="21"/>
      <c r="P144" s="21">
        <v>65.747882517685795</v>
      </c>
      <c r="Q144" s="21">
        <v>65.318472902682629</v>
      </c>
      <c r="R144" s="21">
        <v>88.716989765241422</v>
      </c>
      <c r="S144" s="21">
        <v>50.620974517072497</v>
      </c>
    </row>
    <row r="145" spans="1:19">
      <c r="A145" s="9">
        <f t="shared" si="2"/>
        <v>37135</v>
      </c>
      <c r="B145" s="21"/>
      <c r="C145" s="21"/>
      <c r="D145" s="21"/>
      <c r="E145" s="21">
        <v>58.306464136131474</v>
      </c>
      <c r="F145" s="21">
        <v>60.202419997114177</v>
      </c>
      <c r="G145" s="21">
        <v>35.898174084508263</v>
      </c>
      <c r="H145" s="21">
        <v>45.33269030683433</v>
      </c>
      <c r="I145" s="21">
        <v>58.841853842907241</v>
      </c>
      <c r="J145" s="21">
        <v>62.463622521372862</v>
      </c>
      <c r="K145" s="21">
        <v>31.698494580788413</v>
      </c>
      <c r="L145" s="21">
        <v>38.523537525596758</v>
      </c>
      <c r="M145" s="21">
        <v>25.100018271128839</v>
      </c>
      <c r="N145" s="21">
        <v>38.903481365077525</v>
      </c>
      <c r="O145" s="21"/>
      <c r="P145" s="21">
        <v>62.873257342325829</v>
      </c>
      <c r="Q145" s="21">
        <v>63.512539278099645</v>
      </c>
      <c r="R145" s="21">
        <v>78.294503751208396</v>
      </c>
      <c r="S145" s="21">
        <v>49.061494293670954</v>
      </c>
    </row>
    <row r="146" spans="1:19">
      <c r="A146" s="9">
        <f t="shared" si="2"/>
        <v>37165</v>
      </c>
      <c r="B146" s="21"/>
      <c r="C146" s="21"/>
      <c r="D146" s="21"/>
      <c r="E146" s="21">
        <v>57.171329483142891</v>
      </c>
      <c r="F146" s="21">
        <v>59.030629487333833</v>
      </c>
      <c r="G146" s="21">
        <v>35.196274765729598</v>
      </c>
      <c r="H146" s="21">
        <v>43.572151761445312</v>
      </c>
      <c r="I146" s="21">
        <v>57.455615102138644</v>
      </c>
      <c r="J146" s="21">
        <v>59.378731549067801</v>
      </c>
      <c r="K146" s="21">
        <v>30.740392195708122</v>
      </c>
      <c r="L146" s="21">
        <v>37.289398705461515</v>
      </c>
      <c r="M146" s="21">
        <v>24.408788914107443</v>
      </c>
      <c r="N146" s="21">
        <v>37.313498001574182</v>
      </c>
      <c r="O146" s="21"/>
      <c r="P146" s="21">
        <v>55.517126304274782</v>
      </c>
      <c r="Q146" s="21">
        <v>52.89163414899739</v>
      </c>
      <c r="R146" s="21">
        <v>77.904557716432791</v>
      </c>
      <c r="S146" s="21">
        <v>48.752828339437784</v>
      </c>
    </row>
    <row r="147" spans="1:19">
      <c r="A147" s="9">
        <f t="shared" si="2"/>
        <v>37196</v>
      </c>
      <c r="B147" s="21"/>
      <c r="C147" s="21"/>
      <c r="D147" s="21"/>
      <c r="E147" s="21">
        <v>56.167382085526</v>
      </c>
      <c r="F147" s="21">
        <v>57.812665291316186</v>
      </c>
      <c r="G147" s="21">
        <v>36.72179052344066</v>
      </c>
      <c r="H147" s="21">
        <v>44.63248812326718</v>
      </c>
      <c r="I147" s="21">
        <v>56.64920893668566</v>
      </c>
      <c r="J147" s="21">
        <v>59.908639172061228</v>
      </c>
      <c r="K147" s="21">
        <v>31.119736964163678</v>
      </c>
      <c r="L147" s="21">
        <v>38.560568329420541</v>
      </c>
      <c r="M147" s="21">
        <v>23.925914172884791</v>
      </c>
      <c r="N147" s="21">
        <v>38.328811815070765</v>
      </c>
      <c r="O147" s="21"/>
      <c r="P147" s="21">
        <v>50.12373537625205</v>
      </c>
      <c r="Q147" s="21">
        <v>47.413558576355989</v>
      </c>
      <c r="R147" s="21">
        <v>73.267123208978163</v>
      </c>
      <c r="S147" s="21">
        <v>45.424928248350803</v>
      </c>
    </row>
    <row r="148" spans="1:19">
      <c r="A148" s="9">
        <f t="shared" si="2"/>
        <v>37226</v>
      </c>
      <c r="B148" s="21"/>
      <c r="C148" s="21"/>
      <c r="D148" s="21"/>
      <c r="E148" s="21">
        <v>55.982272400960319</v>
      </c>
      <c r="F148" s="21">
        <v>57.541376357772663</v>
      </c>
      <c r="G148" s="21">
        <v>37.555232824851053</v>
      </c>
      <c r="H148" s="21">
        <v>45.025517434287046</v>
      </c>
      <c r="I148" s="21">
        <v>56.492386358926822</v>
      </c>
      <c r="J148" s="21">
        <v>59.943171332992542</v>
      </c>
      <c r="K148" s="21">
        <v>31.592509322345805</v>
      </c>
      <c r="L148" s="21">
        <v>39.096092038061094</v>
      </c>
      <c r="M148" s="21">
        <v>24.338018297511852</v>
      </c>
      <c r="N148" s="21">
        <v>39.271225798149828</v>
      </c>
      <c r="O148" s="21"/>
      <c r="P148" s="21">
        <v>49.467830555963623</v>
      </c>
      <c r="Q148" s="21">
        <v>47.355722572928244</v>
      </c>
      <c r="R148" s="21">
        <v>72.776746913029086</v>
      </c>
      <c r="S148" s="21">
        <v>43.147370408748259</v>
      </c>
    </row>
    <row r="149" spans="1:19">
      <c r="A149" s="9">
        <f t="shared" si="2"/>
        <v>37257</v>
      </c>
      <c r="B149" s="21"/>
      <c r="C149" s="21"/>
      <c r="D149" s="21"/>
      <c r="E149" s="21">
        <v>57.552177761611524</v>
      </c>
      <c r="F149" s="21">
        <v>59.197918833502982</v>
      </c>
      <c r="G149" s="21">
        <v>38.101174683038543</v>
      </c>
      <c r="H149" s="21">
        <v>46.056346570940299</v>
      </c>
      <c r="I149" s="21">
        <v>57.903510412671032</v>
      </c>
      <c r="J149" s="21">
        <v>60.280182162661333</v>
      </c>
      <c r="K149" s="21">
        <v>32.483430773944079</v>
      </c>
      <c r="L149" s="21">
        <v>40.402698044035411</v>
      </c>
      <c r="M149" s="21">
        <v>24.827054412047413</v>
      </c>
      <c r="N149" s="21">
        <v>40.548034688910356</v>
      </c>
      <c r="O149" s="21"/>
      <c r="P149" s="21">
        <v>49.446171733478522</v>
      </c>
      <c r="Q149" s="21">
        <v>49.542989233731042</v>
      </c>
      <c r="R149" s="21">
        <v>66.846822313870149</v>
      </c>
      <c r="S149" s="21">
        <v>43.813781725560105</v>
      </c>
    </row>
    <row r="150" spans="1:19">
      <c r="A150" s="9">
        <f t="shared" si="2"/>
        <v>37288</v>
      </c>
      <c r="B150" s="21"/>
      <c r="C150" s="21"/>
      <c r="D150" s="21"/>
      <c r="E150" s="21">
        <v>57.926118162207523</v>
      </c>
      <c r="F150" s="21">
        <v>59.467522190379647</v>
      </c>
      <c r="G150" s="21">
        <v>39.708273928155208</v>
      </c>
      <c r="H150" s="21">
        <v>46.741123521140892</v>
      </c>
      <c r="I150" s="21">
        <v>58.47434760574658</v>
      </c>
      <c r="J150" s="21">
        <v>62.182973681469839</v>
      </c>
      <c r="K150" s="21">
        <v>32.999342396589213</v>
      </c>
      <c r="L150" s="21">
        <v>40.60334212956996</v>
      </c>
      <c r="M150" s="21">
        <v>25.647767834718067</v>
      </c>
      <c r="N150" s="21">
        <v>40.555654202561655</v>
      </c>
      <c r="O150" s="21"/>
      <c r="P150" s="21">
        <v>51.143648238469389</v>
      </c>
      <c r="Q150" s="21">
        <v>52.013255929281371</v>
      </c>
      <c r="R150" s="21">
        <v>67.845151764906774</v>
      </c>
      <c r="S150" s="21">
        <v>43.766741112785475</v>
      </c>
    </row>
    <row r="151" spans="1:19">
      <c r="A151" s="9">
        <f t="shared" si="2"/>
        <v>37316</v>
      </c>
      <c r="B151" s="21"/>
      <c r="C151" s="21"/>
      <c r="D151" s="21"/>
      <c r="E151" s="21">
        <v>60.875197888735698</v>
      </c>
      <c r="F151" s="21">
        <v>62.297234582993049</v>
      </c>
      <c r="G151" s="21">
        <v>44.06815540175814</v>
      </c>
      <c r="H151" s="21">
        <v>47.342100835650911</v>
      </c>
      <c r="I151" s="21">
        <v>60.873437221257646</v>
      </c>
      <c r="J151" s="21">
        <v>60.861526775007867</v>
      </c>
      <c r="K151" s="21">
        <v>33.726301920077852</v>
      </c>
      <c r="L151" s="21">
        <v>41.968438995019568</v>
      </c>
      <c r="M151" s="21">
        <v>25.75777385809112</v>
      </c>
      <c r="N151" s="21">
        <v>41.950752598344401</v>
      </c>
      <c r="O151" s="21"/>
      <c r="P151" s="21">
        <v>59.392713822074668</v>
      </c>
      <c r="Q151" s="21">
        <v>61.232800177451146</v>
      </c>
      <c r="R151" s="21">
        <v>77.484067558404249</v>
      </c>
      <c r="S151" s="21">
        <v>43.087001885937944</v>
      </c>
    </row>
    <row r="152" spans="1:19">
      <c r="A152" s="9">
        <f t="shared" si="2"/>
        <v>37347</v>
      </c>
      <c r="B152" s="21"/>
      <c r="C152" s="21"/>
      <c r="D152" s="21"/>
      <c r="E152" s="21">
        <v>61.025986181409849</v>
      </c>
      <c r="F152" s="21">
        <v>62.47134494285983</v>
      </c>
      <c r="G152" s="21">
        <v>43.943300333207155</v>
      </c>
      <c r="H152" s="21">
        <v>47.639711147613944</v>
      </c>
      <c r="I152" s="21">
        <v>61.133077343381906</v>
      </c>
      <c r="J152" s="21">
        <v>61.857520513024873</v>
      </c>
      <c r="K152" s="21">
        <v>34.094443013522003</v>
      </c>
      <c r="L152" s="21">
        <v>41.988457907499409</v>
      </c>
      <c r="M152" s="21">
        <v>26.462480740576559</v>
      </c>
      <c r="N152" s="21">
        <v>42.057195257377046</v>
      </c>
      <c r="O152" s="21"/>
      <c r="P152" s="21">
        <v>63.221657331236344</v>
      </c>
      <c r="Q152" s="21">
        <v>65.197944270705989</v>
      </c>
      <c r="R152" s="21">
        <v>82.599821276072035</v>
      </c>
      <c r="S152" s="21">
        <v>41.400668441070188</v>
      </c>
    </row>
    <row r="153" spans="1:19">
      <c r="A153" s="9">
        <f t="shared" si="2"/>
        <v>37377</v>
      </c>
      <c r="B153" s="21"/>
      <c r="C153" s="21"/>
      <c r="D153" s="21"/>
      <c r="E153" s="21">
        <v>60.24036125275989</v>
      </c>
      <c r="F153" s="21">
        <v>61.743797620409666</v>
      </c>
      <c r="G153" s="21">
        <v>42.471256552720405</v>
      </c>
      <c r="H153" s="21">
        <v>47.428001438790851</v>
      </c>
      <c r="I153" s="21">
        <v>60.520635753650808</v>
      </c>
      <c r="J153" s="21">
        <v>62.416618055612432</v>
      </c>
      <c r="K153" s="21">
        <v>34.24683924970099</v>
      </c>
      <c r="L153" s="21">
        <v>41.470369989130496</v>
      </c>
      <c r="M153" s="21">
        <v>27.26310349277357</v>
      </c>
      <c r="N153" s="21">
        <v>41.567848311833181</v>
      </c>
      <c r="O153" s="21"/>
      <c r="P153" s="21">
        <v>63.945095996033153</v>
      </c>
      <c r="Q153" s="21">
        <v>64.704422023989153</v>
      </c>
      <c r="R153" s="21">
        <v>85.260847734658597</v>
      </c>
      <c r="S153" s="21">
        <v>40.412576969508173</v>
      </c>
    </row>
    <row r="154" spans="1:19">
      <c r="A154" s="9">
        <f t="shared" si="2"/>
        <v>37408</v>
      </c>
      <c r="B154" s="21"/>
      <c r="C154" s="21"/>
      <c r="D154" s="21"/>
      <c r="E154" s="21">
        <v>59.696607437379143</v>
      </c>
      <c r="F154" s="21">
        <v>61.145856655787199</v>
      </c>
      <c r="G154" s="21">
        <v>42.567940303565287</v>
      </c>
      <c r="H154" s="21">
        <v>48.940868821811385</v>
      </c>
      <c r="I154" s="21">
        <v>60.437456687379964</v>
      </c>
      <c r="J154" s="21">
        <v>65.449104418294496</v>
      </c>
      <c r="K154" s="21">
        <v>34.962054722595425</v>
      </c>
      <c r="L154" s="21">
        <v>42.379223669207192</v>
      </c>
      <c r="M154" s="21">
        <v>27.791108843611692</v>
      </c>
      <c r="N154" s="21">
        <v>42.428398919598237</v>
      </c>
      <c r="O154" s="21"/>
      <c r="P154" s="21">
        <v>61.063301508763075</v>
      </c>
      <c r="Q154" s="21">
        <v>60.717089630994053</v>
      </c>
      <c r="R154" s="21">
        <v>82.013658284998613</v>
      </c>
      <c r="S154" s="21">
        <v>37.93658548605849</v>
      </c>
    </row>
    <row r="155" spans="1:19">
      <c r="A155" s="9">
        <f t="shared" si="2"/>
        <v>37438</v>
      </c>
      <c r="B155" s="21"/>
      <c r="C155" s="21"/>
      <c r="D155" s="21"/>
      <c r="E155" s="21">
        <v>61.691551970687279</v>
      </c>
      <c r="F155" s="21">
        <v>63.147708652120329</v>
      </c>
      <c r="G155" s="21">
        <v>44.481245576081243</v>
      </c>
      <c r="H155" s="21">
        <v>49.511877944332582</v>
      </c>
      <c r="I155" s="21">
        <v>62.594340381675465</v>
      </c>
      <c r="J155" s="21">
        <v>68.701463377912191</v>
      </c>
      <c r="K155" s="21">
        <v>34.356683831914324</v>
      </c>
      <c r="L155" s="21">
        <v>41.884457708849808</v>
      </c>
      <c r="M155" s="21">
        <v>27.078804704543074</v>
      </c>
      <c r="N155" s="21">
        <v>41.844363546651593</v>
      </c>
      <c r="O155" s="21"/>
      <c r="P155" s="21">
        <v>63.166597846617691</v>
      </c>
      <c r="Q155" s="21">
        <v>62.2012966542718</v>
      </c>
      <c r="R155" s="21">
        <v>84.149988543079104</v>
      </c>
      <c r="S155" s="21">
        <v>35.407359577360282</v>
      </c>
    </row>
    <row r="156" spans="1:19">
      <c r="A156" s="9">
        <f t="shared" si="2"/>
        <v>37469</v>
      </c>
      <c r="B156" s="21"/>
      <c r="C156" s="21"/>
      <c r="D156" s="21"/>
      <c r="E156" s="21">
        <v>61.557711460403326</v>
      </c>
      <c r="F156" s="21">
        <v>62.971954640688999</v>
      </c>
      <c r="G156" s="21">
        <v>44.842780464622734</v>
      </c>
      <c r="H156" s="21">
        <v>48.55965693139278</v>
      </c>
      <c r="I156" s="21">
        <v>62.615675377563903</v>
      </c>
      <c r="J156" s="21">
        <v>69.772519316895938</v>
      </c>
      <c r="K156" s="21">
        <v>33.360713308884364</v>
      </c>
      <c r="L156" s="21">
        <v>40.128030496745197</v>
      </c>
      <c r="M156" s="21">
        <v>26.818046470719029</v>
      </c>
      <c r="N156" s="21">
        <v>40.238044118430217</v>
      </c>
      <c r="O156" s="21"/>
      <c r="P156" s="21">
        <v>64.126887412290614</v>
      </c>
      <c r="Q156" s="21">
        <v>65.022425748146603</v>
      </c>
      <c r="R156" s="21">
        <v>79.864052171638534</v>
      </c>
      <c r="S156" s="21">
        <v>33.616517175735872</v>
      </c>
    </row>
    <row r="157" spans="1:19">
      <c r="A157" s="9">
        <f t="shared" si="2"/>
        <v>37500</v>
      </c>
      <c r="B157" s="21"/>
      <c r="C157" s="21"/>
      <c r="D157" s="21"/>
      <c r="E157" s="21">
        <v>62.488944199822704</v>
      </c>
      <c r="F157" s="21">
        <v>63.556123879622596</v>
      </c>
      <c r="G157" s="21">
        <v>49.875954470325652</v>
      </c>
      <c r="H157" s="21">
        <v>49.477686902064633</v>
      </c>
      <c r="I157" s="21">
        <v>63.84909377035504</v>
      </c>
      <c r="J157" s="21">
        <v>73.050143118593027</v>
      </c>
      <c r="K157" s="21">
        <v>33.699221142964412</v>
      </c>
      <c r="L157" s="21">
        <v>40.108176019804731</v>
      </c>
      <c r="M157" s="21">
        <v>27.503020288773968</v>
      </c>
      <c r="N157" s="21">
        <v>40.276711203959216</v>
      </c>
      <c r="O157" s="21"/>
      <c r="P157" s="21">
        <v>68.52061893621422</v>
      </c>
      <c r="Q157" s="21">
        <v>68.842766903549958</v>
      </c>
      <c r="R157" s="21">
        <v>86.53346587106995</v>
      </c>
      <c r="S157" s="21">
        <v>35.357966670363126</v>
      </c>
    </row>
    <row r="158" spans="1:19">
      <c r="A158" s="9">
        <f t="shared" si="2"/>
        <v>37530</v>
      </c>
      <c r="B158" s="21"/>
      <c r="C158" s="21"/>
      <c r="D158" s="21"/>
      <c r="E158" s="21">
        <v>64.920765476561456</v>
      </c>
      <c r="F158" s="21">
        <v>66.07938924868526</v>
      </c>
      <c r="G158" s="21">
        <v>51.226998611651766</v>
      </c>
      <c r="H158" s="21">
        <v>49.604310975258919</v>
      </c>
      <c r="I158" s="21">
        <v>65.917713826991701</v>
      </c>
      <c r="J158" s="21">
        <v>72.66180371878427</v>
      </c>
      <c r="K158" s="21">
        <v>33.767758350405551</v>
      </c>
      <c r="L158" s="21">
        <v>40.439486266554624</v>
      </c>
      <c r="M158" s="21">
        <v>27.317507567340272</v>
      </c>
      <c r="N158" s="21">
        <v>40.567732098609127</v>
      </c>
      <c r="O158" s="21"/>
      <c r="P158" s="21">
        <v>69.422977869398153</v>
      </c>
      <c r="Q158" s="21">
        <v>66.910214997527802</v>
      </c>
      <c r="R158" s="21">
        <v>96.586510624686355</v>
      </c>
      <c r="S158" s="21">
        <v>39.956437771683255</v>
      </c>
    </row>
    <row r="159" spans="1:19">
      <c r="A159" s="9">
        <f t="shared" si="2"/>
        <v>37561</v>
      </c>
      <c r="B159" s="21"/>
      <c r="C159" s="21"/>
      <c r="D159" s="21"/>
      <c r="E159" s="21">
        <v>63.593590762624459</v>
      </c>
      <c r="F159" s="21">
        <v>64.738061782533762</v>
      </c>
      <c r="G159" s="21">
        <v>50.067095184550965</v>
      </c>
      <c r="H159" s="21">
        <v>50.987243875818649</v>
      </c>
      <c r="I159" s="21">
        <v>64.79531986973835</v>
      </c>
      <c r="J159" s="21">
        <v>72.924697003932025</v>
      </c>
      <c r="K159" s="21">
        <v>34.772575546135165</v>
      </c>
      <c r="L159" s="21">
        <v>42.267609234232033</v>
      </c>
      <c r="M159" s="21">
        <v>27.52634975225536</v>
      </c>
      <c r="N159" s="21">
        <v>42.133773358232304</v>
      </c>
      <c r="O159" s="21"/>
      <c r="P159" s="21">
        <v>64.689744632495348</v>
      </c>
      <c r="Q159" s="21">
        <v>59.500900700586861</v>
      </c>
      <c r="R159" s="21">
        <v>95.839391419318233</v>
      </c>
      <c r="S159" s="21">
        <v>39.591636580772175</v>
      </c>
    </row>
    <row r="160" spans="1:19">
      <c r="A160" s="9">
        <f t="shared" si="2"/>
        <v>37591</v>
      </c>
      <c r="B160" s="21"/>
      <c r="C160" s="21"/>
      <c r="D160" s="21"/>
      <c r="E160" s="21">
        <v>64.536851744698595</v>
      </c>
      <c r="F160" s="21">
        <v>65.685024286277041</v>
      </c>
      <c r="G160" s="21">
        <v>50.966607905971287</v>
      </c>
      <c r="H160" s="21">
        <v>51.328589219160357</v>
      </c>
      <c r="I160" s="21">
        <v>65.755506677632582</v>
      </c>
      <c r="J160" s="21">
        <v>73.999382512560601</v>
      </c>
      <c r="K160" s="21">
        <v>35.152690680469966</v>
      </c>
      <c r="L160" s="21">
        <v>42.317468675725458</v>
      </c>
      <c r="M160" s="21">
        <v>28.225757290017693</v>
      </c>
      <c r="N160" s="21">
        <v>42.069845730321951</v>
      </c>
      <c r="O160" s="21"/>
      <c r="P160" s="21">
        <v>72.092202281377212</v>
      </c>
      <c r="Q160" s="21">
        <v>67.004918318225961</v>
      </c>
      <c r="R160" s="21">
        <v>104.64549420429891</v>
      </c>
      <c r="S160" s="21">
        <v>39.591636580772175</v>
      </c>
    </row>
    <row r="161" spans="1:19">
      <c r="A161" s="9">
        <f t="shared" si="2"/>
        <v>37622</v>
      </c>
      <c r="B161" s="21">
        <v>65.153378078711668</v>
      </c>
      <c r="C161" s="21">
        <v>69.290185822257541</v>
      </c>
      <c r="D161" s="21">
        <v>55.2667265119155</v>
      </c>
      <c r="E161" s="21">
        <v>65.043834538027127</v>
      </c>
      <c r="F161" s="21">
        <v>65.987927054122096</v>
      </c>
      <c r="G161" s="21">
        <v>53.885611199822371</v>
      </c>
      <c r="H161" s="21">
        <v>53.201868138821524</v>
      </c>
      <c r="I161" s="21">
        <v>66.323414259865345</v>
      </c>
      <c r="J161" s="21">
        <v>74.979430054532799</v>
      </c>
      <c r="K161" s="21">
        <v>37.259977751326858</v>
      </c>
      <c r="L161" s="21">
        <v>44.545786588216103</v>
      </c>
      <c r="M161" s="21">
        <v>30.216031303562474</v>
      </c>
      <c r="N161" s="21">
        <v>44.273201390880544</v>
      </c>
      <c r="O161" s="21">
        <v>69.972224464026795</v>
      </c>
      <c r="P161" s="21">
        <v>79.454165852773613</v>
      </c>
      <c r="Q161" s="21">
        <v>71.792980613814962</v>
      </c>
      <c r="R161" s="21">
        <v>117.88657910362816</v>
      </c>
      <c r="S161" s="21">
        <v>40.347581886491277</v>
      </c>
    </row>
    <row r="162" spans="1:19">
      <c r="A162" s="9">
        <f t="shared" si="2"/>
        <v>37653</v>
      </c>
      <c r="B162" s="21">
        <v>70.229514072745744</v>
      </c>
      <c r="C162" s="21">
        <v>74.921457439709499</v>
      </c>
      <c r="D162" s="21">
        <v>55.946681916953416</v>
      </c>
      <c r="E162" s="21">
        <v>65.346695162734946</v>
      </c>
      <c r="F162" s="21">
        <v>66.252295599339561</v>
      </c>
      <c r="G162" s="21">
        <v>54.643409462932382</v>
      </c>
      <c r="H162" s="21">
        <v>54.25697003159361</v>
      </c>
      <c r="I162" s="21">
        <v>66.619361155150841</v>
      </c>
      <c r="J162" s="21">
        <v>75.228607412869493</v>
      </c>
      <c r="K162" s="21">
        <v>38.087342764873867</v>
      </c>
      <c r="L162" s="21">
        <v>45.921225005375405</v>
      </c>
      <c r="M162" s="21">
        <v>30.513516959728872</v>
      </c>
      <c r="N162" s="21">
        <v>45.632841444633769</v>
      </c>
      <c r="O162" s="21">
        <v>75.844061587116897</v>
      </c>
      <c r="P162" s="21">
        <v>90.889264251311388</v>
      </c>
      <c r="Q162" s="21">
        <v>77.150500873048472</v>
      </c>
      <c r="R162" s="21">
        <v>150.58706340491185</v>
      </c>
      <c r="S162" s="21">
        <v>40.375688805126217</v>
      </c>
    </row>
    <row r="163" spans="1:19">
      <c r="A163" s="9">
        <f t="shared" si="2"/>
        <v>37681</v>
      </c>
      <c r="B163" s="21">
        <v>65.782767587809019</v>
      </c>
      <c r="C163" s="21">
        <v>70.13857911374501</v>
      </c>
      <c r="D163" s="21">
        <v>55.544475189703363</v>
      </c>
      <c r="E163" s="21">
        <v>64.786858007651915</v>
      </c>
      <c r="F163" s="21">
        <v>66.016238797048061</v>
      </c>
      <c r="G163" s="21">
        <v>50.256814413491526</v>
      </c>
      <c r="H163" s="21">
        <v>53.638851612129386</v>
      </c>
      <c r="I163" s="21">
        <v>66.101173999770225</v>
      </c>
      <c r="J163" s="21">
        <v>74.992171405243738</v>
      </c>
      <c r="K163" s="21">
        <v>36.951313441258378</v>
      </c>
      <c r="L163" s="21">
        <v>45.151396578331223</v>
      </c>
      <c r="M163" s="21">
        <v>29.023443279155895</v>
      </c>
      <c r="N163" s="21">
        <v>44.771355735586411</v>
      </c>
      <c r="O163" s="21">
        <v>86.296082098043868</v>
      </c>
      <c r="P163" s="21">
        <v>80.592194800337808</v>
      </c>
      <c r="Q163" s="21">
        <v>71.014174736551681</v>
      </c>
      <c r="R163" s="21">
        <v>126.27471127957205</v>
      </c>
      <c r="S163" s="21">
        <v>37.147868425413257</v>
      </c>
    </row>
    <row r="164" spans="1:19">
      <c r="A164" s="9">
        <f t="shared" si="2"/>
        <v>37712</v>
      </c>
      <c r="B164" s="21">
        <v>61.887199479474184</v>
      </c>
      <c r="C164" s="21">
        <v>65.914406291652725</v>
      </c>
      <c r="D164" s="21">
        <v>55.692829077504427</v>
      </c>
      <c r="E164" s="21">
        <v>66.211058857513336</v>
      </c>
      <c r="F164" s="21">
        <v>67.563603641649607</v>
      </c>
      <c r="G164" s="21">
        <v>50.225340806552694</v>
      </c>
      <c r="H164" s="21">
        <v>53.010221972009269</v>
      </c>
      <c r="I164" s="21">
        <v>67.546372662184439</v>
      </c>
      <c r="J164" s="21">
        <v>76.579414673405012</v>
      </c>
      <c r="K164" s="21">
        <v>35.531840447357688</v>
      </c>
      <c r="L164" s="21">
        <v>43.642008262189478</v>
      </c>
      <c r="M164" s="21">
        <v>27.690900745397485</v>
      </c>
      <c r="N164" s="21">
        <v>43.005351439552243</v>
      </c>
      <c r="O164" s="21">
        <v>81.676664262396613</v>
      </c>
      <c r="P164" s="21">
        <v>70.847197302195724</v>
      </c>
      <c r="Q164" s="21">
        <v>60.177368022530949</v>
      </c>
      <c r="R164" s="21">
        <v>119.51106988581118</v>
      </c>
      <c r="S164" s="21">
        <v>36.421676282798479</v>
      </c>
    </row>
    <row r="165" spans="1:19">
      <c r="A165" s="9">
        <f t="shared" si="2"/>
        <v>37742</v>
      </c>
      <c r="B165" s="21">
        <v>63.065977216195442</v>
      </c>
      <c r="C165" s="21">
        <v>66.977299129497339</v>
      </c>
      <c r="D165" s="21">
        <v>56.282103776098481</v>
      </c>
      <c r="E165" s="21">
        <v>66.482227612828737</v>
      </c>
      <c r="F165" s="21">
        <v>68.001437219843851</v>
      </c>
      <c r="G165" s="21">
        <v>48.526699098803924</v>
      </c>
      <c r="H165" s="21">
        <v>53.623738357728662</v>
      </c>
      <c r="I165" s="21">
        <v>67.496325485486395</v>
      </c>
      <c r="J165" s="21">
        <v>74.356427324590953</v>
      </c>
      <c r="K165" s="21">
        <v>37.476238128434098</v>
      </c>
      <c r="L165" s="21">
        <v>45.382969847686063</v>
      </c>
      <c r="M165" s="21">
        <v>29.831981182621881</v>
      </c>
      <c r="N165" s="21">
        <v>44.740542273497972</v>
      </c>
      <c r="O165" s="21">
        <v>77.670207764438274</v>
      </c>
      <c r="P165" s="21">
        <v>72.87867605537987</v>
      </c>
      <c r="Q165" s="21">
        <v>59.499738704185425</v>
      </c>
      <c r="R165" s="21">
        <v>125.13011797760187</v>
      </c>
      <c r="S165" s="21">
        <v>35.973260084497198</v>
      </c>
    </row>
    <row r="166" spans="1:19">
      <c r="A166" s="9">
        <f t="shared" si="2"/>
        <v>37773</v>
      </c>
      <c r="B166" s="21">
        <v>64.384351787906226</v>
      </c>
      <c r="C166" s="21">
        <v>68.438751266053899</v>
      </c>
      <c r="D166" s="21">
        <v>56.212918596280446</v>
      </c>
      <c r="E166" s="21">
        <v>65.822695910881123</v>
      </c>
      <c r="F166" s="21">
        <v>67.562137279515881</v>
      </c>
      <c r="G166" s="21">
        <v>45.264249631463329</v>
      </c>
      <c r="H166" s="21">
        <v>54.678282947646309</v>
      </c>
      <c r="I166" s="21">
        <v>67.076034455403104</v>
      </c>
      <c r="J166" s="21">
        <v>75.554535679119468</v>
      </c>
      <c r="K166" s="21">
        <v>38.002464335796546</v>
      </c>
      <c r="L166" s="21">
        <v>46.380451132767568</v>
      </c>
      <c r="M166" s="21">
        <v>29.902596269104649</v>
      </c>
      <c r="N166" s="21">
        <v>45.648883918897937</v>
      </c>
      <c r="O166" s="21">
        <v>76.852415069024019</v>
      </c>
      <c r="P166" s="21">
        <v>76.2041201992688</v>
      </c>
      <c r="Q166" s="21">
        <v>63.527375362171767</v>
      </c>
      <c r="R166" s="21">
        <v>124.59060530119918</v>
      </c>
      <c r="S166" s="21">
        <v>39.184969011031761</v>
      </c>
    </row>
    <row r="167" spans="1:19">
      <c r="A167" s="9">
        <f t="shared" si="2"/>
        <v>37803</v>
      </c>
      <c r="B167" s="21">
        <v>63.303971318014874</v>
      </c>
      <c r="C167" s="21">
        <v>67.284475323992325</v>
      </c>
      <c r="D167" s="21">
        <v>55.037379735006617</v>
      </c>
      <c r="E167" s="21">
        <v>63.255860086969946</v>
      </c>
      <c r="F167" s="21">
        <v>64.700086464893687</v>
      </c>
      <c r="G167" s="21">
        <v>46.186557872335889</v>
      </c>
      <c r="H167" s="21">
        <v>55.081795272657736</v>
      </c>
      <c r="I167" s="21">
        <v>64.819954154190398</v>
      </c>
      <c r="J167" s="21">
        <v>75.400633668833095</v>
      </c>
      <c r="K167" s="21">
        <v>38.190632969756848</v>
      </c>
      <c r="L167" s="21">
        <v>47.005522875793268</v>
      </c>
      <c r="M167" s="21">
        <v>29.668365390256351</v>
      </c>
      <c r="N167" s="21">
        <v>46.33463324804282</v>
      </c>
      <c r="O167" s="21">
        <v>78.964822387330159</v>
      </c>
      <c r="P167" s="21">
        <v>75.261383900499283</v>
      </c>
      <c r="Q167" s="21">
        <v>65.832928469075995</v>
      </c>
      <c r="R167" s="21">
        <v>114.21586709386391</v>
      </c>
      <c r="S167" s="21">
        <v>41.510547259659802</v>
      </c>
    </row>
    <row r="168" spans="1:19">
      <c r="A168" s="9">
        <f t="shared" si="2"/>
        <v>37834</v>
      </c>
      <c r="B168" s="21">
        <v>64.423873696429936</v>
      </c>
      <c r="C168" s="21">
        <v>68.451794892624207</v>
      </c>
      <c r="D168" s="21">
        <v>55.60663597855573</v>
      </c>
      <c r="E168" s="21">
        <v>63.659849682211615</v>
      </c>
      <c r="F168" s="21">
        <v>65.127403484444173</v>
      </c>
      <c r="G168" s="21">
        <v>46.314840790630718</v>
      </c>
      <c r="H168" s="21">
        <v>56.050986036395614</v>
      </c>
      <c r="I168" s="21">
        <v>65.274644279350554</v>
      </c>
      <c r="J168" s="21">
        <v>76.198299366583683</v>
      </c>
      <c r="K168" s="21">
        <v>39.086119921954925</v>
      </c>
      <c r="L168" s="21">
        <v>48.042890920574095</v>
      </c>
      <c r="M168" s="21">
        <v>30.426681186790404</v>
      </c>
      <c r="N168" s="21">
        <v>47.387572141297525</v>
      </c>
      <c r="O168" s="21">
        <v>77.715588845773766</v>
      </c>
      <c r="P168" s="21">
        <v>77.177781781979562</v>
      </c>
      <c r="Q168" s="21">
        <v>68.940452240285467</v>
      </c>
      <c r="R168" s="21">
        <v>114.03785524242444</v>
      </c>
      <c r="S168" s="21">
        <v>42.789468485117908</v>
      </c>
    </row>
    <row r="169" spans="1:19">
      <c r="A169" s="9">
        <f t="shared" si="2"/>
        <v>37865</v>
      </c>
      <c r="B169" s="21">
        <v>64.501453412936144</v>
      </c>
      <c r="C169" s="21">
        <v>68.364351599834706</v>
      </c>
      <c r="D169" s="21">
        <v>59.328333912168901</v>
      </c>
      <c r="E169" s="21">
        <v>69.645288582431746</v>
      </c>
      <c r="F169" s="21">
        <v>71.488981937453687</v>
      </c>
      <c r="G169" s="21">
        <v>47.854688750551411</v>
      </c>
      <c r="H169" s="21">
        <v>57.034931373503049</v>
      </c>
      <c r="I169" s="21">
        <v>70.705668219739096</v>
      </c>
      <c r="J169" s="21">
        <v>77.878853862045375</v>
      </c>
      <c r="K169" s="21">
        <v>40.237612753799567</v>
      </c>
      <c r="L169" s="21">
        <v>48.749950088929019</v>
      </c>
      <c r="M169" s="21">
        <v>32.007854098814327</v>
      </c>
      <c r="N169" s="21">
        <v>48.227929423502331</v>
      </c>
      <c r="O169" s="21">
        <v>81.162601247484758</v>
      </c>
      <c r="P169" s="21">
        <v>71.984238015034435</v>
      </c>
      <c r="Q169" s="21">
        <v>61.95312828838729</v>
      </c>
      <c r="R169" s="21">
        <v>110.07491449966869</v>
      </c>
      <c r="S169" s="21">
        <v>46.906418409101434</v>
      </c>
    </row>
    <row r="170" spans="1:19">
      <c r="A170" s="9">
        <f t="shared" si="2"/>
        <v>37895</v>
      </c>
      <c r="B170" s="21">
        <v>67.478328837477491</v>
      </c>
      <c r="C170" s="21">
        <v>71.678236975109371</v>
      </c>
      <c r="D170" s="21">
        <v>61.782171135686568</v>
      </c>
      <c r="E170" s="21">
        <v>72.617848890350629</v>
      </c>
      <c r="F170" s="21">
        <v>74.891508438380001</v>
      </c>
      <c r="G170" s="21">
        <v>45.745481405763051</v>
      </c>
      <c r="H170" s="21">
        <v>60.503208056659126</v>
      </c>
      <c r="I170" s="21">
        <v>73.841953367379659</v>
      </c>
      <c r="J170" s="21">
        <v>82.122693915740811</v>
      </c>
      <c r="K170" s="21">
        <v>41.793628134468385</v>
      </c>
      <c r="L170" s="21">
        <v>51.909958114232822</v>
      </c>
      <c r="M170" s="21">
        <v>32.013123564463953</v>
      </c>
      <c r="N170" s="21">
        <v>51.04381512141935</v>
      </c>
      <c r="O170" s="21">
        <v>81.975689217349</v>
      </c>
      <c r="P170" s="21">
        <v>75.717674774829788</v>
      </c>
      <c r="Q170" s="21">
        <v>65.078697932377352</v>
      </c>
      <c r="R170" s="21">
        <v>109.67470563095861</v>
      </c>
      <c r="S170" s="21">
        <v>49.497189138340481</v>
      </c>
    </row>
    <row r="171" spans="1:19">
      <c r="A171" s="9">
        <f t="shared" si="2"/>
        <v>37926</v>
      </c>
      <c r="B171" s="21">
        <v>67.40598051371326</v>
      </c>
      <c r="C171" s="21">
        <v>71.498103364659869</v>
      </c>
      <c r="D171" s="21">
        <v>61.50593156396274</v>
      </c>
      <c r="E171" s="21">
        <v>70.395357078210637</v>
      </c>
      <c r="F171" s="21">
        <v>72.546460364963039</v>
      </c>
      <c r="G171" s="21">
        <v>44.971481252555016</v>
      </c>
      <c r="H171" s="21">
        <v>62.498123094558537</v>
      </c>
      <c r="I171" s="21">
        <v>71.922704522366786</v>
      </c>
      <c r="J171" s="21">
        <v>82.254802925401762</v>
      </c>
      <c r="K171" s="21">
        <v>43.606858987594777</v>
      </c>
      <c r="L171" s="21">
        <v>54.64529583837232</v>
      </c>
      <c r="M171" s="21">
        <v>32.934858145323979</v>
      </c>
      <c r="N171" s="21">
        <v>53.611329620070009</v>
      </c>
      <c r="O171" s="21">
        <v>86.509272983234069</v>
      </c>
      <c r="P171" s="21">
        <v>75.940249908857112</v>
      </c>
      <c r="Q171" s="21">
        <v>65.200671547914055</v>
      </c>
      <c r="R171" s="21">
        <v>108.84775451228519</v>
      </c>
      <c r="S171" s="21">
        <v>53.281766840739508</v>
      </c>
    </row>
    <row r="172" spans="1:19">
      <c r="A172" s="9">
        <f t="shared" si="2"/>
        <v>37956</v>
      </c>
      <c r="B172" s="21">
        <v>70.523479117579228</v>
      </c>
      <c r="C172" s="21">
        <v>74.813837726083236</v>
      </c>
      <c r="D172" s="21">
        <v>62.400102670477558</v>
      </c>
      <c r="E172" s="21">
        <v>69.981404291518388</v>
      </c>
      <c r="F172" s="21">
        <v>71.890856095193257</v>
      </c>
      <c r="G172" s="21">
        <v>47.413605780552807</v>
      </c>
      <c r="H172" s="21">
        <v>65.277937076589396</v>
      </c>
      <c r="I172" s="21">
        <v>71.339240543407499</v>
      </c>
      <c r="J172" s="21">
        <v>80.524640907551628</v>
      </c>
      <c r="K172" s="21">
        <v>46.63664880193808</v>
      </c>
      <c r="L172" s="21">
        <v>59.217721876671931</v>
      </c>
      <c r="M172" s="21">
        <v>34.473221655025277</v>
      </c>
      <c r="N172" s="21">
        <v>57.987087346133535</v>
      </c>
      <c r="O172" s="21">
        <v>88.66940766912488</v>
      </c>
      <c r="P172" s="21">
        <v>82.273734681249252</v>
      </c>
      <c r="Q172" s="21">
        <v>65.609632759524118</v>
      </c>
      <c r="R172" s="21">
        <v>130.32780235720912</v>
      </c>
      <c r="S172" s="21">
        <v>56.018217712627781</v>
      </c>
    </row>
    <row r="173" spans="1:19">
      <c r="A173" s="9">
        <f t="shared" si="2"/>
        <v>37987</v>
      </c>
      <c r="B173" s="21">
        <v>73.16918025286077</v>
      </c>
      <c r="C173" s="21">
        <v>77.696902101375514</v>
      </c>
      <c r="D173" s="21">
        <v>64.564669652893443</v>
      </c>
      <c r="E173" s="21">
        <v>71.576833903716022</v>
      </c>
      <c r="F173" s="21">
        <v>73.40397925304022</v>
      </c>
      <c r="G173" s="21">
        <v>49.981814844090039</v>
      </c>
      <c r="H173" s="21">
        <v>69.581975370791625</v>
      </c>
      <c r="I173" s="21">
        <v>73.019259071944134</v>
      </c>
      <c r="J173" s="21">
        <v>82.776880911146009</v>
      </c>
      <c r="K173" s="21">
        <v>49.635420439520416</v>
      </c>
      <c r="L173" s="21">
        <v>64.337302948235347</v>
      </c>
      <c r="M173" s="21">
        <v>35.42158702841386</v>
      </c>
      <c r="N173" s="21">
        <v>62.9679043477717</v>
      </c>
      <c r="O173" s="21">
        <v>89.651727597973007</v>
      </c>
      <c r="P173" s="21">
        <v>85.615384021491749</v>
      </c>
      <c r="Q173" s="21">
        <v>67.628758068997016</v>
      </c>
      <c r="R173" s="21">
        <v>129.30537647329191</v>
      </c>
      <c r="S173" s="21">
        <v>60.873708307214045</v>
      </c>
    </row>
    <row r="174" spans="1:19">
      <c r="A174" s="9">
        <f t="shared" si="2"/>
        <v>38018</v>
      </c>
      <c r="B174" s="21">
        <v>72.960691393065204</v>
      </c>
      <c r="C174" s="21">
        <v>77.54557880075366</v>
      </c>
      <c r="D174" s="21">
        <v>65.47853608352311</v>
      </c>
      <c r="E174" s="21">
        <v>72.107627494215507</v>
      </c>
      <c r="F174" s="21">
        <v>74.04557710392335</v>
      </c>
      <c r="G174" s="21">
        <v>49.203013598164524</v>
      </c>
      <c r="H174" s="21">
        <v>72.578809232308004</v>
      </c>
      <c r="I174" s="21">
        <v>73.753398634296488</v>
      </c>
      <c r="J174" s="21">
        <v>84.886601778906851</v>
      </c>
      <c r="K174" s="21">
        <v>51.018184313493983</v>
      </c>
      <c r="L174" s="21">
        <v>67.686743885248561</v>
      </c>
      <c r="M174" s="21">
        <v>34.902960374275146</v>
      </c>
      <c r="N174" s="21">
        <v>66.045945074542004</v>
      </c>
      <c r="O174" s="21">
        <v>88.224411134012584</v>
      </c>
      <c r="P174" s="21">
        <v>83.783437036664978</v>
      </c>
      <c r="Q174" s="21">
        <v>67.500165035150886</v>
      </c>
      <c r="R174" s="21">
        <v>119.46415105970854</v>
      </c>
      <c r="S174" s="21">
        <v>64.707532180632555</v>
      </c>
    </row>
    <row r="175" spans="1:19">
      <c r="A175" s="9">
        <f t="shared" si="2"/>
        <v>38047</v>
      </c>
      <c r="B175" s="21">
        <v>75.426721334333152</v>
      </c>
      <c r="C175" s="21">
        <v>80.274371043137762</v>
      </c>
      <c r="D175" s="21">
        <v>67.533986221914759</v>
      </c>
      <c r="E175" s="21">
        <v>76.244854668420004</v>
      </c>
      <c r="F175" s="21">
        <v>78.580753259058639</v>
      </c>
      <c r="G175" s="21">
        <v>48.636884342001949</v>
      </c>
      <c r="H175" s="21">
        <v>72.338238705234502</v>
      </c>
      <c r="I175" s="21">
        <v>77.275813703673947</v>
      </c>
      <c r="J175" s="21">
        <v>84.249976814037538</v>
      </c>
      <c r="K175" s="21">
        <v>51.351816620595834</v>
      </c>
      <c r="L175" s="21">
        <v>67.603595916554568</v>
      </c>
      <c r="M175" s="21">
        <v>35.639537365888387</v>
      </c>
      <c r="N175" s="21">
        <v>66.533413964119845</v>
      </c>
      <c r="O175" s="21">
        <v>84.270117333194733</v>
      </c>
      <c r="P175" s="21">
        <v>86.843360126243127</v>
      </c>
      <c r="Q175" s="21">
        <v>73.19517792799995</v>
      </c>
      <c r="R175" s="21">
        <v>120.12560495856209</v>
      </c>
      <c r="S175" s="21">
        <v>70.395792235754627</v>
      </c>
    </row>
    <row r="176" spans="1:19">
      <c r="A176" s="9">
        <f t="shared" si="2"/>
        <v>38078</v>
      </c>
      <c r="B176" s="21">
        <v>76.543471598593626</v>
      </c>
      <c r="C176" s="21">
        <v>81.548339176532252</v>
      </c>
      <c r="D176" s="21">
        <v>67.80755387034344</v>
      </c>
      <c r="E176" s="21">
        <v>77.524294461511843</v>
      </c>
      <c r="F176" s="21">
        <v>80.111032102864087</v>
      </c>
      <c r="G176" s="21">
        <v>46.951659017968495</v>
      </c>
      <c r="H176" s="21">
        <v>71.307849971511729</v>
      </c>
      <c r="I176" s="21">
        <v>78.365746224039157</v>
      </c>
      <c r="J176" s="21">
        <v>84.057943140401605</v>
      </c>
      <c r="K176" s="21">
        <v>50.551005068193376</v>
      </c>
      <c r="L176" s="21">
        <v>66.239980268057664</v>
      </c>
      <c r="M176" s="21">
        <v>35.382846857864614</v>
      </c>
      <c r="N176" s="21">
        <v>65.305776782085857</v>
      </c>
      <c r="O176" s="21">
        <v>82.585475164547901</v>
      </c>
      <c r="P176" s="21">
        <v>89.179752406035405</v>
      </c>
      <c r="Q176" s="21">
        <v>74.550523212044865</v>
      </c>
      <c r="R176" s="21">
        <v>125.92335119325932</v>
      </c>
      <c r="S176" s="21">
        <v>77.379142903276744</v>
      </c>
    </row>
    <row r="177" spans="1:19">
      <c r="A177" s="9">
        <f t="shared" si="2"/>
        <v>38108</v>
      </c>
      <c r="B177" s="21">
        <v>79.679261406919764</v>
      </c>
      <c r="C177" s="21">
        <v>85.215428830761326</v>
      </c>
      <c r="D177" s="21">
        <v>67.312827972806161</v>
      </c>
      <c r="E177" s="21">
        <v>78.561630182386352</v>
      </c>
      <c r="F177" s="21">
        <v>81.19071912552451</v>
      </c>
      <c r="G177" s="21">
        <v>47.488444977104322</v>
      </c>
      <c r="H177" s="21">
        <v>69.278436073982178</v>
      </c>
      <c r="I177" s="21">
        <v>79.631710291464799</v>
      </c>
      <c r="J177" s="21">
        <v>86.870517040008679</v>
      </c>
      <c r="K177" s="21">
        <v>47.458869348335817</v>
      </c>
      <c r="L177" s="21">
        <v>62.2859872371398</v>
      </c>
      <c r="M177" s="21">
        <v>33.123957916866438</v>
      </c>
      <c r="N177" s="21">
        <v>60.975206478004118</v>
      </c>
      <c r="O177" s="21">
        <v>81.21094334808933</v>
      </c>
      <c r="P177" s="21">
        <v>97.566990014375122</v>
      </c>
      <c r="Q177" s="21">
        <v>83.063860056839147</v>
      </c>
      <c r="R177" s="21">
        <v>133.88212404893554</v>
      </c>
      <c r="S177" s="21">
        <v>83.939126361359968</v>
      </c>
    </row>
    <row r="178" spans="1:19">
      <c r="A178" s="9">
        <f t="shared" si="2"/>
        <v>38139</v>
      </c>
      <c r="B178" s="21">
        <v>78.394825598798363</v>
      </c>
      <c r="C178" s="21">
        <v>83.707803316794767</v>
      </c>
      <c r="D178" s="21">
        <v>66.596851634083194</v>
      </c>
      <c r="E178" s="21">
        <v>75.576260138614487</v>
      </c>
      <c r="F178" s="21">
        <v>77.782201829543808</v>
      </c>
      <c r="G178" s="21">
        <v>49.504249568868438</v>
      </c>
      <c r="H178" s="21">
        <v>71.369270345002903</v>
      </c>
      <c r="I178" s="21">
        <v>76.923145744945131</v>
      </c>
      <c r="J178" s="21">
        <v>86.034467910366644</v>
      </c>
      <c r="K178" s="21">
        <v>49.327000069672529</v>
      </c>
      <c r="L178" s="21">
        <v>65.540190553020039</v>
      </c>
      <c r="M178" s="21">
        <v>33.652028619163829</v>
      </c>
      <c r="N178" s="21">
        <v>63.797253693499577</v>
      </c>
      <c r="O178" s="21">
        <v>85.730853207495016</v>
      </c>
      <c r="P178" s="21">
        <v>95.460292171923996</v>
      </c>
      <c r="Q178" s="21">
        <v>78.20394311000301</v>
      </c>
      <c r="R178" s="21">
        <v>134.83313097597363</v>
      </c>
      <c r="S178" s="21">
        <v>94.070386451260958</v>
      </c>
    </row>
    <row r="179" spans="1:19">
      <c r="A179" s="9">
        <f t="shared" si="2"/>
        <v>38169</v>
      </c>
      <c r="B179" s="21">
        <v>79.77008432272676</v>
      </c>
      <c r="C179" s="21">
        <v>85.186824861106516</v>
      </c>
      <c r="D179" s="21">
        <v>66.022453162462924</v>
      </c>
      <c r="E179" s="21">
        <v>73.090919652346855</v>
      </c>
      <c r="F179" s="21">
        <v>75.185296091583126</v>
      </c>
      <c r="G179" s="21">
        <v>48.337498070387163</v>
      </c>
      <c r="H179" s="21">
        <v>72.641535927165719</v>
      </c>
      <c r="I179" s="21">
        <v>74.42968590790548</v>
      </c>
      <c r="J179" s="21">
        <v>83.486082829260155</v>
      </c>
      <c r="K179" s="21">
        <v>50.9657453894946</v>
      </c>
      <c r="L179" s="21">
        <v>68.331077174839933</v>
      </c>
      <c r="M179" s="21">
        <v>34.176879543288948</v>
      </c>
      <c r="N179" s="21">
        <v>66.390698460688967</v>
      </c>
      <c r="O179" s="21">
        <v>93.487331883199516</v>
      </c>
      <c r="P179" s="21">
        <v>99.655679995916358</v>
      </c>
      <c r="Q179" s="21">
        <v>82.814926274250084</v>
      </c>
      <c r="R179" s="21">
        <v>132.35050544848184</v>
      </c>
      <c r="S179" s="21">
        <v>100.08366762024804</v>
      </c>
    </row>
    <row r="180" spans="1:19">
      <c r="A180" s="9">
        <f t="shared" si="2"/>
        <v>38200</v>
      </c>
      <c r="B180" s="21">
        <v>80.837602079834539</v>
      </c>
      <c r="C180" s="21">
        <v>86.353192785128002</v>
      </c>
      <c r="D180" s="21">
        <v>64.016047416586304</v>
      </c>
      <c r="E180" s="21">
        <v>69.402596071083707</v>
      </c>
      <c r="F180" s="21">
        <v>71.099113218796077</v>
      </c>
      <c r="G180" s="21">
        <v>49.351470880971711</v>
      </c>
      <c r="H180" s="21">
        <v>71.243575296804465</v>
      </c>
      <c r="I180" s="21">
        <v>71.159438598830533</v>
      </c>
      <c r="J180" s="21">
        <v>83.044010079123794</v>
      </c>
      <c r="K180" s="21">
        <v>50.303263680478864</v>
      </c>
      <c r="L180" s="21">
        <v>66.553173028464926</v>
      </c>
      <c r="M180" s="21">
        <v>34.592792298263603</v>
      </c>
      <c r="N180" s="21">
        <v>65.035871063811854</v>
      </c>
      <c r="O180" s="21">
        <v>98.322643081010455</v>
      </c>
      <c r="P180" s="21">
        <v>105.16954921518311</v>
      </c>
      <c r="Q180" s="21">
        <v>91.884364105303277</v>
      </c>
      <c r="R180" s="21">
        <v>126.22681824846273</v>
      </c>
      <c r="S180" s="21">
        <v>94.675448319366822</v>
      </c>
    </row>
    <row r="181" spans="1:19">
      <c r="A181" s="9">
        <f t="shared" si="2"/>
        <v>38231</v>
      </c>
      <c r="B181" s="21">
        <v>80.679960258899101</v>
      </c>
      <c r="C181" s="21">
        <v>86.134529884743372</v>
      </c>
      <c r="D181" s="21">
        <v>64.568486287091261</v>
      </c>
      <c r="E181" s="21">
        <v>70.138555065460181</v>
      </c>
      <c r="F181" s="21">
        <v>71.82913203891016</v>
      </c>
      <c r="G181" s="21">
        <v>50.157636756514265</v>
      </c>
      <c r="H181" s="21">
        <v>71.648440274220278</v>
      </c>
      <c r="I181" s="21">
        <v>71.803352219412702</v>
      </c>
      <c r="J181" s="21">
        <v>83.065261277199909</v>
      </c>
      <c r="K181" s="21">
        <v>50.69203700920157</v>
      </c>
      <c r="L181" s="21">
        <v>67.110515687760511</v>
      </c>
      <c r="M181" s="21">
        <v>34.818592185893721</v>
      </c>
      <c r="N181" s="21">
        <v>65.430327550219275</v>
      </c>
      <c r="O181" s="21">
        <v>99.17201962332193</v>
      </c>
      <c r="P181" s="21">
        <v>103.98479389660477</v>
      </c>
      <c r="Q181" s="21">
        <v>91.348492127493628</v>
      </c>
      <c r="R181" s="21">
        <v>125.50475866078791</v>
      </c>
      <c r="S181" s="21">
        <v>89.675895330404373</v>
      </c>
    </row>
    <row r="182" spans="1:19">
      <c r="A182" s="9">
        <f t="shared" si="2"/>
        <v>38261</v>
      </c>
      <c r="B182" s="21">
        <v>86.484429774906417</v>
      </c>
      <c r="C182" s="21">
        <v>92.458009344179956</v>
      </c>
      <c r="D182" s="21">
        <v>65.192630923788514</v>
      </c>
      <c r="E182" s="21">
        <v>69.358296946390396</v>
      </c>
      <c r="F182" s="21">
        <v>71.211963321607783</v>
      </c>
      <c r="G182" s="21">
        <v>47.449826053358926</v>
      </c>
      <c r="H182" s="21">
        <v>73.738085394650511</v>
      </c>
      <c r="I182" s="21">
        <v>71.076228691830337</v>
      </c>
      <c r="J182" s="21">
        <v>82.697579100014593</v>
      </c>
      <c r="K182" s="21">
        <v>52.865728179943453</v>
      </c>
      <c r="L182" s="21">
        <v>70.176892067962427</v>
      </c>
      <c r="M182" s="21">
        <v>36.129232053627092</v>
      </c>
      <c r="N182" s="21">
        <v>68.377794200281045</v>
      </c>
      <c r="O182" s="21">
        <v>105.76709836085193</v>
      </c>
      <c r="P182" s="21">
        <v>117.28247040986385</v>
      </c>
      <c r="Q182" s="21">
        <v>101.85510941036465</v>
      </c>
      <c r="R182" s="21">
        <v>146.36823485682851</v>
      </c>
      <c r="S182" s="21">
        <v>89.612684577591324</v>
      </c>
    </row>
    <row r="183" spans="1:19">
      <c r="A183" s="9">
        <f t="shared" si="2"/>
        <v>38292</v>
      </c>
      <c r="B183" s="21">
        <v>83.859111877855597</v>
      </c>
      <c r="C183" s="21">
        <v>89.364310204996286</v>
      </c>
      <c r="D183" s="21">
        <v>66.475171885217193</v>
      </c>
      <c r="E183" s="21">
        <v>71.382001895618174</v>
      </c>
      <c r="F183" s="21">
        <v>73.097471418185108</v>
      </c>
      <c r="G183" s="21">
        <v>51.106878709746617</v>
      </c>
      <c r="H183" s="21">
        <v>73.207953393839489</v>
      </c>
      <c r="I183" s="21">
        <v>72.546849666748599</v>
      </c>
      <c r="J183" s="21">
        <v>80.426734392338957</v>
      </c>
      <c r="K183" s="21">
        <v>53.706125272335832</v>
      </c>
      <c r="L183" s="21">
        <v>70.338653457472773</v>
      </c>
      <c r="M183" s="21">
        <v>37.625736608575799</v>
      </c>
      <c r="N183" s="21">
        <v>68.672814074069521</v>
      </c>
      <c r="O183" s="21">
        <v>108.92044251750185</v>
      </c>
      <c r="P183" s="21">
        <v>109.00453495989025</v>
      </c>
      <c r="Q183" s="21">
        <v>89.629211659551402</v>
      </c>
      <c r="R183" s="21">
        <v>145.12120914094928</v>
      </c>
      <c r="S183" s="21">
        <v>87.532599550415085</v>
      </c>
    </row>
    <row r="184" spans="1:19">
      <c r="A184" s="9">
        <f t="shared" si="2"/>
        <v>38322</v>
      </c>
      <c r="B184" s="21">
        <v>82.610303716704877</v>
      </c>
      <c r="C184" s="21">
        <v>87.949719341796296</v>
      </c>
      <c r="D184" s="21">
        <v>68.190017718591463</v>
      </c>
      <c r="E184" s="21">
        <v>75.29335600713722</v>
      </c>
      <c r="F184" s="21">
        <v>76.94867231844853</v>
      </c>
      <c r="G184" s="21">
        <v>55.729183235825396</v>
      </c>
      <c r="H184" s="21">
        <v>72.515306182801794</v>
      </c>
      <c r="I184" s="21">
        <v>75.567890470612483</v>
      </c>
      <c r="J184" s="21">
        <v>77.425042949246958</v>
      </c>
      <c r="K184" s="21">
        <v>53.785678983415664</v>
      </c>
      <c r="L184" s="21">
        <v>70.563798387445971</v>
      </c>
      <c r="M184" s="21">
        <v>37.564532200398247</v>
      </c>
      <c r="N184" s="21">
        <v>68.641549489519463</v>
      </c>
      <c r="O184" s="21">
        <v>106.5031813415892</v>
      </c>
      <c r="P184" s="21">
        <v>103.46887735076339</v>
      </c>
      <c r="Q184" s="21">
        <v>81.484438903590487</v>
      </c>
      <c r="R184" s="21">
        <v>148.48578026220449</v>
      </c>
      <c r="S184" s="21">
        <v>82.077045825910417</v>
      </c>
    </row>
    <row r="185" spans="1:19">
      <c r="A185" s="9">
        <f t="shared" si="2"/>
        <v>38353</v>
      </c>
      <c r="B185" s="21">
        <v>85.468784379974878</v>
      </c>
      <c r="C185" s="21">
        <v>91.295149324678434</v>
      </c>
      <c r="D185" s="21">
        <v>69.226146748073589</v>
      </c>
      <c r="E185" s="21">
        <v>74.926546588488677</v>
      </c>
      <c r="F185" s="21">
        <v>76.506190259974034</v>
      </c>
      <c r="G185" s="21">
        <v>56.256748257577968</v>
      </c>
      <c r="H185" s="21">
        <v>78.671527750066218</v>
      </c>
      <c r="I185" s="21">
        <v>75.712356230328936</v>
      </c>
      <c r="J185" s="21">
        <v>81.028149029545702</v>
      </c>
      <c r="K185" s="21">
        <v>56.59196425898574</v>
      </c>
      <c r="L185" s="21">
        <v>77.734824823539384</v>
      </c>
      <c r="M185" s="21">
        <v>36.150969867915187</v>
      </c>
      <c r="N185" s="21">
        <v>74.886097706809338</v>
      </c>
      <c r="O185" s="21">
        <v>102.55935714688589</v>
      </c>
      <c r="P185" s="21">
        <v>108.9633428860035</v>
      </c>
      <c r="Q185" s="21">
        <v>90.857347306119536</v>
      </c>
      <c r="R185" s="21">
        <v>145.15869321820745</v>
      </c>
      <c r="S185" s="21">
        <v>80.457138204564302</v>
      </c>
    </row>
    <row r="186" spans="1:19">
      <c r="A186" s="9">
        <f t="shared" si="2"/>
        <v>38384</v>
      </c>
      <c r="B186" s="21">
        <v>87.430914420388916</v>
      </c>
      <c r="C186" s="21">
        <v>93.485418547365498</v>
      </c>
      <c r="D186" s="21">
        <v>71.155523453373206</v>
      </c>
      <c r="E186" s="21">
        <v>77.686501128574932</v>
      </c>
      <c r="F186" s="21">
        <v>79.020403355956915</v>
      </c>
      <c r="G186" s="21">
        <v>61.921119335251497</v>
      </c>
      <c r="H186" s="21">
        <v>80.323028009548949</v>
      </c>
      <c r="I186" s="21">
        <v>78.127479583853827</v>
      </c>
      <c r="J186" s="21">
        <v>81.110581307690467</v>
      </c>
      <c r="K186" s="21">
        <v>57.759614069040445</v>
      </c>
      <c r="L186" s="21">
        <v>80.009993630377096</v>
      </c>
      <c r="M186" s="21">
        <v>36.247866289036345</v>
      </c>
      <c r="N186" s="21">
        <v>77.041954943643006</v>
      </c>
      <c r="O186" s="21">
        <v>104.78458722166405</v>
      </c>
      <c r="P186" s="21">
        <v>110.97284978512441</v>
      </c>
      <c r="Q186" s="21">
        <v>94.004764737586427</v>
      </c>
      <c r="R186" s="21">
        <v>146.23599256549343</v>
      </c>
      <c r="S186" s="21">
        <v>74.331341085991085</v>
      </c>
    </row>
    <row r="187" spans="1:19">
      <c r="A187" s="9">
        <f t="shared" si="2"/>
        <v>38412</v>
      </c>
      <c r="B187" s="21">
        <v>94.599555802495047</v>
      </c>
      <c r="C187" s="21">
        <v>101.36562348768602</v>
      </c>
      <c r="D187" s="21">
        <v>73.58943662405936</v>
      </c>
      <c r="E187" s="21">
        <v>79.948324021928528</v>
      </c>
      <c r="F187" s="21">
        <v>80.939394567975015</v>
      </c>
      <c r="G187" s="21">
        <v>68.234867651736607</v>
      </c>
      <c r="H187" s="21">
        <v>83.798931485118004</v>
      </c>
      <c r="I187" s="21">
        <v>80.70510455948353</v>
      </c>
      <c r="J187" s="21">
        <v>85.824523204819968</v>
      </c>
      <c r="K187" s="21">
        <v>59.695257796588876</v>
      </c>
      <c r="L187" s="21">
        <v>82.993805218833756</v>
      </c>
      <c r="M187" s="21">
        <v>37.170137521396249</v>
      </c>
      <c r="N187" s="21">
        <v>79.832096421606266</v>
      </c>
      <c r="O187" s="21">
        <v>110.56198458529519</v>
      </c>
      <c r="P187" s="21">
        <v>124.9901540195538</v>
      </c>
      <c r="Q187" s="21">
        <v>107.55583951746456</v>
      </c>
      <c r="R187" s="21">
        <v>158.51835537250756</v>
      </c>
      <c r="S187" s="21">
        <v>74.088346329917059</v>
      </c>
    </row>
    <row r="188" spans="1:19">
      <c r="A188" s="9">
        <f t="shared" si="2"/>
        <v>38443</v>
      </c>
      <c r="B188" s="21">
        <v>94.188584577586226</v>
      </c>
      <c r="C188" s="21">
        <v>100.95426960398062</v>
      </c>
      <c r="D188" s="21">
        <v>72.0100239004786</v>
      </c>
      <c r="E188" s="21">
        <v>77.394983172817533</v>
      </c>
      <c r="F188" s="21">
        <v>78.496379464833609</v>
      </c>
      <c r="G188" s="21">
        <v>64.377587524963857</v>
      </c>
      <c r="H188" s="21">
        <v>82.541413905247921</v>
      </c>
      <c r="I188" s="21">
        <v>78.221265721166347</v>
      </c>
      <c r="J188" s="21">
        <v>83.810846946391393</v>
      </c>
      <c r="K188" s="21">
        <v>59.018395297302298</v>
      </c>
      <c r="L188" s="21">
        <v>82.036843376659817</v>
      </c>
      <c r="M188" s="21">
        <v>36.764076084218622</v>
      </c>
      <c r="N188" s="21">
        <v>78.93749930097141</v>
      </c>
      <c r="O188" s="21">
        <v>114.58472480909379</v>
      </c>
      <c r="P188" s="21">
        <v>126.2693034372124</v>
      </c>
      <c r="Q188" s="21">
        <v>108.19091926057742</v>
      </c>
      <c r="R188" s="21">
        <v>167.43912279870705</v>
      </c>
      <c r="S188" s="21">
        <v>75.074144593257842</v>
      </c>
    </row>
    <row r="189" spans="1:19">
      <c r="A189" s="9">
        <f t="shared" si="2"/>
        <v>38473</v>
      </c>
      <c r="B189" s="21">
        <v>91.738381065627053</v>
      </c>
      <c r="C189" s="21">
        <v>98.293580737869831</v>
      </c>
      <c r="D189" s="21">
        <v>72.415471054409437</v>
      </c>
      <c r="E189" s="21">
        <v>78.461850448585565</v>
      </c>
      <c r="F189" s="21">
        <v>79.541590275141886</v>
      </c>
      <c r="G189" s="21">
        <v>65.700412425854879</v>
      </c>
      <c r="H189" s="21">
        <v>82.170903543204759</v>
      </c>
      <c r="I189" s="21">
        <v>79.242910822633348</v>
      </c>
      <c r="J189" s="21">
        <v>84.526576090971602</v>
      </c>
      <c r="K189" s="21">
        <v>58.326310052572374</v>
      </c>
      <c r="L189" s="21">
        <v>81.234577715781427</v>
      </c>
      <c r="M189" s="21">
        <v>36.178513666029609</v>
      </c>
      <c r="N189" s="21">
        <v>78.162584587143442</v>
      </c>
      <c r="O189" s="21">
        <v>116.93122601207772</v>
      </c>
      <c r="P189" s="21">
        <v>119.68847452050004</v>
      </c>
      <c r="Q189" s="21">
        <v>103.13173910602887</v>
      </c>
      <c r="R189" s="21">
        <v>159.07980100672515</v>
      </c>
      <c r="S189" s="21">
        <v>74.830855612131856</v>
      </c>
    </row>
    <row r="190" spans="1:19">
      <c r="A190" s="9">
        <f t="shared" si="2"/>
        <v>38504</v>
      </c>
      <c r="B190" s="21">
        <v>95.50702540097484</v>
      </c>
      <c r="C190" s="21">
        <v>102.40896597453124</v>
      </c>
      <c r="D190" s="21">
        <v>71.032099106718519</v>
      </c>
      <c r="E190" s="21">
        <v>75.208628145462455</v>
      </c>
      <c r="F190" s="21">
        <v>75.929298518109107</v>
      </c>
      <c r="G190" s="21">
        <v>66.69102967483812</v>
      </c>
      <c r="H190" s="21">
        <v>82.632619160122431</v>
      </c>
      <c r="I190" s="21">
        <v>76.407217876493917</v>
      </c>
      <c r="J190" s="21">
        <v>84.515357968172069</v>
      </c>
      <c r="K190" s="21">
        <v>59.03070315080776</v>
      </c>
      <c r="L190" s="21">
        <v>81.884273650921571</v>
      </c>
      <c r="M190" s="21">
        <v>36.935788180222112</v>
      </c>
      <c r="N190" s="21">
        <v>78.867554521869963</v>
      </c>
      <c r="O190" s="21">
        <v>116.92655638006229</v>
      </c>
      <c r="P190" s="21">
        <v>130.90937819506564</v>
      </c>
      <c r="Q190" s="21">
        <v>118.36195335567294</v>
      </c>
      <c r="R190" s="21">
        <v>165.35885870210603</v>
      </c>
      <c r="S190" s="21">
        <v>77.114538044363385</v>
      </c>
    </row>
    <row r="191" spans="1:19">
      <c r="A191" s="9">
        <f t="shared" si="2"/>
        <v>38534</v>
      </c>
      <c r="B191" s="21">
        <v>97.775746968337614</v>
      </c>
      <c r="C191" s="21">
        <v>104.99033926584981</v>
      </c>
      <c r="D191" s="21">
        <v>70.34184988769853</v>
      </c>
      <c r="E191" s="21">
        <v>74.510963176068813</v>
      </c>
      <c r="F191" s="21">
        <v>75.522063823273399</v>
      </c>
      <c r="G191" s="21">
        <v>62.560771169910907</v>
      </c>
      <c r="H191" s="21">
        <v>82.016084076931563</v>
      </c>
      <c r="I191" s="21">
        <v>75.969347488874746</v>
      </c>
      <c r="J191" s="21">
        <v>85.834928687839181</v>
      </c>
      <c r="K191" s="21">
        <v>58.060623949416083</v>
      </c>
      <c r="L191" s="21">
        <v>80.498180901679561</v>
      </c>
      <c r="M191" s="21">
        <v>36.367912387979082</v>
      </c>
      <c r="N191" s="21">
        <v>77.513259236799527</v>
      </c>
      <c r="O191" s="21">
        <v>115.00678944615817</v>
      </c>
      <c r="P191" s="21">
        <v>137.45817507001016</v>
      </c>
      <c r="Q191" s="21">
        <v>124.99939144893965</v>
      </c>
      <c r="R191" s="21">
        <v>178.0320842592356</v>
      </c>
      <c r="S191" s="21">
        <v>78.735974649423213</v>
      </c>
    </row>
    <row r="192" spans="1:19">
      <c r="A192" s="9">
        <f t="shared" si="2"/>
        <v>38565</v>
      </c>
      <c r="B192" s="21">
        <v>103.62105354363047</v>
      </c>
      <c r="C192" s="21">
        <v>111.37502909814937</v>
      </c>
      <c r="D192" s="21">
        <v>70.505699245354904</v>
      </c>
      <c r="E192" s="21">
        <v>72.980731671801891</v>
      </c>
      <c r="F192" s="21">
        <v>74.045845755367637</v>
      </c>
      <c r="G192" s="21">
        <v>60.39215521082928</v>
      </c>
      <c r="H192" s="21">
        <v>84.605133566743788</v>
      </c>
      <c r="I192" s="21">
        <v>74.877461166486455</v>
      </c>
      <c r="J192" s="21">
        <v>87.708330696534361</v>
      </c>
      <c r="K192" s="21">
        <v>60.012201253741189</v>
      </c>
      <c r="L192" s="21">
        <v>83.37168385703626</v>
      </c>
      <c r="M192" s="21">
        <v>37.428168624174226</v>
      </c>
      <c r="N192" s="21">
        <v>80.17160818456334</v>
      </c>
      <c r="O192" s="21">
        <v>116.57077267918191</v>
      </c>
      <c r="P192" s="21">
        <v>151.52156370957897</v>
      </c>
      <c r="Q192" s="21">
        <v>135.46860822167272</v>
      </c>
      <c r="R192" s="21">
        <v>203.66842874746288</v>
      </c>
      <c r="S192" s="21">
        <v>73.44463529761498</v>
      </c>
    </row>
    <row r="193" spans="1:19">
      <c r="A193" s="9">
        <f t="shared" si="2"/>
        <v>38596</v>
      </c>
      <c r="B193" s="21">
        <v>107.59700949479819</v>
      </c>
      <c r="C193" s="21">
        <v>115.63659135208827</v>
      </c>
      <c r="D193" s="21">
        <v>70.842326742408275</v>
      </c>
      <c r="E193" s="21">
        <v>72.855446808120533</v>
      </c>
      <c r="F193" s="21">
        <v>74.155410894360372</v>
      </c>
      <c r="G193" s="21">
        <v>57.491179685331375</v>
      </c>
      <c r="H193" s="21">
        <v>84.48619946966771</v>
      </c>
      <c r="I193" s="21">
        <v>74.894296295965049</v>
      </c>
      <c r="J193" s="21">
        <v>88.686569703032518</v>
      </c>
      <c r="K193" s="21">
        <v>60.444063436067132</v>
      </c>
      <c r="L193" s="21">
        <v>82.816648607019943</v>
      </c>
      <c r="M193" s="21">
        <v>38.81416682879842</v>
      </c>
      <c r="N193" s="21">
        <v>79.779087467201549</v>
      </c>
      <c r="O193" s="21">
        <v>121.55944691911212</v>
      </c>
      <c r="P193" s="21">
        <v>160.7617148749469</v>
      </c>
      <c r="Q193" s="21">
        <v>135.6473121693036</v>
      </c>
      <c r="R193" s="21">
        <v>245.12790479649053</v>
      </c>
      <c r="S193" s="21">
        <v>70.447095202526839</v>
      </c>
    </row>
    <row r="194" spans="1:19">
      <c r="A194" s="9">
        <f t="shared" si="2"/>
        <v>38626</v>
      </c>
      <c r="B194" s="21">
        <v>107.01210679799492</v>
      </c>
      <c r="C194" s="21">
        <v>114.86000410567824</v>
      </c>
      <c r="D194" s="21">
        <v>71.277556017981269</v>
      </c>
      <c r="E194" s="21">
        <v>72.714902462939534</v>
      </c>
      <c r="F194" s="21">
        <v>73.964461306429257</v>
      </c>
      <c r="G194" s="21">
        <v>57.946374578025747</v>
      </c>
      <c r="H194" s="21">
        <v>85.031844811430517</v>
      </c>
      <c r="I194" s="21">
        <v>74.857216229064392</v>
      </c>
      <c r="J194" s="21">
        <v>89.349397904208871</v>
      </c>
      <c r="K194" s="21">
        <v>61.345103718978464</v>
      </c>
      <c r="L194" s="21">
        <v>83.315716448907281</v>
      </c>
      <c r="M194" s="21">
        <v>40.10383552777715</v>
      </c>
      <c r="N194" s="21">
        <v>80.511596128807639</v>
      </c>
      <c r="O194" s="21">
        <v>124.98607384981915</v>
      </c>
      <c r="P194" s="21">
        <v>158.70121745935299</v>
      </c>
      <c r="Q194" s="21">
        <v>129.46454619964197</v>
      </c>
      <c r="R194" s="21">
        <v>267.2214995998649</v>
      </c>
      <c r="S194" s="21">
        <v>64.336470043433607</v>
      </c>
    </row>
    <row r="195" spans="1:19">
      <c r="A195" s="9">
        <f t="shared" si="2"/>
        <v>38657</v>
      </c>
      <c r="B195" s="21">
        <v>101.04752155434286</v>
      </c>
      <c r="C195" s="21">
        <v>108.15930507681058</v>
      </c>
      <c r="D195" s="21">
        <v>71.488979983342276</v>
      </c>
      <c r="E195" s="21">
        <v>72.085606445579501</v>
      </c>
      <c r="F195" s="21">
        <v>73.187725597903764</v>
      </c>
      <c r="G195" s="21">
        <v>59.059667316421205</v>
      </c>
      <c r="H195" s="21">
        <v>86.560967618193132</v>
      </c>
      <c r="I195" s="21">
        <v>74.134602411526444</v>
      </c>
      <c r="J195" s="21">
        <v>87.995514038796827</v>
      </c>
      <c r="K195" s="21">
        <v>63.078216971253411</v>
      </c>
      <c r="L195" s="21">
        <v>85.990768306950827</v>
      </c>
      <c r="M195" s="21">
        <v>40.926279114589278</v>
      </c>
      <c r="N195" s="21">
        <v>83.20769502443494</v>
      </c>
      <c r="O195" s="21">
        <v>123.94889607486725</v>
      </c>
      <c r="P195" s="21">
        <v>143.8031933873952</v>
      </c>
      <c r="Q195" s="21">
        <v>123.87735254699271</v>
      </c>
      <c r="R195" s="21">
        <v>224.14136413991966</v>
      </c>
      <c r="S195" s="21">
        <v>58.938194381104196</v>
      </c>
    </row>
    <row r="196" spans="1:19">
      <c r="A196" s="9">
        <f t="shared" si="2"/>
        <v>38687</v>
      </c>
      <c r="B196" s="21">
        <v>106.12100225070061</v>
      </c>
      <c r="C196" s="21">
        <v>113.50378077670264</v>
      </c>
      <c r="D196" s="21">
        <v>73.784415439472397</v>
      </c>
      <c r="E196" s="21">
        <v>73.396727499846847</v>
      </c>
      <c r="F196" s="21">
        <v>74.39966144861252</v>
      </c>
      <c r="G196" s="21">
        <v>61.543057649688741</v>
      </c>
      <c r="H196" s="21">
        <v>91.083780721297444</v>
      </c>
      <c r="I196" s="21">
        <v>75.312027876467937</v>
      </c>
      <c r="J196" s="21">
        <v>88.26852447345054</v>
      </c>
      <c r="K196" s="21">
        <v>67.526166055177796</v>
      </c>
      <c r="L196" s="21">
        <v>92.202780532274176</v>
      </c>
      <c r="M196" s="21">
        <v>43.668725545798651</v>
      </c>
      <c r="N196" s="21">
        <v>89.08677510745504</v>
      </c>
      <c r="O196" s="21">
        <v>120.79949569394688</v>
      </c>
      <c r="P196" s="21">
        <v>152.89504523184328</v>
      </c>
      <c r="Q196" s="21">
        <v>126.97712576854656</v>
      </c>
      <c r="R196" s="21">
        <v>255.46302707135018</v>
      </c>
      <c r="S196" s="21">
        <v>61.269497871749067</v>
      </c>
    </row>
    <row r="197" spans="1:19">
      <c r="A197" s="9">
        <f t="shared" si="2"/>
        <v>38718</v>
      </c>
      <c r="B197" s="21">
        <v>107.80571435290531</v>
      </c>
      <c r="C197" s="21">
        <v>115.01869733508825</v>
      </c>
      <c r="D197" s="21">
        <v>77.011114261454992</v>
      </c>
      <c r="E197" s="21">
        <v>75.309562190065208</v>
      </c>
      <c r="F197" s="21">
        <v>75.85260958051235</v>
      </c>
      <c r="G197" s="21">
        <v>68.891288596602394</v>
      </c>
      <c r="H197" s="21">
        <v>97.451678380934439</v>
      </c>
      <c r="I197" s="21">
        <v>77.433011683188099</v>
      </c>
      <c r="J197" s="21">
        <v>91.797581579032766</v>
      </c>
      <c r="K197" s="21">
        <v>72.838293231676602</v>
      </c>
      <c r="L197" s="21">
        <v>99.69905222386997</v>
      </c>
      <c r="M197" s="21">
        <v>46.869213871628673</v>
      </c>
      <c r="N197" s="21">
        <v>96.118415642864704</v>
      </c>
      <c r="O197" s="21">
        <v>119.15918947266942</v>
      </c>
      <c r="P197" s="21">
        <v>152.34931311529706</v>
      </c>
      <c r="Q197" s="21">
        <v>138.33739677284294</v>
      </c>
      <c r="R197" s="21">
        <v>204.95493463446132</v>
      </c>
      <c r="S197" s="21">
        <v>66.475341406279028</v>
      </c>
    </row>
    <row r="198" spans="1:19">
      <c r="A198" s="9">
        <f t="shared" si="2"/>
        <v>38749</v>
      </c>
      <c r="B198" s="21">
        <v>106.09928494774377</v>
      </c>
      <c r="C198" s="21">
        <v>113.07272181677425</v>
      </c>
      <c r="D198" s="21">
        <v>78.481288811890138</v>
      </c>
      <c r="E198" s="21">
        <v>76.762376343255696</v>
      </c>
      <c r="F198" s="21">
        <v>77.400624853796714</v>
      </c>
      <c r="G198" s="21">
        <v>69.218921327479748</v>
      </c>
      <c r="H198" s="21">
        <v>100.45346110283782</v>
      </c>
      <c r="I198" s="21">
        <v>79.113561871134635</v>
      </c>
      <c r="J198" s="21">
        <v>95.018705347679131</v>
      </c>
      <c r="K198" s="21">
        <v>74.584396576404458</v>
      </c>
      <c r="L198" s="21">
        <v>102.61365190869364</v>
      </c>
      <c r="M198" s="21">
        <v>47.485610710419976</v>
      </c>
      <c r="N198" s="21">
        <v>98.944080688728178</v>
      </c>
      <c r="O198" s="21">
        <v>113.52954644358773</v>
      </c>
      <c r="P198" s="21">
        <v>146.0480076083214</v>
      </c>
      <c r="Q198" s="21">
        <v>134.00791284036083</v>
      </c>
      <c r="R198" s="21">
        <v>192.27487805384641</v>
      </c>
      <c r="S198" s="21">
        <v>74.357301170896136</v>
      </c>
    </row>
    <row r="199" spans="1:19">
      <c r="A199" s="9">
        <f t="shared" ref="A199:A262" si="3">EDATE(A198,1)</f>
        <v>38777</v>
      </c>
      <c r="B199" s="21">
        <v>106.95553114120219</v>
      </c>
      <c r="C199" s="21">
        <v>114.00681815196334</v>
      </c>
      <c r="D199" s="21">
        <v>79.071668313006299</v>
      </c>
      <c r="E199" s="21">
        <v>77.405472270742109</v>
      </c>
      <c r="F199" s="21">
        <v>78.342903926310228</v>
      </c>
      <c r="G199" s="21">
        <v>66.325973599999756</v>
      </c>
      <c r="H199" s="21">
        <v>101.3300223812836</v>
      </c>
      <c r="I199" s="21">
        <v>79.622154422083767</v>
      </c>
      <c r="J199" s="21">
        <v>94.617418403140448</v>
      </c>
      <c r="K199" s="21">
        <v>75.528611841001066</v>
      </c>
      <c r="L199" s="21">
        <v>103.99812855756804</v>
      </c>
      <c r="M199" s="21">
        <v>48.004179669534395</v>
      </c>
      <c r="N199" s="21">
        <v>100.51586125006472</v>
      </c>
      <c r="O199" s="21">
        <v>111.37878551445316</v>
      </c>
      <c r="P199" s="21">
        <v>147.28882314941907</v>
      </c>
      <c r="Q199" s="21">
        <v>136.94278890346936</v>
      </c>
      <c r="R199" s="21">
        <v>183.93828772979006</v>
      </c>
      <c r="S199" s="21">
        <v>80.267829002622619</v>
      </c>
    </row>
    <row r="200" spans="1:19">
      <c r="A200" s="9">
        <f t="shared" si="3"/>
        <v>38808</v>
      </c>
      <c r="B200" s="21">
        <v>115.60464862951149</v>
      </c>
      <c r="C200" s="21">
        <v>123.14903485634494</v>
      </c>
      <c r="D200" s="21">
        <v>84.55164045857174</v>
      </c>
      <c r="E200" s="21">
        <v>80.427847253874546</v>
      </c>
      <c r="F200" s="21">
        <v>81.640633356424686</v>
      </c>
      <c r="G200" s="21">
        <v>66.093936156157639</v>
      </c>
      <c r="H200" s="21">
        <v>112.49783066297877</v>
      </c>
      <c r="I200" s="21">
        <v>82.324542963335062</v>
      </c>
      <c r="J200" s="21">
        <v>95.155183945346522</v>
      </c>
      <c r="K200" s="21">
        <v>85.594240041122148</v>
      </c>
      <c r="L200" s="21">
        <v>119.39113510505508</v>
      </c>
      <c r="M200" s="21">
        <v>52.919279132773681</v>
      </c>
      <c r="N200" s="21">
        <v>115.25130386556714</v>
      </c>
      <c r="O200" s="21">
        <v>112.42333244350915</v>
      </c>
      <c r="P200" s="21">
        <v>160.52202804745838</v>
      </c>
      <c r="Q200" s="21">
        <v>150.85749581145924</v>
      </c>
      <c r="R200" s="21">
        <v>190.93191635221763</v>
      </c>
      <c r="S200" s="21">
        <v>83.211153221303462</v>
      </c>
    </row>
    <row r="201" spans="1:19">
      <c r="A201" s="9">
        <f t="shared" si="3"/>
        <v>38838</v>
      </c>
      <c r="B201" s="21">
        <v>119.81148652232508</v>
      </c>
      <c r="C201" s="21">
        <v>127.2450892835347</v>
      </c>
      <c r="D201" s="21">
        <v>92.088198960093152</v>
      </c>
      <c r="E201" s="21">
        <v>86.075140855958466</v>
      </c>
      <c r="F201" s="21">
        <v>87.815434514714383</v>
      </c>
      <c r="G201" s="21">
        <v>65.506621365113929</v>
      </c>
      <c r="H201" s="21">
        <v>126.44270330320833</v>
      </c>
      <c r="I201" s="21">
        <v>87.886589581155093</v>
      </c>
      <c r="J201" s="21">
        <v>100.14055743398011</v>
      </c>
      <c r="K201" s="21">
        <v>97.010729092809413</v>
      </c>
      <c r="L201" s="21">
        <v>136.89720323672498</v>
      </c>
      <c r="M201" s="21">
        <v>58.448341010741991</v>
      </c>
      <c r="N201" s="21">
        <v>131.70568939057728</v>
      </c>
      <c r="O201" s="21">
        <v>109.40858683059383</v>
      </c>
      <c r="P201" s="21">
        <v>159.91251052910596</v>
      </c>
      <c r="Q201" s="21">
        <v>148.66429055963201</v>
      </c>
      <c r="R201" s="21">
        <v>182.11524667762203</v>
      </c>
      <c r="S201" s="21">
        <v>78.896319748326164</v>
      </c>
    </row>
    <row r="202" spans="1:19">
      <c r="A202" s="9">
        <f t="shared" si="3"/>
        <v>38869</v>
      </c>
      <c r="B202" s="21">
        <v>117.06639920103663</v>
      </c>
      <c r="C202" s="21">
        <v>124.90762614657611</v>
      </c>
      <c r="D202" s="21">
        <v>87.640981469188006</v>
      </c>
      <c r="E202" s="21">
        <v>83.85179072966946</v>
      </c>
      <c r="F202" s="21">
        <v>85.465886180206738</v>
      </c>
      <c r="G202" s="21">
        <v>64.774807045092658</v>
      </c>
      <c r="H202" s="21">
        <v>120.11277383036976</v>
      </c>
      <c r="I202" s="21">
        <v>86.406481331237245</v>
      </c>
      <c r="J202" s="21">
        <v>103.6882823947081</v>
      </c>
      <c r="K202" s="21">
        <v>88.427803166140592</v>
      </c>
      <c r="L202" s="21">
        <v>126.64113259911414</v>
      </c>
      <c r="M202" s="21">
        <v>51.483017467979145</v>
      </c>
      <c r="N202" s="21">
        <v>121.31578175205134</v>
      </c>
      <c r="O202" s="21">
        <v>100.59820649565282</v>
      </c>
      <c r="P202" s="21">
        <v>159.62951081706092</v>
      </c>
      <c r="Q202" s="21">
        <v>148.7565317464539</v>
      </c>
      <c r="R202" s="21">
        <v>182.05227450003079</v>
      </c>
      <c r="S202" s="21">
        <v>79.505385364866299</v>
      </c>
    </row>
    <row r="203" spans="1:19">
      <c r="A203" s="9">
        <f t="shared" si="3"/>
        <v>38899</v>
      </c>
      <c r="B203" s="21">
        <v>121.47218256651961</v>
      </c>
      <c r="C203" s="21">
        <v>129.47141462085287</v>
      </c>
      <c r="D203" s="21">
        <v>90.049144749343824</v>
      </c>
      <c r="E203" s="21">
        <v>83.367936037600685</v>
      </c>
      <c r="F203" s="21">
        <v>84.690373610626409</v>
      </c>
      <c r="G203" s="21">
        <v>67.738054919922206</v>
      </c>
      <c r="H203" s="21">
        <v>127.64066623300964</v>
      </c>
      <c r="I203" s="21">
        <v>85.823133176753089</v>
      </c>
      <c r="J203" s="21">
        <v>102.43188748320256</v>
      </c>
      <c r="K203" s="21">
        <v>95.346362185474021</v>
      </c>
      <c r="L203" s="21">
        <v>137.66057780502422</v>
      </c>
      <c r="M203" s="21">
        <v>54.436824826472154</v>
      </c>
      <c r="N203" s="21">
        <v>131.39551089339844</v>
      </c>
      <c r="O203" s="21">
        <v>103.34095294638236</v>
      </c>
      <c r="P203" s="21">
        <v>166.92480037181937</v>
      </c>
      <c r="Q203" s="21">
        <v>157.50518557295567</v>
      </c>
      <c r="R203" s="21">
        <v>183.06257877734873</v>
      </c>
      <c r="S203" s="21">
        <v>80.895188623995367</v>
      </c>
    </row>
    <row r="204" spans="1:19">
      <c r="A204" s="9">
        <f t="shared" si="3"/>
        <v>38930</v>
      </c>
      <c r="B204" s="21">
        <v>122.12293509164292</v>
      </c>
      <c r="C204" s="21">
        <v>130.20590390386766</v>
      </c>
      <c r="D204" s="21">
        <v>90.477328680813088</v>
      </c>
      <c r="E204" s="21">
        <v>82.038138833275895</v>
      </c>
      <c r="F204" s="21">
        <v>82.955519940882326</v>
      </c>
      <c r="G204" s="21">
        <v>71.195617459139683</v>
      </c>
      <c r="H204" s="21">
        <v>131.0671932476784</v>
      </c>
      <c r="I204" s="21">
        <v>84.543598339927797</v>
      </c>
      <c r="J204" s="21">
        <v>101.49236416697845</v>
      </c>
      <c r="K204" s="21">
        <v>98.03984055858723</v>
      </c>
      <c r="L204" s="21">
        <v>142.82250972243324</v>
      </c>
      <c r="M204" s="21">
        <v>54.743793346790774</v>
      </c>
      <c r="N204" s="21">
        <v>136.3392446093014</v>
      </c>
      <c r="O204" s="21">
        <v>107.6525116618935</v>
      </c>
      <c r="P204" s="21">
        <v>167.89749265597163</v>
      </c>
      <c r="Q204" s="21">
        <v>154.99763475732053</v>
      </c>
      <c r="R204" s="21">
        <v>194.96431189193194</v>
      </c>
      <c r="S204" s="21">
        <v>81.353205864553644</v>
      </c>
    </row>
    <row r="205" spans="1:19">
      <c r="A205" s="9">
        <f t="shared" si="3"/>
        <v>38961</v>
      </c>
      <c r="B205" s="21">
        <v>112.40091814704085</v>
      </c>
      <c r="C205" s="21">
        <v>119.69584721404007</v>
      </c>
      <c r="D205" s="21">
        <v>89.414784576998699</v>
      </c>
      <c r="E205" s="21">
        <v>81.569590329626081</v>
      </c>
      <c r="F205" s="21">
        <v>82.457066262930198</v>
      </c>
      <c r="G205" s="21">
        <v>71.080518017042721</v>
      </c>
      <c r="H205" s="21">
        <v>129.9687884684526</v>
      </c>
      <c r="I205" s="21">
        <v>83.620322423852016</v>
      </c>
      <c r="J205" s="21">
        <v>97.492978496230521</v>
      </c>
      <c r="K205" s="21">
        <v>96.636843564028496</v>
      </c>
      <c r="L205" s="21">
        <v>142.87717833457043</v>
      </c>
      <c r="M205" s="21">
        <v>51.931519948996382</v>
      </c>
      <c r="N205" s="21">
        <v>136.0304929471105</v>
      </c>
      <c r="O205" s="21">
        <v>108.13102843802722</v>
      </c>
      <c r="P205" s="21">
        <v>145.64977047186667</v>
      </c>
      <c r="Q205" s="21">
        <v>134.61619889387848</v>
      </c>
      <c r="R205" s="21">
        <v>167.83164979603308</v>
      </c>
      <c r="S205" s="21">
        <v>74.830119941916706</v>
      </c>
    </row>
    <row r="206" spans="1:19">
      <c r="A206" s="9">
        <f t="shared" si="3"/>
        <v>38991</v>
      </c>
      <c r="B206" s="21">
        <v>110.69849591131391</v>
      </c>
      <c r="C206" s="21">
        <v>117.91325967684469</v>
      </c>
      <c r="D206" s="21">
        <v>90.237341183561554</v>
      </c>
      <c r="E206" s="21">
        <v>81.745479704044357</v>
      </c>
      <c r="F206" s="21">
        <v>82.737142223318713</v>
      </c>
      <c r="G206" s="21">
        <v>70.025026806102787</v>
      </c>
      <c r="H206" s="21">
        <v>134.42393307619312</v>
      </c>
      <c r="I206" s="21">
        <v>83.781603756450835</v>
      </c>
      <c r="J206" s="21">
        <v>97.555440319141823</v>
      </c>
      <c r="K206" s="21">
        <v>99.002101931911753</v>
      </c>
      <c r="L206" s="21">
        <v>149.07831363486818</v>
      </c>
      <c r="M206" s="21">
        <v>50.588238565556885</v>
      </c>
      <c r="N206" s="21">
        <v>141.11189495124327</v>
      </c>
      <c r="O206" s="21">
        <v>102.51727594338857</v>
      </c>
      <c r="P206" s="21">
        <v>140.29503113832138</v>
      </c>
      <c r="Q206" s="21">
        <v>126.44588750161113</v>
      </c>
      <c r="R206" s="21">
        <v>178.11969533974272</v>
      </c>
      <c r="S206" s="21">
        <v>72.577908424899135</v>
      </c>
    </row>
    <row r="207" spans="1:19">
      <c r="A207" s="9">
        <f t="shared" si="3"/>
        <v>39022</v>
      </c>
      <c r="B207" s="21">
        <v>113.47458080175373</v>
      </c>
      <c r="C207" s="21">
        <v>120.62234809762006</v>
      </c>
      <c r="D207" s="21">
        <v>91.926421605342014</v>
      </c>
      <c r="E207" s="21">
        <v>83.825400819631597</v>
      </c>
      <c r="F207" s="21">
        <v>84.741731896900802</v>
      </c>
      <c r="G207" s="21">
        <v>72.995289747255725</v>
      </c>
      <c r="H207" s="21">
        <v>133.00601615176012</v>
      </c>
      <c r="I207" s="21">
        <v>85.293571995485379</v>
      </c>
      <c r="J207" s="21">
        <v>95.225358714650682</v>
      </c>
      <c r="K207" s="21">
        <v>100.44305394120948</v>
      </c>
      <c r="L207" s="21">
        <v>148.02296125685803</v>
      </c>
      <c r="M207" s="21">
        <v>54.442626723835843</v>
      </c>
      <c r="N207" s="21">
        <v>140.99440212036086</v>
      </c>
      <c r="O207" s="21">
        <v>110.37242731241622</v>
      </c>
      <c r="P207" s="21">
        <v>144.6434400973024</v>
      </c>
      <c r="Q207" s="21">
        <v>126.05265399902213</v>
      </c>
      <c r="R207" s="21">
        <v>196.60259807154918</v>
      </c>
      <c r="S207" s="21">
        <v>71.870431354301743</v>
      </c>
    </row>
    <row r="208" spans="1:19">
      <c r="A208" s="9">
        <f t="shared" si="3"/>
        <v>39052</v>
      </c>
      <c r="B208" s="21">
        <v>115.39505595680804</v>
      </c>
      <c r="C208" s="21">
        <v>122.74228969940661</v>
      </c>
      <c r="D208" s="21">
        <v>93.365206962801324</v>
      </c>
      <c r="E208" s="21">
        <v>84.236885887544148</v>
      </c>
      <c r="F208" s="21">
        <v>84.915473349133563</v>
      </c>
      <c r="G208" s="21">
        <v>76.216665070373423</v>
      </c>
      <c r="H208" s="21">
        <v>136.49988976823229</v>
      </c>
      <c r="I208" s="21">
        <v>86.125667863018791</v>
      </c>
      <c r="J208" s="21">
        <v>98.902774543722188</v>
      </c>
      <c r="K208" s="21">
        <v>102.15125494299323</v>
      </c>
      <c r="L208" s="21">
        <v>151.44388105203524</v>
      </c>
      <c r="M208" s="21">
        <v>54.494964975054494</v>
      </c>
      <c r="N208" s="21">
        <v>143.95664388013103</v>
      </c>
      <c r="O208" s="21">
        <v>119.57802073697512</v>
      </c>
      <c r="P208" s="21">
        <v>147.26066718315928</v>
      </c>
      <c r="Q208" s="21">
        <v>129.7190369250753</v>
      </c>
      <c r="R208" s="21">
        <v>186.77528403388393</v>
      </c>
      <c r="S208" s="21">
        <v>78.339690178181456</v>
      </c>
    </row>
    <row r="209" spans="1:19">
      <c r="A209" s="9">
        <f t="shared" si="3"/>
        <v>39083</v>
      </c>
      <c r="B209" s="21">
        <v>110.89279521844769</v>
      </c>
      <c r="C209" s="21">
        <v>117.71822759388897</v>
      </c>
      <c r="D209" s="21">
        <v>94.424998350292597</v>
      </c>
      <c r="E209" s="21">
        <v>85.791904240117091</v>
      </c>
      <c r="F209" s="21">
        <v>86.566511310100225</v>
      </c>
      <c r="G209" s="21">
        <v>76.636828292714213</v>
      </c>
      <c r="H209" s="21">
        <v>135.40039218744934</v>
      </c>
      <c r="I209" s="21">
        <v>87.878818430556038</v>
      </c>
      <c r="J209" s="21">
        <v>101.99623674084654</v>
      </c>
      <c r="K209" s="21">
        <v>100.82384267707342</v>
      </c>
      <c r="L209" s="21">
        <v>148.67777809474364</v>
      </c>
      <c r="M209" s="21">
        <v>54.558484095312323</v>
      </c>
      <c r="N209" s="21">
        <v>141.46683974845291</v>
      </c>
      <c r="O209" s="21">
        <v>136.56885183328302</v>
      </c>
      <c r="P209" s="21">
        <v>134.71304078154319</v>
      </c>
      <c r="Q209" s="21">
        <v>115.4251426002395</v>
      </c>
      <c r="R209" s="21">
        <v>184.5619318938856</v>
      </c>
      <c r="S209" s="21">
        <v>78.935069634987258</v>
      </c>
    </row>
    <row r="210" spans="1:19">
      <c r="A210" s="9">
        <f t="shared" si="3"/>
        <v>39114</v>
      </c>
      <c r="B210" s="21">
        <v>116.90904331420143</v>
      </c>
      <c r="C210" s="21">
        <v>124.11078718477556</v>
      </c>
      <c r="D210" s="21">
        <v>97.470204234740507</v>
      </c>
      <c r="E210" s="21">
        <v>87.505626462386687</v>
      </c>
      <c r="F210" s="21">
        <v>88.488039675689009</v>
      </c>
      <c r="G210" s="21">
        <v>75.894491051873771</v>
      </c>
      <c r="H210" s="21">
        <v>140.07478277559659</v>
      </c>
      <c r="I210" s="21">
        <v>89.699253187499792</v>
      </c>
      <c r="J210" s="21">
        <v>104.53855335467173</v>
      </c>
      <c r="K210" s="21">
        <v>105.04739560733412</v>
      </c>
      <c r="L210" s="21">
        <v>154.1996192039862</v>
      </c>
      <c r="M210" s="21">
        <v>57.526847298358341</v>
      </c>
      <c r="N210" s="21">
        <v>146.93050489256245</v>
      </c>
      <c r="O210" s="21">
        <v>147.72403785799378</v>
      </c>
      <c r="P210" s="21">
        <v>145.02682519124576</v>
      </c>
      <c r="Q210" s="21">
        <v>123.84042997991196</v>
      </c>
      <c r="R210" s="21">
        <v>200.89953148155158</v>
      </c>
      <c r="S210" s="21">
        <v>79.931827841417231</v>
      </c>
    </row>
    <row r="211" spans="1:19">
      <c r="A211" s="9">
        <f t="shared" si="3"/>
        <v>39142</v>
      </c>
      <c r="B211" s="21">
        <v>119.61720550207028</v>
      </c>
      <c r="C211" s="21">
        <v>127.21458625720621</v>
      </c>
      <c r="D211" s="21">
        <v>99.789006151867952</v>
      </c>
      <c r="E211" s="21">
        <v>87.236433345227397</v>
      </c>
      <c r="F211" s="21">
        <v>88.275689522163901</v>
      </c>
      <c r="G211" s="21">
        <v>74.953471315371004</v>
      </c>
      <c r="H211" s="21">
        <v>148.16621626913735</v>
      </c>
      <c r="I211" s="21">
        <v>89.200480857567385</v>
      </c>
      <c r="J211" s="21">
        <v>102.48673883598342</v>
      </c>
      <c r="K211" s="21">
        <v>110.57551172309313</v>
      </c>
      <c r="L211" s="21">
        <v>166.32276122034966</v>
      </c>
      <c r="M211" s="21">
        <v>56.678868418285496</v>
      </c>
      <c r="N211" s="21">
        <v>157.56664741663562</v>
      </c>
      <c r="O211" s="21">
        <v>162.75189104039436</v>
      </c>
      <c r="P211" s="21">
        <v>148.29818701874021</v>
      </c>
      <c r="Q211" s="21">
        <v>129.21015068147403</v>
      </c>
      <c r="R211" s="21">
        <v>190.0669087547389</v>
      </c>
      <c r="S211" s="21">
        <v>82.154727447802316</v>
      </c>
    </row>
    <row r="212" spans="1:19">
      <c r="A212" s="9">
        <f t="shared" si="3"/>
        <v>39173</v>
      </c>
      <c r="B212" s="21">
        <v>126.42695161849106</v>
      </c>
      <c r="C212" s="21">
        <v>134.5729366564178</v>
      </c>
      <c r="D212" s="21">
        <v>105.39235133131135</v>
      </c>
      <c r="E212" s="21">
        <v>90.774610229016034</v>
      </c>
      <c r="F212" s="21">
        <v>92.066142544042066</v>
      </c>
      <c r="G212" s="21">
        <v>75.509998155638442</v>
      </c>
      <c r="H212" s="21">
        <v>160.81590885707215</v>
      </c>
      <c r="I212" s="21">
        <v>92.548370701094214</v>
      </c>
      <c r="J212" s="21">
        <v>104.54738756595111</v>
      </c>
      <c r="K212" s="21">
        <v>119.98017836514724</v>
      </c>
      <c r="L212" s="21">
        <v>183.18135595868421</v>
      </c>
      <c r="M212" s="21">
        <v>58.877050301935896</v>
      </c>
      <c r="N212" s="21">
        <v>172.99071235813653</v>
      </c>
      <c r="O212" s="21">
        <v>163.8268795992764</v>
      </c>
      <c r="P212" s="21">
        <v>156.85296113109888</v>
      </c>
      <c r="Q212" s="21">
        <v>137.74963556968035</v>
      </c>
      <c r="R212" s="21">
        <v>193.77772531938191</v>
      </c>
      <c r="S212" s="21">
        <v>81.838534076091278</v>
      </c>
    </row>
    <row r="213" spans="1:19">
      <c r="A213" s="9">
        <f t="shared" si="3"/>
        <v>39203</v>
      </c>
      <c r="B213" s="21">
        <v>126.76082670328729</v>
      </c>
      <c r="C213" s="21">
        <v>135.05794469511378</v>
      </c>
      <c r="D213" s="21">
        <v>105.36006684510392</v>
      </c>
      <c r="E213" s="21">
        <v>90.224775015983639</v>
      </c>
      <c r="F213" s="21">
        <v>91.341058902596771</v>
      </c>
      <c r="G213" s="21">
        <v>77.031422983929602</v>
      </c>
      <c r="H213" s="21">
        <v>163.70640525843015</v>
      </c>
      <c r="I213" s="21">
        <v>92.211558829977534</v>
      </c>
      <c r="J213" s="21">
        <v>105.6516218295812</v>
      </c>
      <c r="K213" s="21">
        <v>121.25090748494311</v>
      </c>
      <c r="L213" s="21">
        <v>186.78185060478498</v>
      </c>
      <c r="M213" s="21">
        <v>57.8953536484876</v>
      </c>
      <c r="N213" s="21">
        <v>176.09920336482358</v>
      </c>
      <c r="O213" s="21">
        <v>153.76076532234276</v>
      </c>
      <c r="P213" s="21">
        <v>157.71647663874072</v>
      </c>
      <c r="Q213" s="21">
        <v>138.09646583372927</v>
      </c>
      <c r="R213" s="21">
        <v>196.52058401901724</v>
      </c>
      <c r="S213" s="21">
        <v>80.782968701108459</v>
      </c>
    </row>
    <row r="214" spans="1:19">
      <c r="A214" s="9">
        <f t="shared" si="3"/>
        <v>39234</v>
      </c>
      <c r="B214" s="21">
        <v>127.07767879833</v>
      </c>
      <c r="C214" s="21">
        <v>135.51367407202284</v>
      </c>
      <c r="D214" s="21">
        <v>102.70843633169699</v>
      </c>
      <c r="E214" s="21">
        <v>90.731383138470761</v>
      </c>
      <c r="F214" s="21">
        <v>91.487109167393157</v>
      </c>
      <c r="G214" s="21">
        <v>81.799462093179756</v>
      </c>
      <c r="H214" s="21">
        <v>153.70465451598577</v>
      </c>
      <c r="I214" s="21">
        <v>92.239594718537674</v>
      </c>
      <c r="J214" s="21">
        <v>102.44224410094967</v>
      </c>
      <c r="K214" s="21">
        <v>114.57424904301295</v>
      </c>
      <c r="L214" s="21">
        <v>174.08028732330342</v>
      </c>
      <c r="M214" s="21">
        <v>57.043595089711189</v>
      </c>
      <c r="N214" s="21">
        <v>164.76022009023654</v>
      </c>
      <c r="O214" s="21">
        <v>150.62821203312393</v>
      </c>
      <c r="P214" s="21">
        <v>162.32716264788667</v>
      </c>
      <c r="Q214" s="21">
        <v>144.72083954668622</v>
      </c>
      <c r="R214" s="21">
        <v>193.89423366975856</v>
      </c>
      <c r="S214" s="21">
        <v>88.799579752867288</v>
      </c>
    </row>
    <row r="215" spans="1:19">
      <c r="A215" s="9">
        <f t="shared" si="3"/>
        <v>39264</v>
      </c>
      <c r="B215" s="21">
        <v>129.61904083895368</v>
      </c>
      <c r="C215" s="21">
        <v>138.25368428325345</v>
      </c>
      <c r="D215" s="21">
        <v>102.51642781055584</v>
      </c>
      <c r="E215" s="21">
        <v>92.501153368478782</v>
      </c>
      <c r="F215" s="21">
        <v>93.301805424902824</v>
      </c>
      <c r="G215" s="21">
        <v>83.038251894876097</v>
      </c>
      <c r="H215" s="21">
        <v>148.82223152960171</v>
      </c>
      <c r="I215" s="21">
        <v>93.631235301116945</v>
      </c>
      <c r="J215" s="21">
        <v>101.27593839482624</v>
      </c>
      <c r="K215" s="21">
        <v>111.7868048739667</v>
      </c>
      <c r="L215" s="21">
        <v>167.72079292029107</v>
      </c>
      <c r="M215" s="21">
        <v>57.709622061629453</v>
      </c>
      <c r="N215" s="21">
        <v>159.08374244960933</v>
      </c>
      <c r="O215" s="21">
        <v>152.7372928447343</v>
      </c>
      <c r="P215" s="21">
        <v>168.82227506067346</v>
      </c>
      <c r="Q215" s="21">
        <v>154.20304887790485</v>
      </c>
      <c r="R215" s="21">
        <v>177.74140018791124</v>
      </c>
      <c r="S215" s="21">
        <v>97.306782824614686</v>
      </c>
    </row>
    <row r="216" spans="1:19">
      <c r="A216" s="9">
        <f t="shared" si="3"/>
        <v>39295</v>
      </c>
      <c r="B216" s="21">
        <v>125.569045154311</v>
      </c>
      <c r="C216" s="21">
        <v>133.74446024218844</v>
      </c>
      <c r="D216" s="21">
        <v>98.737725012399736</v>
      </c>
      <c r="E216" s="21">
        <v>91.756438119445974</v>
      </c>
      <c r="F216" s="21">
        <v>92.760099418417028</v>
      </c>
      <c r="G216" s="21">
        <v>79.894171721917374</v>
      </c>
      <c r="H216" s="21">
        <v>136.25278905440257</v>
      </c>
      <c r="I216" s="21">
        <v>92.35259791626595</v>
      </c>
      <c r="J216" s="21">
        <v>96.385460057912127</v>
      </c>
      <c r="K216" s="21">
        <v>103.89101621511688</v>
      </c>
      <c r="L216" s="21">
        <v>152.09913826163279</v>
      </c>
      <c r="M216" s="21">
        <v>57.283228714074944</v>
      </c>
      <c r="N216" s="21">
        <v>144.7959146098874</v>
      </c>
      <c r="O216" s="21">
        <v>152.82676448646097</v>
      </c>
      <c r="P216" s="21">
        <v>164.3798611778123</v>
      </c>
      <c r="Q216" s="21">
        <v>147.74332539270287</v>
      </c>
      <c r="R216" s="21">
        <v>179.55947262556256</v>
      </c>
      <c r="S216" s="21">
        <v>99.844697083343576</v>
      </c>
    </row>
    <row r="217" spans="1:19">
      <c r="A217" s="9">
        <f t="shared" si="3"/>
        <v>39326</v>
      </c>
      <c r="B217" s="21">
        <v>131.75437100331109</v>
      </c>
      <c r="C217" s="21">
        <v>140.20141355449408</v>
      </c>
      <c r="D217" s="21">
        <v>101.88980508265847</v>
      </c>
      <c r="E217" s="21">
        <v>95.656262858813065</v>
      </c>
      <c r="F217" s="21">
        <v>96.640299665692027</v>
      </c>
      <c r="G217" s="21">
        <v>84.025938206324582</v>
      </c>
      <c r="H217" s="21">
        <v>137.13786310191458</v>
      </c>
      <c r="I217" s="21">
        <v>96.557636392062875</v>
      </c>
      <c r="J217" s="21">
        <v>102.65518811748187</v>
      </c>
      <c r="K217" s="21">
        <v>105.11593199821634</v>
      </c>
      <c r="L217" s="21">
        <v>150.84393579745043</v>
      </c>
      <c r="M217" s="21">
        <v>60.905931827185583</v>
      </c>
      <c r="N217" s="21">
        <v>143.95130105568086</v>
      </c>
      <c r="O217" s="21">
        <v>159.91255472089594</v>
      </c>
      <c r="P217" s="21">
        <v>174.95269920475047</v>
      </c>
      <c r="Q217" s="21">
        <v>159.44969027438049</v>
      </c>
      <c r="R217" s="21">
        <v>177.21022078175335</v>
      </c>
      <c r="S217" s="21">
        <v>100.50999980185404</v>
      </c>
    </row>
    <row r="218" spans="1:19">
      <c r="A218" s="9">
        <f t="shared" si="3"/>
        <v>39356</v>
      </c>
      <c r="B218" s="21">
        <v>139.44702740424543</v>
      </c>
      <c r="C218" s="21">
        <v>148.3841564585515</v>
      </c>
      <c r="D218" s="21">
        <v>105.16053622766889</v>
      </c>
      <c r="E218" s="21">
        <v>98.288297001792913</v>
      </c>
      <c r="F218" s="21">
        <v>99.50507120497798</v>
      </c>
      <c r="G218" s="21">
        <v>83.907250568480023</v>
      </c>
      <c r="H218" s="21">
        <v>140.70962209899923</v>
      </c>
      <c r="I218" s="21">
        <v>98.875101772365497</v>
      </c>
      <c r="J218" s="21">
        <v>102.84467965467636</v>
      </c>
      <c r="K218" s="21">
        <v>109.44418785380073</v>
      </c>
      <c r="L218" s="21">
        <v>155.76006856199734</v>
      </c>
      <c r="M218" s="21">
        <v>64.665826151838303</v>
      </c>
      <c r="N218" s="21">
        <v>149.06199520246878</v>
      </c>
      <c r="O218" s="21">
        <v>167.82049358593002</v>
      </c>
      <c r="P218" s="21">
        <v>189.04155701022421</v>
      </c>
      <c r="Q218" s="21">
        <v>169.27140905237468</v>
      </c>
      <c r="R218" s="21">
        <v>194.54557016260421</v>
      </c>
      <c r="S218" s="21">
        <v>112.17889368597974</v>
      </c>
    </row>
    <row r="219" spans="1:19">
      <c r="A219" s="9">
        <f t="shared" si="3"/>
        <v>39387</v>
      </c>
      <c r="B219" s="21">
        <v>147.61217479467578</v>
      </c>
      <c r="C219" s="21">
        <v>157.0050142665404</v>
      </c>
      <c r="D219" s="21">
        <v>106.09932026869328</v>
      </c>
      <c r="E219" s="21">
        <v>99.423250046836145</v>
      </c>
      <c r="F219" s="21">
        <v>100.73945632078933</v>
      </c>
      <c r="G219" s="21">
        <v>83.867016612571405</v>
      </c>
      <c r="H219" s="21">
        <v>136.81802401872017</v>
      </c>
      <c r="I219" s="21">
        <v>100.24009060638338</v>
      </c>
      <c r="J219" s="21">
        <v>105.7657992937705</v>
      </c>
      <c r="K219" s="21">
        <v>108.29324637583544</v>
      </c>
      <c r="L219" s="21">
        <v>149.16057138867961</v>
      </c>
      <c r="M219" s="21">
        <v>68.782568110940943</v>
      </c>
      <c r="N219" s="21">
        <v>143.63525649603599</v>
      </c>
      <c r="O219" s="21">
        <v>185.97671953680424</v>
      </c>
      <c r="P219" s="21">
        <v>207.65945353820746</v>
      </c>
      <c r="Q219" s="21">
        <v>184.87281513809717</v>
      </c>
      <c r="R219" s="21">
        <v>200.98833319519139</v>
      </c>
      <c r="S219" s="21">
        <v>134.11668344202289</v>
      </c>
    </row>
    <row r="220" spans="1:19">
      <c r="A220" s="9">
        <f t="shared" si="3"/>
        <v>39417</v>
      </c>
      <c r="B220" s="21">
        <v>147.75543240163577</v>
      </c>
      <c r="C220" s="21">
        <v>157.19207195748473</v>
      </c>
      <c r="D220" s="21">
        <v>107.12047715519356</v>
      </c>
      <c r="E220" s="21">
        <v>104.3395540934015</v>
      </c>
      <c r="F220" s="21">
        <v>105.86602389084958</v>
      </c>
      <c r="G220" s="21">
        <v>86.298217435632409</v>
      </c>
      <c r="H220" s="21">
        <v>129.42988072842337</v>
      </c>
      <c r="I220" s="21">
        <v>104.42084660714261</v>
      </c>
      <c r="J220" s="21">
        <v>104.97076879715688</v>
      </c>
      <c r="K220" s="21">
        <v>103.25866630568375</v>
      </c>
      <c r="L220" s="21">
        <v>139.15181692825504</v>
      </c>
      <c r="M220" s="21">
        <v>68.557037909009907</v>
      </c>
      <c r="N220" s="21">
        <v>134.72694002963377</v>
      </c>
      <c r="O220" s="21">
        <v>202.05781283106344</v>
      </c>
      <c r="P220" s="21">
        <v>206.53285236650154</v>
      </c>
      <c r="Q220" s="21">
        <v>183.22035722437326</v>
      </c>
      <c r="R220" s="21">
        <v>204.6877598636562</v>
      </c>
      <c r="S220" s="21">
        <v>144.07092853124075</v>
      </c>
    </row>
    <row r="221" spans="1:19">
      <c r="A221" s="9">
        <f t="shared" si="3"/>
        <v>39448</v>
      </c>
      <c r="B221" s="21">
        <v>154.38355916210574</v>
      </c>
      <c r="C221" s="21">
        <v>163.78711227544727</v>
      </c>
      <c r="D221" s="21">
        <v>113.89268795120725</v>
      </c>
      <c r="E221" s="21">
        <v>107.31054378149261</v>
      </c>
      <c r="F221" s="21">
        <v>108.70679203024839</v>
      </c>
      <c r="G221" s="21">
        <v>90.80829476501286</v>
      </c>
      <c r="H221" s="21">
        <v>143.41033555537993</v>
      </c>
      <c r="I221" s="21">
        <v>107.58743763920681</v>
      </c>
      <c r="J221" s="21">
        <v>109.46055079106038</v>
      </c>
      <c r="K221" s="21">
        <v>115.58529345870429</v>
      </c>
      <c r="L221" s="21">
        <v>156.90459660640425</v>
      </c>
      <c r="M221" s="21">
        <v>75.637641091310073</v>
      </c>
      <c r="N221" s="21">
        <v>151.42488693018581</v>
      </c>
      <c r="O221" s="21">
        <v>207.82416052818002</v>
      </c>
      <c r="P221" s="21">
        <v>212.95256526713021</v>
      </c>
      <c r="Q221" s="21">
        <v>184.06828274093664</v>
      </c>
      <c r="R221" s="21">
        <v>229.9299398104385</v>
      </c>
      <c r="S221" s="21">
        <v>147.73532500006831</v>
      </c>
    </row>
    <row r="222" spans="1:19">
      <c r="A222" s="9">
        <f t="shared" si="3"/>
        <v>39479</v>
      </c>
      <c r="B222" s="21">
        <v>161.4141674792169</v>
      </c>
      <c r="C222" s="21">
        <v>171.31673426023724</v>
      </c>
      <c r="D222" s="21">
        <v>120.07693760699496</v>
      </c>
      <c r="E222" s="21">
        <v>113.18746744497088</v>
      </c>
      <c r="F222" s="21">
        <v>113.95282459371958</v>
      </c>
      <c r="G222" s="21">
        <v>104.14171625677855</v>
      </c>
      <c r="H222" s="21">
        <v>150.35896608135417</v>
      </c>
      <c r="I222" s="21">
        <v>113.06416665843453</v>
      </c>
      <c r="J222" s="21">
        <v>112.23006969867615</v>
      </c>
      <c r="K222" s="21">
        <v>122.27563435360497</v>
      </c>
      <c r="L222" s="21">
        <v>165.5143281829738</v>
      </c>
      <c r="M222" s="21">
        <v>80.472308103366188</v>
      </c>
      <c r="N222" s="21">
        <v>161.40678571896157</v>
      </c>
      <c r="O222" s="21">
        <v>220.77657491820653</v>
      </c>
      <c r="P222" s="21">
        <v>221.20740966807136</v>
      </c>
      <c r="Q222" s="21">
        <v>189.1978722087284</v>
      </c>
      <c r="R222" s="21">
        <v>238.39744110758903</v>
      </c>
      <c r="S222" s="21">
        <v>189.1080014284137</v>
      </c>
    </row>
    <row r="223" spans="1:19">
      <c r="A223" s="9">
        <f t="shared" si="3"/>
        <v>39508</v>
      </c>
      <c r="B223" s="21">
        <v>171.18105522311873</v>
      </c>
      <c r="C223" s="21">
        <v>181.77044316924801</v>
      </c>
      <c r="D223" s="21">
        <v>125.81976352253307</v>
      </c>
      <c r="E223" s="21">
        <v>118.36420587539857</v>
      </c>
      <c r="F223" s="21">
        <v>119.45768525581845</v>
      </c>
      <c r="G223" s="21">
        <v>105.44038015446775</v>
      </c>
      <c r="H223" s="21">
        <v>157.21207677409814</v>
      </c>
      <c r="I223" s="21">
        <v>117.79364904803604</v>
      </c>
      <c r="J223" s="21">
        <v>113.93398417126613</v>
      </c>
      <c r="K223" s="21">
        <v>128.71257120959967</v>
      </c>
      <c r="L223" s="21">
        <v>174.41412631365205</v>
      </c>
      <c r="M223" s="21">
        <v>84.528141733140245</v>
      </c>
      <c r="N223" s="21">
        <v>170.06017697122078</v>
      </c>
      <c r="O223" s="21">
        <v>236.57977912062202</v>
      </c>
      <c r="P223" s="21">
        <v>236.79499957876178</v>
      </c>
      <c r="Q223" s="21">
        <v>200.07278413191568</v>
      </c>
      <c r="R223" s="21">
        <v>249.16192805186361</v>
      </c>
      <c r="S223" s="21">
        <v>186.01329423264454</v>
      </c>
    </row>
    <row r="224" spans="1:19">
      <c r="A224" s="9">
        <f t="shared" si="3"/>
        <v>39539</v>
      </c>
      <c r="B224" s="21">
        <v>177.79606226219599</v>
      </c>
      <c r="C224" s="21">
        <v>189.6660449269074</v>
      </c>
      <c r="D224" s="21">
        <v>125.40807852839659</v>
      </c>
      <c r="E224" s="21">
        <v>118.29641539148201</v>
      </c>
      <c r="F224" s="21">
        <v>119.81865853867414</v>
      </c>
      <c r="G224" s="21">
        <v>100.30503348573639</v>
      </c>
      <c r="H224" s="21">
        <v>154.91975829881156</v>
      </c>
      <c r="I224" s="21">
        <v>117.62712705450909</v>
      </c>
      <c r="J224" s="21">
        <v>113.09956982837387</v>
      </c>
      <c r="K224" s="21">
        <v>124.70524021083196</v>
      </c>
      <c r="L224" s="21">
        <v>171.54232437222663</v>
      </c>
      <c r="M224" s="21">
        <v>79.422977117149273</v>
      </c>
      <c r="N224" s="21">
        <v>166.61667312693766</v>
      </c>
      <c r="O224" s="21">
        <v>274.62900178571442</v>
      </c>
      <c r="P224" s="21">
        <v>253.57393632060746</v>
      </c>
      <c r="Q224" s="21">
        <v>213.43695404064579</v>
      </c>
      <c r="R224" s="21">
        <v>275.49348673107545</v>
      </c>
      <c r="S224" s="21">
        <v>177.86619239434137</v>
      </c>
    </row>
    <row r="225" spans="1:19">
      <c r="A225" s="9">
        <f t="shared" si="3"/>
        <v>39569</v>
      </c>
      <c r="B225" s="21">
        <v>190.23710790684143</v>
      </c>
      <c r="C225" s="21">
        <v>203.70524487685009</v>
      </c>
      <c r="D225" s="21">
        <v>126.85284020757038</v>
      </c>
      <c r="E225" s="21">
        <v>120.34389993109241</v>
      </c>
      <c r="F225" s="21">
        <v>122.03133872741347</v>
      </c>
      <c r="G225" s="21">
        <v>100.4000717173253</v>
      </c>
      <c r="H225" s="21">
        <v>149.20748863235377</v>
      </c>
      <c r="I225" s="21">
        <v>119.68820292212415</v>
      </c>
      <c r="J225" s="21">
        <v>115.25258740768646</v>
      </c>
      <c r="K225" s="21">
        <v>119.63220856999497</v>
      </c>
      <c r="L225" s="21">
        <v>162.70378335905724</v>
      </c>
      <c r="M225" s="21">
        <v>77.990453614951406</v>
      </c>
      <c r="N225" s="21">
        <v>158.80456701253124</v>
      </c>
      <c r="O225" s="21">
        <v>342.67991362933219</v>
      </c>
      <c r="P225" s="21">
        <v>281.92082452793278</v>
      </c>
      <c r="Q225" s="21">
        <v>243.27710388208482</v>
      </c>
      <c r="R225" s="21">
        <v>293.37046934818113</v>
      </c>
      <c r="S225" s="21">
        <v>192.46502861192235</v>
      </c>
    </row>
    <row r="226" spans="1:19">
      <c r="A226" s="9">
        <f t="shared" si="3"/>
        <v>39600</v>
      </c>
      <c r="B226" s="21">
        <v>199.2231404224774</v>
      </c>
      <c r="C226" s="21">
        <v>213.70038958320347</v>
      </c>
      <c r="D226" s="21">
        <v>126.96319686258492</v>
      </c>
      <c r="E226" s="21">
        <v>123.36746176214703</v>
      </c>
      <c r="F226" s="21">
        <v>124.85010634858104</v>
      </c>
      <c r="G226" s="21">
        <v>105.84409498974641</v>
      </c>
      <c r="H226" s="21">
        <v>145.72457499521974</v>
      </c>
      <c r="I226" s="21">
        <v>122.55266712106628</v>
      </c>
      <c r="J226" s="21">
        <v>117.04079852684285</v>
      </c>
      <c r="K226" s="21">
        <v>116.9110602453449</v>
      </c>
      <c r="L226" s="21">
        <v>157.12571848642389</v>
      </c>
      <c r="M226" s="21">
        <v>78.03138258607602</v>
      </c>
      <c r="N226" s="21">
        <v>153.82962225425541</v>
      </c>
      <c r="O226" s="21">
        <v>326.72246245533199</v>
      </c>
      <c r="P226" s="21">
        <v>303.74529440292645</v>
      </c>
      <c r="Q226" s="21">
        <v>261.22998350310826</v>
      </c>
      <c r="R226" s="21">
        <v>316.37081563711331</v>
      </c>
      <c r="S226" s="21">
        <v>227.10592999216726</v>
      </c>
    </row>
    <row r="227" spans="1:19">
      <c r="A227" s="9">
        <f t="shared" si="3"/>
        <v>39630</v>
      </c>
      <c r="B227" s="21">
        <v>200.80835996753797</v>
      </c>
      <c r="C227" s="21">
        <v>215.00925174892242</v>
      </c>
      <c r="D227" s="21">
        <v>126.04900730068491</v>
      </c>
      <c r="E227" s="21">
        <v>122.92969470380746</v>
      </c>
      <c r="F227" s="21">
        <v>124.28353753651147</v>
      </c>
      <c r="G227" s="21">
        <v>106.92863502522465</v>
      </c>
      <c r="H227" s="21">
        <v>145.47428491614974</v>
      </c>
      <c r="I227" s="21">
        <v>122.4636429864489</v>
      </c>
      <c r="J227" s="21">
        <v>119.31092732697257</v>
      </c>
      <c r="K227" s="21">
        <v>117.96575150615971</v>
      </c>
      <c r="L227" s="21">
        <v>155.87361969045165</v>
      </c>
      <c r="M227" s="21">
        <v>81.316286852751205</v>
      </c>
      <c r="N227" s="21">
        <v>152.48006542688634</v>
      </c>
      <c r="O227" s="21">
        <v>287.38272253057363</v>
      </c>
      <c r="P227" s="21">
        <v>308.94584507983808</v>
      </c>
      <c r="Q227" s="21">
        <v>261.15871395562652</v>
      </c>
      <c r="R227" s="21">
        <v>317.77986550681646</v>
      </c>
      <c r="S227" s="21">
        <v>268.89277722947196</v>
      </c>
    </row>
    <row r="228" spans="1:19">
      <c r="A228" s="9">
        <f t="shared" si="3"/>
        <v>39661</v>
      </c>
      <c r="B228" s="21">
        <v>179.78137847275488</v>
      </c>
      <c r="C228" s="21">
        <v>192.51649216910931</v>
      </c>
      <c r="D228" s="21">
        <v>118.14072635249693</v>
      </c>
      <c r="E228" s="21">
        <v>114.05343059273717</v>
      </c>
      <c r="F228" s="21">
        <v>114.76682658715519</v>
      </c>
      <c r="G228" s="21">
        <v>105.6218079513224</v>
      </c>
      <c r="H228" s="21">
        <v>136.8631421465559</v>
      </c>
      <c r="I228" s="21">
        <v>114.00299859089299</v>
      </c>
      <c r="J228" s="21">
        <v>113.66183953915912</v>
      </c>
      <c r="K228" s="21">
        <v>107.92167126752908</v>
      </c>
      <c r="L228" s="21">
        <v>146.08512797890981</v>
      </c>
      <c r="M228" s="21">
        <v>71.025102697756353</v>
      </c>
      <c r="N228" s="21">
        <v>140.84011200274293</v>
      </c>
      <c r="O228" s="21">
        <v>314.95370720840759</v>
      </c>
      <c r="P228" s="21">
        <v>268.9429999045347</v>
      </c>
      <c r="Q228" s="21">
        <v>231.96128048391134</v>
      </c>
      <c r="R228" s="21">
        <v>279.5855040694459</v>
      </c>
      <c r="S228" s="21">
        <v>245.24287078905661</v>
      </c>
    </row>
    <row r="229" spans="1:19">
      <c r="A229" s="9">
        <f t="shared" si="3"/>
        <v>39692</v>
      </c>
      <c r="B229" s="21">
        <v>164.85839969268062</v>
      </c>
      <c r="C229" s="21">
        <v>175.98767640610075</v>
      </c>
      <c r="D229" s="21">
        <v>112.10986896073642</v>
      </c>
      <c r="E229" s="21">
        <v>106.52077547439723</v>
      </c>
      <c r="F229" s="21">
        <v>106.98236803401105</v>
      </c>
      <c r="G229" s="21">
        <v>101.06521599943331</v>
      </c>
      <c r="H229" s="21">
        <v>130.65627334062862</v>
      </c>
      <c r="I229" s="21">
        <v>107.22817895873854</v>
      </c>
      <c r="J229" s="21">
        <v>112.01357499866971</v>
      </c>
      <c r="K229" s="21">
        <v>102.60838949475004</v>
      </c>
      <c r="L229" s="21">
        <v>138.06631849609261</v>
      </c>
      <c r="M229" s="21">
        <v>68.327534942336641</v>
      </c>
      <c r="N229" s="21">
        <v>131.81951432991951</v>
      </c>
      <c r="O229" s="21">
        <v>313.82746468192272</v>
      </c>
      <c r="P229" s="21">
        <v>241.15779573133059</v>
      </c>
      <c r="Q229" s="21">
        <v>206.2179745924565</v>
      </c>
      <c r="R229" s="21">
        <v>265.93194933819774</v>
      </c>
      <c r="S229" s="21">
        <v>234.96490914299218</v>
      </c>
    </row>
    <row r="230" spans="1:19">
      <c r="A230" s="9">
        <f t="shared" si="3"/>
        <v>39722</v>
      </c>
      <c r="B230" s="21">
        <v>134.78824236765462</v>
      </c>
      <c r="C230" s="21">
        <v>142.72693450812625</v>
      </c>
      <c r="D230" s="21">
        <v>97.60829553499488</v>
      </c>
      <c r="E230" s="21">
        <v>93.402504646829456</v>
      </c>
      <c r="F230" s="21">
        <v>94.016711382411344</v>
      </c>
      <c r="G230" s="21">
        <v>86.143199213713771</v>
      </c>
      <c r="H230" s="21">
        <v>107.52049141089326</v>
      </c>
      <c r="I230" s="21">
        <v>94.158665688588954</v>
      </c>
      <c r="J230" s="21">
        <v>99.273893609971807</v>
      </c>
      <c r="K230" s="21">
        <v>87.314009937386473</v>
      </c>
      <c r="L230" s="21">
        <v>110.79832496067742</v>
      </c>
      <c r="M230" s="21">
        <v>64.609288870738368</v>
      </c>
      <c r="N230" s="21">
        <v>105.6681331426347</v>
      </c>
      <c r="O230" s="21">
        <v>282.86421820830765</v>
      </c>
      <c r="P230" s="21">
        <v>188.56808132652628</v>
      </c>
      <c r="Q230" s="21">
        <v>152.52476270163211</v>
      </c>
      <c r="R230" s="21">
        <v>269.55057447721441</v>
      </c>
      <c r="S230" s="21">
        <v>174.59150494885506</v>
      </c>
    </row>
    <row r="231" spans="1:19">
      <c r="A231" s="9">
        <f t="shared" si="3"/>
        <v>39753</v>
      </c>
      <c r="B231" s="21">
        <v>114.35933970755461</v>
      </c>
      <c r="C231" s="21">
        <v>120.4015724303347</v>
      </c>
      <c r="D231" s="21">
        <v>89.580854657886889</v>
      </c>
      <c r="E231" s="21">
        <v>87.885210732899253</v>
      </c>
      <c r="F231" s="21">
        <v>88.265262039617809</v>
      </c>
      <c r="G231" s="21">
        <v>83.393386798225464</v>
      </c>
      <c r="H231" s="21">
        <v>97.511545382862337</v>
      </c>
      <c r="I231" s="21">
        <v>88.856782218464062</v>
      </c>
      <c r="J231" s="21">
        <v>95.429204382685242</v>
      </c>
      <c r="K231" s="21">
        <v>79.347273855840754</v>
      </c>
      <c r="L231" s="21">
        <v>98.339228187001169</v>
      </c>
      <c r="M231" s="21">
        <v>60.985783423956399</v>
      </c>
      <c r="N231" s="21">
        <v>94.223364252945672</v>
      </c>
      <c r="O231" s="21">
        <v>224.77980499583131</v>
      </c>
      <c r="P231" s="21">
        <v>150.20078245123722</v>
      </c>
      <c r="Q231" s="21">
        <v>115.21568918513003</v>
      </c>
      <c r="R231" s="21">
        <v>250.88860844651117</v>
      </c>
      <c r="S231" s="21">
        <v>144.49064075687477</v>
      </c>
    </row>
    <row r="232" spans="1:19">
      <c r="A232" s="9">
        <f t="shared" si="3"/>
        <v>39783</v>
      </c>
      <c r="B232" s="21">
        <v>101.90473442036885</v>
      </c>
      <c r="C232" s="21">
        <v>106.03745509086855</v>
      </c>
      <c r="D232" s="21">
        <v>87.547404978103756</v>
      </c>
      <c r="E232" s="21">
        <v>87.449146508367264</v>
      </c>
      <c r="F232" s="21">
        <v>87.855813890906276</v>
      </c>
      <c r="G232" s="21">
        <v>82.642747345812182</v>
      </c>
      <c r="H232" s="21">
        <v>92.568783070019563</v>
      </c>
      <c r="I232" s="21">
        <v>87.630975297832947</v>
      </c>
      <c r="J232" s="21">
        <v>88.860998598982945</v>
      </c>
      <c r="K232" s="21">
        <v>79.216139964193744</v>
      </c>
      <c r="L232" s="21">
        <v>94.042542386034057</v>
      </c>
      <c r="M232" s="21">
        <v>64.881920248783558</v>
      </c>
      <c r="N232" s="21">
        <v>90.408755040213407</v>
      </c>
      <c r="O232" s="21">
        <v>185.43212980987701</v>
      </c>
      <c r="P232" s="21">
        <v>122.67224301202236</v>
      </c>
      <c r="Q232" s="21">
        <v>84.931812657379922</v>
      </c>
      <c r="R232" s="21">
        <v>231.94507414954745</v>
      </c>
      <c r="S232" s="21">
        <v>117.79338804524694</v>
      </c>
    </row>
    <row r="233" spans="1:19">
      <c r="A233" s="9">
        <f t="shared" si="3"/>
        <v>39814</v>
      </c>
      <c r="B233" s="21">
        <v>104.42757902212138</v>
      </c>
      <c r="C233" s="21">
        <v>108.45966383727126</v>
      </c>
      <c r="D233" s="21">
        <v>89.943604336007226</v>
      </c>
      <c r="E233" s="21">
        <v>88.768929689776655</v>
      </c>
      <c r="F233" s="21">
        <v>88.878125134888819</v>
      </c>
      <c r="G233" s="21">
        <v>87.478349430634267</v>
      </c>
      <c r="H233" s="21">
        <v>96.146009789515048</v>
      </c>
      <c r="I233" s="21">
        <v>89.138957037744603</v>
      </c>
      <c r="J233" s="21">
        <v>91.64209342995629</v>
      </c>
      <c r="K233" s="21">
        <v>83.062119254131289</v>
      </c>
      <c r="L233" s="21">
        <v>97.936213277689774</v>
      </c>
      <c r="M233" s="21">
        <v>68.681791124949683</v>
      </c>
      <c r="N233" s="21">
        <v>94.605326134600418</v>
      </c>
      <c r="O233" s="21">
        <v>186.60830502507056</v>
      </c>
      <c r="P233" s="21">
        <v>125.37827670895483</v>
      </c>
      <c r="Q233" s="21">
        <v>91.262976623245052</v>
      </c>
      <c r="R233" s="21">
        <v>218.01921195398108</v>
      </c>
      <c r="S233" s="21">
        <v>120.31421407224322</v>
      </c>
    </row>
    <row r="234" spans="1:19">
      <c r="A234" s="9">
        <f t="shared" si="3"/>
        <v>39845</v>
      </c>
      <c r="B234" s="21">
        <v>100.92348256430978</v>
      </c>
      <c r="C234" s="21">
        <v>103.79362209515106</v>
      </c>
      <c r="D234" s="21">
        <v>89.309769301670144</v>
      </c>
      <c r="E234" s="21">
        <v>85.239129466889025</v>
      </c>
      <c r="F234" s="21">
        <v>85.039441215754252</v>
      </c>
      <c r="G234" s="21">
        <v>87.599243614805005</v>
      </c>
      <c r="H234" s="21">
        <v>94.404635216806</v>
      </c>
      <c r="I234" s="21">
        <v>85.616062265628145</v>
      </c>
      <c r="J234" s="21">
        <v>88.165912191920086</v>
      </c>
      <c r="K234" s="21">
        <v>86.137628725977635</v>
      </c>
      <c r="L234" s="21">
        <v>96.884384579203314</v>
      </c>
      <c r="M234" s="21">
        <v>75.747626131613501</v>
      </c>
      <c r="N234" s="21">
        <v>94.696103327429512</v>
      </c>
      <c r="O234" s="21">
        <v>194.0117289262472</v>
      </c>
      <c r="P234" s="21">
        <v>117.72242076049405</v>
      </c>
      <c r="Q234" s="21">
        <v>89.500953316479027</v>
      </c>
      <c r="R234" s="21">
        <v>195.75843355225322</v>
      </c>
      <c r="S234" s="21">
        <v>113.61971780315947</v>
      </c>
    </row>
    <row r="235" spans="1:19">
      <c r="A235" s="9">
        <f t="shared" si="3"/>
        <v>39873</v>
      </c>
      <c r="B235" s="21">
        <v>100.94483984021196</v>
      </c>
      <c r="C235" s="21">
        <v>103.98858353014371</v>
      </c>
      <c r="D235" s="21">
        <v>88.570571682972769</v>
      </c>
      <c r="E235" s="21">
        <v>86.372083786261626</v>
      </c>
      <c r="F235" s="21">
        <v>86.548451028439914</v>
      </c>
      <c r="G235" s="21">
        <v>84.287600492284696</v>
      </c>
      <c r="H235" s="21">
        <v>90.705611764724281</v>
      </c>
      <c r="I235" s="21">
        <v>86.26473060144238</v>
      </c>
      <c r="J235" s="21">
        <v>85.538514917070216</v>
      </c>
      <c r="K235" s="21">
        <v>83.470517100301635</v>
      </c>
      <c r="L235" s="21">
        <v>92.759414291668435</v>
      </c>
      <c r="M235" s="21">
        <v>74.489977555606018</v>
      </c>
      <c r="N235" s="21">
        <v>91.095931872214123</v>
      </c>
      <c r="O235" s="21">
        <v>191.15334276367327</v>
      </c>
      <c r="P235" s="21">
        <v>118.843901173609</v>
      </c>
      <c r="Q235" s="21">
        <v>100.59388812254366</v>
      </c>
      <c r="R235" s="21">
        <v>167.51255944573217</v>
      </c>
      <c r="S235" s="21">
        <v>92.062467463903886</v>
      </c>
    </row>
    <row r="236" spans="1:19">
      <c r="A236" s="9">
        <f t="shared" si="3"/>
        <v>39904</v>
      </c>
      <c r="B236" s="21">
        <v>102.90460531529544</v>
      </c>
      <c r="C236" s="21">
        <v>106.47884127520769</v>
      </c>
      <c r="D236" s="21">
        <v>91.635415119971398</v>
      </c>
      <c r="E236" s="21">
        <v>92.260905597348241</v>
      </c>
      <c r="F236" s="21">
        <v>92.763878301763427</v>
      </c>
      <c r="G236" s="21">
        <v>86.316274458760745</v>
      </c>
      <c r="H236" s="21">
        <v>95.506729470443304</v>
      </c>
      <c r="I236" s="21">
        <v>91.81541515588124</v>
      </c>
      <c r="J236" s="21">
        <v>88.801791047981041</v>
      </c>
      <c r="K236" s="21">
        <v>85.022997670192439</v>
      </c>
      <c r="L236" s="21">
        <v>98.17178876409865</v>
      </c>
      <c r="M236" s="21">
        <v>72.310698680220383</v>
      </c>
      <c r="N236" s="21">
        <v>96.11077319908442</v>
      </c>
      <c r="O236" s="21">
        <v>167.26779996417173</v>
      </c>
      <c r="P236" s="21">
        <v>119.20519973596971</v>
      </c>
      <c r="Q236" s="21">
        <v>107.14742071473201</v>
      </c>
      <c r="R236" s="21">
        <v>140.477175327559</v>
      </c>
      <c r="S236" s="21">
        <v>95.878181505041837</v>
      </c>
    </row>
    <row r="237" spans="1:19">
      <c r="A237" s="9">
        <f t="shared" si="3"/>
        <v>39934</v>
      </c>
      <c r="B237" s="21">
        <v>111.79739736860381</v>
      </c>
      <c r="C237" s="21">
        <v>116.02927483591543</v>
      </c>
      <c r="D237" s="21">
        <v>96.461806929915625</v>
      </c>
      <c r="E237" s="21">
        <v>98.430254405775884</v>
      </c>
      <c r="F237" s="21">
        <v>99.234529810248546</v>
      </c>
      <c r="G237" s="21">
        <v>88.924528605034496</v>
      </c>
      <c r="H237" s="21">
        <v>100.93278012956543</v>
      </c>
      <c r="I237" s="21">
        <v>97.744299517827528</v>
      </c>
      <c r="J237" s="21">
        <v>93.10399751618219</v>
      </c>
      <c r="K237" s="21">
        <v>89.47799659076874</v>
      </c>
      <c r="L237" s="21">
        <v>104.04454172187283</v>
      </c>
      <c r="M237" s="21">
        <v>75.395007847922571</v>
      </c>
      <c r="N237" s="21">
        <v>101.67786428211666</v>
      </c>
      <c r="O237" s="21">
        <v>156.5699776870685</v>
      </c>
      <c r="P237" s="21">
        <v>133.97993538685043</v>
      </c>
      <c r="Q237" s="21">
        <v>122.6677912467382</v>
      </c>
      <c r="R237" s="21">
        <v>146.30834148891236</v>
      </c>
      <c r="S237" s="21">
        <v>92.67846924508234</v>
      </c>
    </row>
    <row r="238" spans="1:19">
      <c r="A238" s="9">
        <f t="shared" si="3"/>
        <v>39965</v>
      </c>
      <c r="B238" s="21">
        <v>120.50248741432883</v>
      </c>
      <c r="C238" s="21">
        <v>125.56488079213146</v>
      </c>
      <c r="D238" s="21">
        <v>98.047567223390459</v>
      </c>
      <c r="E238" s="21">
        <v>97.132131765052179</v>
      </c>
      <c r="F238" s="21">
        <v>97.722408369679115</v>
      </c>
      <c r="G238" s="21">
        <v>90.155656394833386</v>
      </c>
      <c r="H238" s="21">
        <v>109.06272587132324</v>
      </c>
      <c r="I238" s="21">
        <v>96.419714957089909</v>
      </c>
      <c r="J238" s="21">
        <v>91.600405118974351</v>
      </c>
      <c r="K238" s="21">
        <v>96.281351828603974</v>
      </c>
      <c r="L238" s="21">
        <v>116.00359799834092</v>
      </c>
      <c r="M238" s="21">
        <v>77.213812594543072</v>
      </c>
      <c r="N238" s="21">
        <v>112.87958637737232</v>
      </c>
      <c r="O238" s="21">
        <v>148.58386047930705</v>
      </c>
      <c r="P238" s="21">
        <v>152.98295321860425</v>
      </c>
      <c r="Q238" s="21">
        <v>142.93112853002563</v>
      </c>
      <c r="R238" s="21">
        <v>146.70353887677913</v>
      </c>
      <c r="S238" s="21">
        <v>100.76500724190721</v>
      </c>
    </row>
    <row r="239" spans="1:19">
      <c r="A239" s="9">
        <f t="shared" si="3"/>
        <v>39995</v>
      </c>
      <c r="B239" s="21">
        <v>116.32895270818941</v>
      </c>
      <c r="C239" s="21">
        <v>121.02288666205347</v>
      </c>
      <c r="D239" s="21">
        <v>97.569296542306645</v>
      </c>
      <c r="E239" s="21">
        <v>93.646618826250176</v>
      </c>
      <c r="F239" s="21">
        <v>93.940238202856136</v>
      </c>
      <c r="G239" s="21">
        <v>90.176333314248524</v>
      </c>
      <c r="H239" s="21">
        <v>116.1273601956312</v>
      </c>
      <c r="I239" s="21">
        <v>93.444968670213257</v>
      </c>
      <c r="J239" s="21">
        <v>92.080859106844102</v>
      </c>
      <c r="K239" s="21">
        <v>100.30887702455976</v>
      </c>
      <c r="L239" s="21">
        <v>125.68529304582302</v>
      </c>
      <c r="M239" s="21">
        <v>75.774865840389367</v>
      </c>
      <c r="N239" s="21">
        <v>120.9049229538677</v>
      </c>
      <c r="O239" s="21">
        <v>139.53487907981213</v>
      </c>
      <c r="P239" s="21">
        <v>143.46431393035064</v>
      </c>
      <c r="Q239" s="21">
        <v>134.40546501114366</v>
      </c>
      <c r="R239" s="21">
        <v>132.21689173708842</v>
      </c>
      <c r="S239" s="21">
        <v>102.48430649264293</v>
      </c>
    </row>
    <row r="240" spans="1:19">
      <c r="A240" s="9">
        <f t="shared" si="3"/>
        <v>40026</v>
      </c>
      <c r="B240" s="21">
        <v>122.79587139249345</v>
      </c>
      <c r="C240" s="21">
        <v>128.08414405570886</v>
      </c>
      <c r="D240" s="21">
        <v>100.62344445376736</v>
      </c>
      <c r="E240" s="21">
        <v>92.371118645985035</v>
      </c>
      <c r="F240" s="21">
        <v>92.284992127420296</v>
      </c>
      <c r="G240" s="21">
        <v>93.389047411549896</v>
      </c>
      <c r="H240" s="21">
        <v>131.72964714932152</v>
      </c>
      <c r="I240" s="21">
        <v>92.839768243573531</v>
      </c>
      <c r="J240" s="21">
        <v>96.010057870438317</v>
      </c>
      <c r="K240" s="21">
        <v>111.18916216736683</v>
      </c>
      <c r="L240" s="21">
        <v>145.92736491721726</v>
      </c>
      <c r="M240" s="21">
        <v>77.604141569159282</v>
      </c>
      <c r="N240" s="21">
        <v>139.60188760147469</v>
      </c>
      <c r="O240" s="21">
        <v>115.45256215384018</v>
      </c>
      <c r="P240" s="21">
        <v>154.86771795695884</v>
      </c>
      <c r="Q240" s="21">
        <v>147.91817254837687</v>
      </c>
      <c r="R240" s="21">
        <v>126.30858279759374</v>
      </c>
      <c r="S240" s="21">
        <v>105.35160167453414</v>
      </c>
    </row>
    <row r="241" spans="1:19">
      <c r="A241" s="9">
        <f t="shared" si="3"/>
        <v>40057</v>
      </c>
      <c r="B241" s="21">
        <v>119.13591956837655</v>
      </c>
      <c r="C241" s="21">
        <v>123.5822473810079</v>
      </c>
      <c r="D241" s="21">
        <v>98.791452258743846</v>
      </c>
      <c r="E241" s="21">
        <v>91.202632859757173</v>
      </c>
      <c r="F241" s="21">
        <v>90.719112328075511</v>
      </c>
      <c r="G241" s="21">
        <v>96.91735889468832</v>
      </c>
      <c r="H241" s="21">
        <v>123.89466897258144</v>
      </c>
      <c r="I241" s="21">
        <v>92.001728352007987</v>
      </c>
      <c r="J241" s="21">
        <v>97.407396388411257</v>
      </c>
      <c r="K241" s="21">
        <v>107.69421163999847</v>
      </c>
      <c r="L241" s="21">
        <v>134.42275253074516</v>
      </c>
      <c r="M241" s="21">
        <v>81.852961220685245</v>
      </c>
      <c r="N241" s="21">
        <v>130.22255995304434</v>
      </c>
      <c r="O241" s="21">
        <v>115.47014648909142</v>
      </c>
      <c r="P241" s="21">
        <v>148.56366943957798</v>
      </c>
      <c r="Q241" s="21">
        <v>138.85252615089539</v>
      </c>
      <c r="R241" s="21">
        <v>124.62614420062442</v>
      </c>
      <c r="S241" s="21">
        <v>99.876246115273744</v>
      </c>
    </row>
    <row r="242" spans="1:19">
      <c r="A242" s="9">
        <f t="shared" si="3"/>
        <v>40087</v>
      </c>
      <c r="B242" s="21">
        <v>126.64598912252359</v>
      </c>
      <c r="C242" s="21">
        <v>131.51991191292828</v>
      </c>
      <c r="D242" s="21">
        <v>102.28177821321765</v>
      </c>
      <c r="E242" s="21">
        <v>93.926990797187628</v>
      </c>
      <c r="F242" s="21">
        <v>93.482796753396954</v>
      </c>
      <c r="G242" s="21">
        <v>99.176917326229471</v>
      </c>
      <c r="H242" s="21">
        <v>129.30504646910359</v>
      </c>
      <c r="I242" s="21">
        <v>94.826288327764757</v>
      </c>
      <c r="J242" s="21">
        <v>100.90979644838269</v>
      </c>
      <c r="K242" s="21">
        <v>112.6853762406846</v>
      </c>
      <c r="L242" s="21">
        <v>140.59150731263199</v>
      </c>
      <c r="M242" s="21">
        <v>85.705627356823058</v>
      </c>
      <c r="N242" s="21">
        <v>136.23317231308511</v>
      </c>
      <c r="O242" s="21">
        <v>113.10489921962288</v>
      </c>
      <c r="P242" s="21">
        <v>161.88819495352968</v>
      </c>
      <c r="Q242" s="21">
        <v>149.66648599484984</v>
      </c>
      <c r="R242" s="21">
        <v>140.81670185907447</v>
      </c>
      <c r="S242" s="21">
        <v>103.67050726112406</v>
      </c>
    </row>
    <row r="243" spans="1:19">
      <c r="A243" s="9">
        <f t="shared" si="3"/>
        <v>40118</v>
      </c>
      <c r="B243" s="21">
        <v>131.50905974089255</v>
      </c>
      <c r="C243" s="21">
        <v>136.17301462761961</v>
      </c>
      <c r="D243" s="21">
        <v>106.77765277630724</v>
      </c>
      <c r="E243" s="21">
        <v>96.262743479991371</v>
      </c>
      <c r="F243" s="21">
        <v>96.122942323724018</v>
      </c>
      <c r="G243" s="21">
        <v>97.915052441217654</v>
      </c>
      <c r="H243" s="21">
        <v>136.26247488699417</v>
      </c>
      <c r="I243" s="21">
        <v>97.430872705032868</v>
      </c>
      <c r="J243" s="21">
        <v>105.33295559178423</v>
      </c>
      <c r="K243" s="21">
        <v>119.89948133047538</v>
      </c>
      <c r="L243" s="21">
        <v>148.55624966199366</v>
      </c>
      <c r="M243" s="21">
        <v>92.194013617519275</v>
      </c>
      <c r="N243" s="21">
        <v>143.84757819464173</v>
      </c>
      <c r="O243" s="21">
        <v>119.4029814790059</v>
      </c>
      <c r="P243" s="21">
        <v>167.28240524265021</v>
      </c>
      <c r="Q243" s="21">
        <v>155.39785350788924</v>
      </c>
      <c r="R243" s="21">
        <v>135.75724746422352</v>
      </c>
      <c r="S243" s="21">
        <v>110.00955694292408</v>
      </c>
    </row>
    <row r="244" spans="1:19">
      <c r="A244" s="9">
        <f t="shared" si="3"/>
        <v>40148</v>
      </c>
      <c r="B244" s="21">
        <v>134.04583728712714</v>
      </c>
      <c r="C244" s="21">
        <v>138.9271070240122</v>
      </c>
      <c r="D244" s="21">
        <v>109.82448779284769</v>
      </c>
      <c r="E244" s="21">
        <v>97.931661086845622</v>
      </c>
      <c r="F244" s="21">
        <v>97.692902178017661</v>
      </c>
      <c r="G244" s="21">
        <v>100.75355108519884</v>
      </c>
      <c r="H244" s="21">
        <v>143.28008017727686</v>
      </c>
      <c r="I244" s="21">
        <v>99.567466087542513</v>
      </c>
      <c r="J244" s="21">
        <v>110.63325095531701</v>
      </c>
      <c r="K244" s="21">
        <v>124.04709126892688</v>
      </c>
      <c r="L244" s="21">
        <v>156.25644627407564</v>
      </c>
      <c r="M244" s="21">
        <v>92.906969855836266</v>
      </c>
      <c r="N244" s="21">
        <v>150.85096343867809</v>
      </c>
      <c r="O244" s="21">
        <v>125.79228245587693</v>
      </c>
      <c r="P244" s="21">
        <v>169.08139774749461</v>
      </c>
      <c r="Q244" s="21">
        <v>151.70144508048034</v>
      </c>
      <c r="R244" s="21">
        <v>160.21164941907841</v>
      </c>
      <c r="S244" s="21">
        <v>116.63157136437165</v>
      </c>
    </row>
    <row r="245" spans="1:19">
      <c r="A245" s="9">
        <f t="shared" si="3"/>
        <v>40179</v>
      </c>
      <c r="B245" s="21">
        <v>139.83967929743204</v>
      </c>
      <c r="C245" s="21">
        <v>145.52830686101188</v>
      </c>
      <c r="D245" s="21">
        <v>113.16807484196775</v>
      </c>
      <c r="E245" s="21">
        <v>98.626087726334077</v>
      </c>
      <c r="F245" s="21">
        <v>98.518393838532972</v>
      </c>
      <c r="G245" s="21">
        <v>99.898921089333982</v>
      </c>
      <c r="H245" s="21">
        <v>155.12889838600205</v>
      </c>
      <c r="I245" s="21">
        <v>100.54561803934864</v>
      </c>
      <c r="J245" s="21">
        <v>113.53072902870363</v>
      </c>
      <c r="K245" s="21">
        <v>131.40405333125022</v>
      </c>
      <c r="L245" s="21">
        <v>171.66321695234703</v>
      </c>
      <c r="M245" s="21">
        <v>92.48134770892311</v>
      </c>
      <c r="N245" s="21">
        <v>165.24245019576733</v>
      </c>
      <c r="O245" s="21">
        <v>124.06821676389434</v>
      </c>
      <c r="P245" s="21">
        <v>178.41947067920964</v>
      </c>
      <c r="Q245" s="21">
        <v>158.35563533354477</v>
      </c>
      <c r="R245" s="21">
        <v>176.02274007984497</v>
      </c>
      <c r="S245" s="21">
        <v>138.31736231301952</v>
      </c>
    </row>
    <row r="246" spans="1:19">
      <c r="A246" s="9">
        <f t="shared" si="3"/>
        <v>40210</v>
      </c>
      <c r="B246" s="21">
        <v>136.55274221845761</v>
      </c>
      <c r="C246" s="21">
        <v>142.07387573096887</v>
      </c>
      <c r="D246" s="21">
        <v>111.75709712730719</v>
      </c>
      <c r="E246" s="21">
        <v>98.201712428488804</v>
      </c>
      <c r="F246" s="21">
        <v>98.346200068742576</v>
      </c>
      <c r="G246" s="21">
        <v>96.494013943354858</v>
      </c>
      <c r="H246" s="21">
        <v>152.09445589902558</v>
      </c>
      <c r="I246" s="21">
        <v>100.21408922843504</v>
      </c>
      <c r="J246" s="21">
        <v>113.82728195716396</v>
      </c>
      <c r="K246" s="21">
        <v>128.041278563362</v>
      </c>
      <c r="L246" s="21">
        <v>167.30478016002482</v>
      </c>
      <c r="M246" s="21">
        <v>90.081182602803068</v>
      </c>
      <c r="N246" s="21">
        <v>160.62119011578577</v>
      </c>
      <c r="O246" s="21">
        <v>126.40535462142721</v>
      </c>
      <c r="P246" s="21">
        <v>172.41900652177347</v>
      </c>
      <c r="Q246" s="21">
        <v>156.0026963375569</v>
      </c>
      <c r="R246" s="21">
        <v>167.89796132401878</v>
      </c>
      <c r="S246" s="21">
        <v>134.27937609684045</v>
      </c>
    </row>
    <row r="247" spans="1:19">
      <c r="A247" s="9">
        <f t="shared" si="3"/>
        <v>40238</v>
      </c>
      <c r="B247" s="21">
        <v>141.52480551180557</v>
      </c>
      <c r="C247" s="21">
        <v>147.44599105312204</v>
      </c>
      <c r="D247" s="21">
        <v>116.96915409997787</v>
      </c>
      <c r="E247" s="21">
        <v>100.82868260113396</v>
      </c>
      <c r="F247" s="21">
        <v>101.25378668256616</v>
      </c>
      <c r="G247" s="21">
        <v>95.804380213670214</v>
      </c>
      <c r="H247" s="21">
        <v>164.88368233172432</v>
      </c>
      <c r="I247" s="21">
        <v>103.17541885214774</v>
      </c>
      <c r="J247" s="21">
        <v>119.05046415648577</v>
      </c>
      <c r="K247" s="21">
        <v>136.88805553637067</v>
      </c>
      <c r="L247" s="21">
        <v>183.10133570298322</v>
      </c>
      <c r="M247" s="21">
        <v>92.208888410687933</v>
      </c>
      <c r="N247" s="21">
        <v>175.46042899948569</v>
      </c>
      <c r="O247" s="21">
        <v>128.99114080670168</v>
      </c>
      <c r="P247" s="21">
        <v>177.043925116846</v>
      </c>
      <c r="Q247" s="21">
        <v>167.56485825645106</v>
      </c>
      <c r="R247" s="21">
        <v>155.23778479670358</v>
      </c>
      <c r="S247" s="21">
        <v>135.87420442279131</v>
      </c>
    </row>
    <row r="248" spans="1:19">
      <c r="A248" s="9">
        <f t="shared" si="3"/>
        <v>40269</v>
      </c>
      <c r="B248" s="21">
        <v>149.31311788238261</v>
      </c>
      <c r="C248" s="21">
        <v>155.79503565526369</v>
      </c>
      <c r="D248" s="21">
        <v>124.06477023005951</v>
      </c>
      <c r="E248" s="21">
        <v>103.41736819651064</v>
      </c>
      <c r="F248" s="21">
        <v>103.79585780162009</v>
      </c>
      <c r="G248" s="21">
        <v>98.944002003048368</v>
      </c>
      <c r="H248" s="21">
        <v>184.49392377649244</v>
      </c>
      <c r="I248" s="21">
        <v>106.37717951513051</v>
      </c>
      <c r="J248" s="21">
        <v>126.39951425985741</v>
      </c>
      <c r="K248" s="21">
        <v>150.71912505076787</v>
      </c>
      <c r="L248" s="21">
        <v>207.58511958420451</v>
      </c>
      <c r="M248" s="21">
        <v>95.740874981361216</v>
      </c>
      <c r="N248" s="21">
        <v>198.18550046962025</v>
      </c>
      <c r="O248" s="21">
        <v>126.20744285554545</v>
      </c>
      <c r="P248" s="21">
        <v>185.83420482290444</v>
      </c>
      <c r="Q248" s="21">
        <v>178.58749312318332</v>
      </c>
      <c r="R248" s="21">
        <v>158.44954434918586</v>
      </c>
      <c r="S248" s="21">
        <v>144.40011743281966</v>
      </c>
    </row>
    <row r="249" spans="1:19">
      <c r="A249" s="9">
        <f t="shared" si="3"/>
        <v>40299</v>
      </c>
      <c r="B249" s="21">
        <v>140.40246995267557</v>
      </c>
      <c r="C249" s="21">
        <v>145.36205652986416</v>
      </c>
      <c r="D249" s="21">
        <v>118.9853152160597</v>
      </c>
      <c r="E249" s="21">
        <v>100.01459190084563</v>
      </c>
      <c r="F249" s="21">
        <v>100.18706314466569</v>
      </c>
      <c r="G249" s="21">
        <v>97.9761553862526</v>
      </c>
      <c r="H249" s="21">
        <v>169.12690461681302</v>
      </c>
      <c r="I249" s="21">
        <v>103.11347749319137</v>
      </c>
      <c r="J249" s="21">
        <v>124.07661263468718</v>
      </c>
      <c r="K249" s="21">
        <v>142.45448868222735</v>
      </c>
      <c r="L249" s="21">
        <v>187.03336277705984</v>
      </c>
      <c r="M249" s="21">
        <v>99.355471283398487</v>
      </c>
      <c r="N249" s="21">
        <v>179.56237327713018</v>
      </c>
      <c r="O249" s="21">
        <v>126.26403092468303</v>
      </c>
      <c r="P249" s="21">
        <v>171.38183465904618</v>
      </c>
      <c r="Q249" s="21">
        <v>163.7299936611233</v>
      </c>
      <c r="R249" s="21">
        <v>159.28376587207111</v>
      </c>
      <c r="S249" s="21">
        <v>147.42256692711271</v>
      </c>
    </row>
    <row r="250" spans="1:19">
      <c r="A250" s="9">
        <f t="shared" si="3"/>
        <v>40330</v>
      </c>
      <c r="B250" s="21">
        <v>137.71902392578434</v>
      </c>
      <c r="C250" s="21">
        <v>142.12593771621812</v>
      </c>
      <c r="D250" s="21">
        <v>114.33042370006503</v>
      </c>
      <c r="E250" s="21">
        <v>96.905762322951531</v>
      </c>
      <c r="F250" s="21">
        <v>96.353390708561477</v>
      </c>
      <c r="G250" s="21">
        <v>103.43423885885585</v>
      </c>
      <c r="H250" s="21">
        <v>157.22394042632388</v>
      </c>
      <c r="I250" s="21">
        <v>100.35497279507987</v>
      </c>
      <c r="J250" s="21">
        <v>123.68796238246097</v>
      </c>
      <c r="K250" s="21">
        <v>135.14403523593089</v>
      </c>
      <c r="L250" s="21">
        <v>170.55372279363118</v>
      </c>
      <c r="M250" s="21">
        <v>100.90982068645839</v>
      </c>
      <c r="N250" s="21">
        <v>164.56029733518182</v>
      </c>
      <c r="O250" s="21">
        <v>118.96700574296658</v>
      </c>
      <c r="P250" s="21">
        <v>171.55003393970154</v>
      </c>
      <c r="Q250" s="21">
        <v>164.0514926540599</v>
      </c>
      <c r="R250" s="21">
        <v>165.99576264812353</v>
      </c>
      <c r="S250" s="21">
        <v>146.47983478662078</v>
      </c>
    </row>
    <row r="251" spans="1:19">
      <c r="A251" s="9">
        <f t="shared" si="3"/>
        <v>40360</v>
      </c>
      <c r="B251" s="21">
        <v>137.84334103829431</v>
      </c>
      <c r="C251" s="21">
        <v>142.62640575577055</v>
      </c>
      <c r="D251" s="21">
        <v>114.98379576987531</v>
      </c>
      <c r="E251" s="21">
        <v>102.63800749347716</v>
      </c>
      <c r="F251" s="21">
        <v>102.12545867031344</v>
      </c>
      <c r="G251" s="21">
        <v>108.69581871758339</v>
      </c>
      <c r="H251" s="21">
        <v>151.66219492052886</v>
      </c>
      <c r="I251" s="21">
        <v>104.88744967197449</v>
      </c>
      <c r="J251" s="21">
        <v>120.10432650579327</v>
      </c>
      <c r="K251" s="21">
        <v>130.44116301296876</v>
      </c>
      <c r="L251" s="21">
        <v>164.20572406389692</v>
      </c>
      <c r="M251" s="21">
        <v>97.797462745840193</v>
      </c>
      <c r="N251" s="21">
        <v>158.64269899489815</v>
      </c>
      <c r="O251" s="21">
        <v>113.31182775805314</v>
      </c>
      <c r="P251" s="21">
        <v>170.90908663340878</v>
      </c>
      <c r="Q251" s="21">
        <v>159.84324280701358</v>
      </c>
      <c r="R251" s="21">
        <v>166.09770394947193</v>
      </c>
      <c r="S251" s="21">
        <v>143.54112788956505</v>
      </c>
    </row>
    <row r="252" spans="1:19">
      <c r="A252" s="9">
        <f t="shared" si="3"/>
        <v>40391</v>
      </c>
      <c r="B252" s="21">
        <v>141.64377611164545</v>
      </c>
      <c r="C252" s="21">
        <v>146.64976627737241</v>
      </c>
      <c r="D252" s="21">
        <v>120.65270640629824</v>
      </c>
      <c r="E252" s="21">
        <v>104.81680368332871</v>
      </c>
      <c r="F252" s="21">
        <v>104.4015206832873</v>
      </c>
      <c r="G252" s="21">
        <v>109.72503077339023</v>
      </c>
      <c r="H252" s="21">
        <v>165.38251197677147</v>
      </c>
      <c r="I252" s="21">
        <v>107.13137104887258</v>
      </c>
      <c r="J252" s="21">
        <v>122.78880241640634</v>
      </c>
      <c r="K252" s="21">
        <v>140.32627700535275</v>
      </c>
      <c r="L252" s="21">
        <v>182.31253494832049</v>
      </c>
      <c r="M252" s="21">
        <v>99.73381031931217</v>
      </c>
      <c r="N252" s="21">
        <v>175.04124038167211</v>
      </c>
      <c r="O252" s="21">
        <v>130.67119623482154</v>
      </c>
      <c r="P252" s="21">
        <v>172.00681975474103</v>
      </c>
      <c r="Q252" s="21">
        <v>160.92853297089994</v>
      </c>
      <c r="R252" s="21">
        <v>161.61693388646674</v>
      </c>
      <c r="S252" s="21">
        <v>137.29423852867203</v>
      </c>
    </row>
    <row r="253" spans="1:19">
      <c r="A253" s="9">
        <f t="shared" si="3"/>
        <v>40422</v>
      </c>
      <c r="B253" s="21">
        <v>144.43360628533779</v>
      </c>
      <c r="C253" s="21">
        <v>149.25525518809013</v>
      </c>
      <c r="D253" s="21">
        <v>125.39115218914856</v>
      </c>
      <c r="E253" s="21">
        <v>109.7165748207838</v>
      </c>
      <c r="F253" s="21">
        <v>109.67239266628133</v>
      </c>
      <c r="G253" s="21">
        <v>110.23876341893194</v>
      </c>
      <c r="H253" s="21">
        <v>168.86531250018558</v>
      </c>
      <c r="I253" s="21">
        <v>112.21452212691129</v>
      </c>
      <c r="J253" s="21">
        <v>129.11246991950713</v>
      </c>
      <c r="K253" s="21">
        <v>144.03765352995953</v>
      </c>
      <c r="L253" s="21">
        <v>184.66615598204845</v>
      </c>
      <c r="M253" s="21">
        <v>104.75786978427897</v>
      </c>
      <c r="N253" s="21">
        <v>178.18020052413996</v>
      </c>
      <c r="O253" s="21">
        <v>141.42405602155273</v>
      </c>
      <c r="P253" s="21">
        <v>171.97802745635389</v>
      </c>
      <c r="Q253" s="21">
        <v>160.65561490179189</v>
      </c>
      <c r="R253" s="21">
        <v>156.1051113270419</v>
      </c>
      <c r="S253" s="21">
        <v>138.16697028484106</v>
      </c>
    </row>
    <row r="254" spans="1:19">
      <c r="A254" s="9">
        <f t="shared" si="3"/>
        <v>40452</v>
      </c>
      <c r="B254" s="21">
        <v>152.20746093923862</v>
      </c>
      <c r="C254" s="21">
        <v>157.26471259345632</v>
      </c>
      <c r="D254" s="21">
        <v>131.78403398447065</v>
      </c>
      <c r="E254" s="21">
        <v>113.33367704912047</v>
      </c>
      <c r="F254" s="21">
        <v>113.51648059962476</v>
      </c>
      <c r="G254" s="21">
        <v>111.17312306868983</v>
      </c>
      <c r="H254" s="21">
        <v>179.47625364133177</v>
      </c>
      <c r="I254" s="21">
        <v>116.67773949953448</v>
      </c>
      <c r="J254" s="21">
        <v>139.29943074324598</v>
      </c>
      <c r="K254" s="21">
        <v>152.66695259689672</v>
      </c>
      <c r="L254" s="21">
        <v>195.44561957844172</v>
      </c>
      <c r="M254" s="21">
        <v>111.30838197409061</v>
      </c>
      <c r="N254" s="21">
        <v>189.1851811976546</v>
      </c>
      <c r="O254" s="21">
        <v>156.0620632378739</v>
      </c>
      <c r="P254" s="21">
        <v>181.74942391081746</v>
      </c>
      <c r="Q254" s="21">
        <v>167.60451542290198</v>
      </c>
      <c r="R254" s="21">
        <v>153.65390915270436</v>
      </c>
      <c r="S254" s="21">
        <v>144.90410405560993</v>
      </c>
    </row>
    <row r="255" spans="1:19">
      <c r="A255" s="9">
        <f t="shared" si="3"/>
        <v>40483</v>
      </c>
      <c r="B255" s="21">
        <v>157.06460196086698</v>
      </c>
      <c r="C255" s="21">
        <v>162.41884072059301</v>
      </c>
      <c r="D255" s="21">
        <v>135.38023672469518</v>
      </c>
      <c r="E255" s="21">
        <v>114.75559051323653</v>
      </c>
      <c r="F255" s="21">
        <v>114.62306697703596</v>
      </c>
      <c r="G255" s="21">
        <v>116.32188532998954</v>
      </c>
      <c r="H255" s="21">
        <v>187.39318264161517</v>
      </c>
      <c r="I255" s="21">
        <v>119.11140093899446</v>
      </c>
      <c r="J255" s="21">
        <v>148.57729759275946</v>
      </c>
      <c r="K255" s="21">
        <v>158.02972397783293</v>
      </c>
      <c r="L255" s="21">
        <v>202.8216069869236</v>
      </c>
      <c r="M255" s="21">
        <v>114.72476878698646</v>
      </c>
      <c r="N255" s="21">
        <v>197.07951909204721</v>
      </c>
      <c r="O255" s="21">
        <v>159.62402107177684</v>
      </c>
      <c r="P255" s="21">
        <v>188.43047979752561</v>
      </c>
      <c r="Q255" s="21">
        <v>173.78595777690279</v>
      </c>
      <c r="R255" s="21">
        <v>159.99955890302618</v>
      </c>
      <c r="S255" s="21">
        <v>160.57478078470942</v>
      </c>
    </row>
    <row r="256" spans="1:19">
      <c r="A256" s="9">
        <f t="shared" si="3"/>
        <v>40513</v>
      </c>
      <c r="B256" s="21">
        <v>166.16203939965649</v>
      </c>
      <c r="C256" s="21">
        <v>172.35818813899044</v>
      </c>
      <c r="D256" s="21">
        <v>142.3562936051942</v>
      </c>
      <c r="E256" s="21">
        <v>121.92545714986656</v>
      </c>
      <c r="F256" s="21">
        <v>121.91063862337239</v>
      </c>
      <c r="G256" s="21">
        <v>122.10059721860561</v>
      </c>
      <c r="H256" s="21">
        <v>197.8191585681966</v>
      </c>
      <c r="I256" s="21">
        <v>126.66465124267388</v>
      </c>
      <c r="J256" s="21">
        <v>158.72403622761507</v>
      </c>
      <c r="K256" s="21">
        <v>164.61558014220324</v>
      </c>
      <c r="L256" s="21">
        <v>213.35857333467814</v>
      </c>
      <c r="M256" s="21">
        <v>117.49067727443447</v>
      </c>
      <c r="N256" s="21">
        <v>207.65205958380849</v>
      </c>
      <c r="O256" s="21">
        <v>160.80819378246301</v>
      </c>
      <c r="P256" s="21">
        <v>200.59643977371488</v>
      </c>
      <c r="Q256" s="21">
        <v>188.71414404395327</v>
      </c>
      <c r="R256" s="21">
        <v>166.87208044073395</v>
      </c>
      <c r="S256" s="21">
        <v>177.96828343189145</v>
      </c>
    </row>
    <row r="257" spans="1:19">
      <c r="A257" s="9">
        <f t="shared" si="3"/>
        <v>40544</v>
      </c>
      <c r="B257" s="21">
        <v>172.45876789406429</v>
      </c>
      <c r="C257" s="21">
        <v>179.67677571827141</v>
      </c>
      <c r="D257" s="21">
        <v>147.24303945082269</v>
      </c>
      <c r="E257" s="21">
        <v>126.03666700675264</v>
      </c>
      <c r="F257" s="21">
        <v>125.78468233368295</v>
      </c>
      <c r="G257" s="21">
        <v>129.01487222709065</v>
      </c>
      <c r="H257" s="21">
        <v>209.88201144493047</v>
      </c>
      <c r="I257" s="21">
        <v>131.91790261552924</v>
      </c>
      <c r="J257" s="21">
        <v>171.70289408804013</v>
      </c>
      <c r="K257" s="21">
        <v>169.20716403059683</v>
      </c>
      <c r="L257" s="21">
        <v>225.0573352323446</v>
      </c>
      <c r="M257" s="21">
        <v>115.21101564804431</v>
      </c>
      <c r="N257" s="21">
        <v>218.16859757486222</v>
      </c>
      <c r="O257" s="21">
        <v>162.58264334839524</v>
      </c>
      <c r="P257" s="21">
        <v>208.93267198574378</v>
      </c>
      <c r="Q257" s="21">
        <v>193.30708725507432</v>
      </c>
      <c r="R257" s="21">
        <v>177.46390003878841</v>
      </c>
      <c r="S257" s="21">
        <v>195.96242140398437</v>
      </c>
    </row>
    <row r="258" spans="1:19">
      <c r="A258" s="9">
        <f t="shared" si="3"/>
        <v>40575</v>
      </c>
      <c r="B258" s="21">
        <v>178.70444958861049</v>
      </c>
      <c r="C258" s="21">
        <v>186.48108952264067</v>
      </c>
      <c r="D258" s="21">
        <v>152.92032191827099</v>
      </c>
      <c r="E258" s="21">
        <v>130.2123189262997</v>
      </c>
      <c r="F258" s="21">
        <v>129.46603235176758</v>
      </c>
      <c r="G258" s="21">
        <v>139.0326751212379</v>
      </c>
      <c r="H258" s="21">
        <v>221.1416272683733</v>
      </c>
      <c r="I258" s="21">
        <v>137.53378306120322</v>
      </c>
      <c r="J258" s="21">
        <v>187.06153667453316</v>
      </c>
      <c r="K258" s="21">
        <v>175.06877937701313</v>
      </c>
      <c r="L258" s="21">
        <v>234.68768189901016</v>
      </c>
      <c r="M258" s="21">
        <v>117.42900786487242</v>
      </c>
      <c r="N258" s="21">
        <v>227.71247757433818</v>
      </c>
      <c r="O258" s="21">
        <v>167.17209563157942</v>
      </c>
      <c r="P258" s="21">
        <v>216.00052857567803</v>
      </c>
      <c r="Q258" s="21">
        <v>200.97470804863164</v>
      </c>
      <c r="R258" s="21">
        <v>176.69825491127639</v>
      </c>
      <c r="S258" s="21">
        <v>187.40827312776136</v>
      </c>
    </row>
    <row r="259" spans="1:19">
      <c r="A259" s="9">
        <f t="shared" si="3"/>
        <v>40603</v>
      </c>
      <c r="B259" s="21">
        <v>184.78315196360202</v>
      </c>
      <c r="C259" s="21">
        <v>192.7827017230662</v>
      </c>
      <c r="D259" s="21">
        <v>150.86711994493183</v>
      </c>
      <c r="E259" s="21">
        <v>129.43957531055176</v>
      </c>
      <c r="F259" s="21">
        <v>128.41608480391875</v>
      </c>
      <c r="G259" s="21">
        <v>141.53620298511586</v>
      </c>
      <c r="H259" s="21">
        <v>210.74660766877307</v>
      </c>
      <c r="I259" s="21">
        <v>136.46183508692567</v>
      </c>
      <c r="J259" s="21">
        <v>183.96555095640574</v>
      </c>
      <c r="K259" s="21">
        <v>170.99270515424564</v>
      </c>
      <c r="L259" s="21">
        <v>221.39146368208085</v>
      </c>
      <c r="M259" s="21">
        <v>122.26700234601041</v>
      </c>
      <c r="N259" s="21">
        <v>217.0185023851902</v>
      </c>
      <c r="O259" s="21">
        <v>171.49231472409517</v>
      </c>
      <c r="P259" s="21">
        <v>233.84182190461942</v>
      </c>
      <c r="Q259" s="21">
        <v>220.80718199565851</v>
      </c>
      <c r="R259" s="21">
        <v>176.27841381376092</v>
      </c>
      <c r="S259" s="21">
        <v>191.07165512919048</v>
      </c>
    </row>
    <row r="260" spans="1:19">
      <c r="A260" s="9">
        <f t="shared" si="3"/>
        <v>40634</v>
      </c>
      <c r="B260" s="21">
        <v>194.30603335769445</v>
      </c>
      <c r="C260" s="21">
        <v>202.93164835602386</v>
      </c>
      <c r="D260" s="21">
        <v>155.29808682707886</v>
      </c>
      <c r="E260" s="21">
        <v>133.37180186346521</v>
      </c>
      <c r="F260" s="21">
        <v>132.80219211593132</v>
      </c>
      <c r="G260" s="21">
        <v>140.10401578344292</v>
      </c>
      <c r="H260" s="21">
        <v>215.48381864890592</v>
      </c>
      <c r="I260" s="21">
        <v>140.23183041102931</v>
      </c>
      <c r="J260" s="21">
        <v>186.63809525420831</v>
      </c>
      <c r="K260" s="21">
        <v>176.62733046655691</v>
      </c>
      <c r="L260" s="21">
        <v>226.94933233024102</v>
      </c>
      <c r="M260" s="21">
        <v>127.97583628002631</v>
      </c>
      <c r="N260" s="21">
        <v>223.98388404154409</v>
      </c>
      <c r="O260" s="21">
        <v>173.52648030626418</v>
      </c>
      <c r="P260" s="21">
        <v>250.73002696841135</v>
      </c>
      <c r="Q260" s="21">
        <v>233.93433996041128</v>
      </c>
      <c r="R260" s="21">
        <v>196.67707203546732</v>
      </c>
      <c r="S260" s="21">
        <v>190.09985857668178</v>
      </c>
    </row>
    <row r="261" spans="1:19">
      <c r="A261" s="9">
        <f t="shared" si="3"/>
        <v>40664</v>
      </c>
      <c r="B261" s="21">
        <v>186.86763595146297</v>
      </c>
      <c r="C261" s="21">
        <v>194.31976562045375</v>
      </c>
      <c r="D261" s="21">
        <v>150.97405167792306</v>
      </c>
      <c r="E261" s="21">
        <v>130.56077013461368</v>
      </c>
      <c r="F261" s="21">
        <v>129.79625148815614</v>
      </c>
      <c r="G261" s="21">
        <v>139.59661106965311</v>
      </c>
      <c r="H261" s="21">
        <v>204.2072344543578</v>
      </c>
      <c r="I261" s="21">
        <v>135.39251177665494</v>
      </c>
      <c r="J261" s="21">
        <v>168.07795626711561</v>
      </c>
      <c r="K261" s="21">
        <v>172.84256054465109</v>
      </c>
      <c r="L261" s="21">
        <v>218.56779417007394</v>
      </c>
      <c r="M261" s="21">
        <v>128.63523858772317</v>
      </c>
      <c r="N261" s="21">
        <v>214.76595451626736</v>
      </c>
      <c r="O261" s="21">
        <v>172.09532083772422</v>
      </c>
      <c r="P261" s="21">
        <v>238.78678447999178</v>
      </c>
      <c r="Q261" s="21">
        <v>217.44285952496924</v>
      </c>
      <c r="R261" s="21">
        <v>203.62736853134712</v>
      </c>
      <c r="S261" s="21">
        <v>184.75974097362797</v>
      </c>
    </row>
    <row r="262" spans="1:19">
      <c r="A262" s="9">
        <f t="shared" si="3"/>
        <v>40695</v>
      </c>
      <c r="B262" s="21">
        <v>184.91328574508717</v>
      </c>
      <c r="C262" s="21">
        <v>191.97918622519126</v>
      </c>
      <c r="D262" s="21">
        <v>149.4113209996479</v>
      </c>
      <c r="E262" s="21">
        <v>128.38701527645432</v>
      </c>
      <c r="F262" s="21">
        <v>127.85077536345601</v>
      </c>
      <c r="G262" s="21">
        <v>134.72483133800267</v>
      </c>
      <c r="H262" s="21">
        <v>200.92193040642437</v>
      </c>
      <c r="I262" s="21">
        <v>133.43038854982177</v>
      </c>
      <c r="J262" s="21">
        <v>167.5474646237989</v>
      </c>
      <c r="K262" s="21">
        <v>171.21052711734603</v>
      </c>
      <c r="L262" s="21">
        <v>214.18751535300549</v>
      </c>
      <c r="M262" s="21">
        <v>129.66021878569921</v>
      </c>
      <c r="N262" s="21">
        <v>210.63397487647771</v>
      </c>
      <c r="O262" s="21">
        <v>178.58844160145898</v>
      </c>
      <c r="P262" s="21">
        <v>236.26596667619867</v>
      </c>
      <c r="Q262" s="21">
        <v>212.9653404882547</v>
      </c>
      <c r="R262" s="21">
        <v>208.81344606331814</v>
      </c>
      <c r="S262" s="21">
        <v>183.59646338029057</v>
      </c>
    </row>
    <row r="263" spans="1:19">
      <c r="A263" s="9">
        <f t="shared" ref="A263:A326" si="4">EDATE(A262,1)</f>
        <v>40725</v>
      </c>
      <c r="B263" s="21">
        <v>187.88328347747031</v>
      </c>
      <c r="C263" s="21">
        <v>194.88506923288398</v>
      </c>
      <c r="D263" s="21">
        <v>150.6750251835725</v>
      </c>
      <c r="E263" s="21">
        <v>127.48234814556959</v>
      </c>
      <c r="F263" s="21">
        <v>126.96076018007869</v>
      </c>
      <c r="G263" s="21">
        <v>133.64699293434549</v>
      </c>
      <c r="H263" s="21">
        <v>202.71077982816968</v>
      </c>
      <c r="I263" s="21">
        <v>131.88935033998666</v>
      </c>
      <c r="J263" s="21">
        <v>161.7015456655015</v>
      </c>
      <c r="K263" s="21">
        <v>175.54638645143038</v>
      </c>
      <c r="L263" s="21">
        <v>219.01101015761867</v>
      </c>
      <c r="M263" s="21">
        <v>133.52463037563697</v>
      </c>
      <c r="N263" s="21">
        <v>215.6160095987384</v>
      </c>
      <c r="O263" s="21">
        <v>193.96533555935031</v>
      </c>
      <c r="P263" s="21">
        <v>241.70407423847689</v>
      </c>
      <c r="Q263" s="21">
        <v>218.55487667758374</v>
      </c>
      <c r="R263" s="21">
        <v>216.50155727842176</v>
      </c>
      <c r="S263" s="21">
        <v>182.27141200791723</v>
      </c>
    </row>
    <row r="264" spans="1:19">
      <c r="A264" s="9">
        <f t="shared" si="4"/>
        <v>40756</v>
      </c>
      <c r="B264" s="21">
        <v>183.21064331112561</v>
      </c>
      <c r="C264" s="21">
        <v>188.02540356044119</v>
      </c>
      <c r="D264" s="21">
        <v>151.53445875352753</v>
      </c>
      <c r="E264" s="21">
        <v>127.06142259194539</v>
      </c>
      <c r="F264" s="21">
        <v>126.56096371498175</v>
      </c>
      <c r="G264" s="21">
        <v>132.97634282015071</v>
      </c>
      <c r="H264" s="21">
        <v>196.13935237020192</v>
      </c>
      <c r="I264" s="21">
        <v>130.39896441909366</v>
      </c>
      <c r="J264" s="21">
        <v>152.97654538423777</v>
      </c>
      <c r="K264" s="21">
        <v>179.72931541345562</v>
      </c>
      <c r="L264" s="21">
        <v>213.29557852029271</v>
      </c>
      <c r="M264" s="21">
        <v>147.27733031895229</v>
      </c>
      <c r="N264" s="21">
        <v>211.3277927840177</v>
      </c>
      <c r="O264" s="21">
        <v>197.70518086714404</v>
      </c>
      <c r="P264" s="21">
        <v>229.02943138003934</v>
      </c>
      <c r="Q264" s="21">
        <v>201.09475752829186</v>
      </c>
      <c r="R264" s="21">
        <v>217.31712813324711</v>
      </c>
      <c r="S264" s="21">
        <v>182.62307200317318</v>
      </c>
    </row>
    <row r="265" spans="1:19">
      <c r="A265" s="9">
        <f t="shared" si="4"/>
        <v>40787</v>
      </c>
      <c r="B265" s="21">
        <v>180.65374731911871</v>
      </c>
      <c r="C265" s="21">
        <v>185.03383325958293</v>
      </c>
      <c r="D265" s="21">
        <v>147.02880710767755</v>
      </c>
      <c r="E265" s="21">
        <v>121.36944339809207</v>
      </c>
      <c r="F265" s="21">
        <v>120.63699399481941</v>
      </c>
      <c r="G265" s="21">
        <v>130.02625815545952</v>
      </c>
      <c r="H265" s="21">
        <v>190.23901099077469</v>
      </c>
      <c r="I265" s="21">
        <v>125.04594359074487</v>
      </c>
      <c r="J265" s="21">
        <v>149.91648756199743</v>
      </c>
      <c r="K265" s="21">
        <v>176.25873684996304</v>
      </c>
      <c r="L265" s="21">
        <v>206.26628954824653</v>
      </c>
      <c r="M265" s="21">
        <v>147.24732590476131</v>
      </c>
      <c r="N265" s="21">
        <v>204.01157818773459</v>
      </c>
      <c r="O265" s="21">
        <v>196.18786588880153</v>
      </c>
      <c r="P265" s="21">
        <v>229.29136043115523</v>
      </c>
      <c r="Q265" s="21">
        <v>205.51649630876148</v>
      </c>
      <c r="R265" s="21">
        <v>215.53512330769502</v>
      </c>
      <c r="S265" s="21">
        <v>182.79367564695855</v>
      </c>
    </row>
    <row r="266" spans="1:19">
      <c r="A266" s="9">
        <f t="shared" si="4"/>
        <v>40817</v>
      </c>
      <c r="B266" s="21">
        <v>174.89844689719337</v>
      </c>
      <c r="C266" s="21">
        <v>179.59383653738965</v>
      </c>
      <c r="D266" s="21">
        <v>138.37879489739589</v>
      </c>
      <c r="E266" s="21">
        <v>118.37961568745091</v>
      </c>
      <c r="F266" s="21">
        <v>118.24710845754521</v>
      </c>
      <c r="G266" s="21">
        <v>119.94571778020972</v>
      </c>
      <c r="H266" s="21">
        <v>171.28533879330169</v>
      </c>
      <c r="I266" s="21">
        <v>121.46467440497823</v>
      </c>
      <c r="J266" s="21">
        <v>142.3342744233581</v>
      </c>
      <c r="K266" s="21">
        <v>159.23726545752956</v>
      </c>
      <c r="L266" s="21">
        <v>182.79272309706354</v>
      </c>
      <c r="M266" s="21">
        <v>136.46376345108624</v>
      </c>
      <c r="N266" s="21">
        <v>180.13391762867846</v>
      </c>
      <c r="O266" s="21">
        <v>195.67024608754227</v>
      </c>
      <c r="P266" s="21">
        <v>227.72318632522021</v>
      </c>
      <c r="Q266" s="21">
        <v>204.48633294248873</v>
      </c>
      <c r="R266" s="21">
        <v>218.12597208428866</v>
      </c>
      <c r="S266" s="21">
        <v>177.13350660188539</v>
      </c>
    </row>
    <row r="267" spans="1:19">
      <c r="A267" s="9">
        <f t="shared" si="4"/>
        <v>40848</v>
      </c>
      <c r="B267" s="21">
        <v>176.8079011964868</v>
      </c>
      <c r="C267" s="21">
        <v>181.05083344421078</v>
      </c>
      <c r="D267" s="21">
        <v>137.05910304035925</v>
      </c>
      <c r="E267" s="21">
        <v>118.01177386191203</v>
      </c>
      <c r="F267" s="21">
        <v>118.05669557818973</v>
      </c>
      <c r="G267" s="21">
        <v>117.48084438792897</v>
      </c>
      <c r="H267" s="21">
        <v>162.99750796642388</v>
      </c>
      <c r="I267" s="21">
        <v>119.85824917613152</v>
      </c>
      <c r="J267" s="21">
        <v>132.34916256868374</v>
      </c>
      <c r="K267" s="21">
        <v>158.47062513073732</v>
      </c>
      <c r="L267" s="21">
        <v>175.17952256386903</v>
      </c>
      <c r="M267" s="21">
        <v>142.31640240061978</v>
      </c>
      <c r="N267" s="21">
        <v>173.96945113355525</v>
      </c>
      <c r="O267" s="21">
        <v>192.94218198951981</v>
      </c>
      <c r="P267" s="21">
        <v>234.30351767131862</v>
      </c>
      <c r="Q267" s="21">
        <v>215.40171194593438</v>
      </c>
      <c r="R267" s="21">
        <v>214.82119375078545</v>
      </c>
      <c r="S267" s="21">
        <v>168.93517373767475</v>
      </c>
    </row>
    <row r="268" spans="1:19">
      <c r="A268" s="9">
        <f t="shared" si="4"/>
        <v>40878</v>
      </c>
      <c r="B268" s="21">
        <v>173.39049214484794</v>
      </c>
      <c r="C268" s="21">
        <v>178.03227112925535</v>
      </c>
      <c r="D268" s="21">
        <v>133.19528317799302</v>
      </c>
      <c r="E268" s="21">
        <v>114.89002664949096</v>
      </c>
      <c r="F268" s="21">
        <v>115.07819537229739</v>
      </c>
      <c r="G268" s="21">
        <v>112.66606173234149</v>
      </c>
      <c r="H268" s="21">
        <v>161.59413108140271</v>
      </c>
      <c r="I268" s="21">
        <v>116.59548763534211</v>
      </c>
      <c r="J268" s="21">
        <v>128.13247667851712</v>
      </c>
      <c r="K268" s="21">
        <v>154.52081566950642</v>
      </c>
      <c r="L268" s="21">
        <v>174.89437150549674</v>
      </c>
      <c r="M268" s="21">
        <v>134.82358788435818</v>
      </c>
      <c r="N268" s="21">
        <v>172.43989821927534</v>
      </c>
      <c r="O268" s="21">
        <v>179.22508775309541</v>
      </c>
      <c r="P268" s="21">
        <v>231.53183040132936</v>
      </c>
      <c r="Q268" s="21">
        <v>215.64789137747513</v>
      </c>
      <c r="R268" s="21">
        <v>214.90646721246671</v>
      </c>
      <c r="S268" s="21">
        <v>165.00877677094735</v>
      </c>
    </row>
    <row r="269" spans="1:19">
      <c r="A269" s="9">
        <f t="shared" si="4"/>
        <v>40909</v>
      </c>
      <c r="B269" s="21">
        <v>176.45637987445079</v>
      </c>
      <c r="C269" s="21">
        <v>181.4104445348826</v>
      </c>
      <c r="D269" s="21">
        <v>136.28586897904893</v>
      </c>
      <c r="E269" s="21">
        <v>117.4858697009621</v>
      </c>
      <c r="F269" s="21">
        <v>117.84453180774153</v>
      </c>
      <c r="G269" s="21">
        <v>113.24684458195246</v>
      </c>
      <c r="H269" s="21">
        <v>168.92110662354347</v>
      </c>
      <c r="I269" s="21">
        <v>119.47862870002429</v>
      </c>
      <c r="J269" s="21">
        <v>132.95911223415501</v>
      </c>
      <c r="K269" s="21">
        <v>158.93155903634241</v>
      </c>
      <c r="L269" s="21">
        <v>183.21517486505689</v>
      </c>
      <c r="M269" s="21">
        <v>135.45407104770862</v>
      </c>
      <c r="N269" s="21">
        <v>180.17015176093059</v>
      </c>
      <c r="O269" s="21">
        <v>170.32010451041495</v>
      </c>
      <c r="P269" s="21">
        <v>234.56199300439221</v>
      </c>
      <c r="Q269" s="21">
        <v>223.24838568969002</v>
      </c>
      <c r="R269" s="21">
        <v>207.60626719113534</v>
      </c>
      <c r="S269" s="21">
        <v>170.12516407995241</v>
      </c>
    </row>
    <row r="270" spans="1:19">
      <c r="A270" s="9">
        <f t="shared" si="4"/>
        <v>40940</v>
      </c>
      <c r="B270" s="21">
        <v>181.91846894726424</v>
      </c>
      <c r="C270" s="21">
        <v>186.70655867385531</v>
      </c>
      <c r="D270" s="21">
        <v>140.04172323773849</v>
      </c>
      <c r="E270" s="21">
        <v>120.01498562813926</v>
      </c>
      <c r="F270" s="21">
        <v>120.59323284738623</v>
      </c>
      <c r="G270" s="21">
        <v>113.18068548588008</v>
      </c>
      <c r="H270" s="21">
        <v>173.14984478035478</v>
      </c>
      <c r="I270" s="21">
        <v>122.28173441202605</v>
      </c>
      <c r="J270" s="21">
        <v>137.61568581888349</v>
      </c>
      <c r="K270" s="21">
        <v>165.00357520436074</v>
      </c>
      <c r="L270" s="21">
        <v>187.27385824858268</v>
      </c>
      <c r="M270" s="21">
        <v>143.4725846648077</v>
      </c>
      <c r="N270" s="21">
        <v>185.54904960792712</v>
      </c>
      <c r="O270" s="21">
        <v>163.68745325345631</v>
      </c>
      <c r="P270" s="21">
        <v>242.49210694939251</v>
      </c>
      <c r="Q270" s="21">
        <v>233.81203610873627</v>
      </c>
      <c r="R270" s="21">
        <v>201.15198335357539</v>
      </c>
      <c r="S270" s="21">
        <v>170.8758848092555</v>
      </c>
    </row>
    <row r="271" spans="1:19">
      <c r="A271" s="9">
        <f t="shared" si="4"/>
        <v>40969</v>
      </c>
      <c r="B271" s="21">
        <v>185.63124393426648</v>
      </c>
      <c r="C271" s="21">
        <v>191.46327937594535</v>
      </c>
      <c r="D271" s="21">
        <v>140.10928689537741</v>
      </c>
      <c r="E271" s="21">
        <v>122.02622655867198</v>
      </c>
      <c r="F271" s="21">
        <v>123.09949405875805</v>
      </c>
      <c r="G271" s="21">
        <v>109.34128492060869</v>
      </c>
      <c r="H271" s="21">
        <v>172.82907716082883</v>
      </c>
      <c r="I271" s="21">
        <v>123.75028070870783</v>
      </c>
      <c r="J271" s="21">
        <v>135.41304755228839</v>
      </c>
      <c r="K271" s="21">
        <v>162.50148188636786</v>
      </c>
      <c r="L271" s="21">
        <v>187.70109106417283</v>
      </c>
      <c r="M271" s="21">
        <v>138.13840820066872</v>
      </c>
      <c r="N271" s="21">
        <v>185.48321385482163</v>
      </c>
      <c r="O271" s="21">
        <v>169.05482222360308</v>
      </c>
      <c r="P271" s="21">
        <v>251.47758657867288</v>
      </c>
      <c r="Q271" s="21">
        <v>245.79128759740971</v>
      </c>
      <c r="R271" s="21">
        <v>206.57876406516363</v>
      </c>
      <c r="S271" s="21">
        <v>161.71936864266704</v>
      </c>
    </row>
    <row r="272" spans="1:19">
      <c r="A272" s="9">
        <f t="shared" si="4"/>
        <v>41000</v>
      </c>
      <c r="B272" s="21">
        <v>182.59682224073472</v>
      </c>
      <c r="C272" s="21">
        <v>188.3004155309317</v>
      </c>
      <c r="D272" s="21">
        <v>139.73009689845802</v>
      </c>
      <c r="E272" s="21">
        <v>120.90348228893046</v>
      </c>
      <c r="F272" s="21">
        <v>122.16986095625131</v>
      </c>
      <c r="G272" s="21">
        <v>105.93616101500304</v>
      </c>
      <c r="H272" s="21">
        <v>171.84550088903472</v>
      </c>
      <c r="I272" s="21">
        <v>122.82109582870811</v>
      </c>
      <c r="J272" s="21">
        <v>135.79324035795858</v>
      </c>
      <c r="K272" s="21">
        <v>160.46307253992674</v>
      </c>
      <c r="L272" s="21">
        <v>186.17544785226792</v>
      </c>
      <c r="M272" s="21">
        <v>135.60425469283643</v>
      </c>
      <c r="N272" s="21">
        <v>183.33213995081431</v>
      </c>
      <c r="O272" s="21">
        <v>198.4261214035148</v>
      </c>
      <c r="P272" s="21">
        <v>244.60244037617392</v>
      </c>
      <c r="Q272" s="21">
        <v>236.92862065074394</v>
      </c>
      <c r="R272" s="21">
        <v>209.38498309624987</v>
      </c>
      <c r="S272" s="21">
        <v>157.2452439962978</v>
      </c>
    </row>
    <row r="273" spans="1:19">
      <c r="A273" s="9">
        <f t="shared" si="4"/>
        <v>41030</v>
      </c>
      <c r="B273" s="21">
        <v>171.93851997835429</v>
      </c>
      <c r="C273" s="21">
        <v>177.02141881849218</v>
      </c>
      <c r="D273" s="21">
        <v>134.00290200458647</v>
      </c>
      <c r="E273" s="21">
        <v>115.77963410259164</v>
      </c>
      <c r="F273" s="21">
        <v>116.5342386383212</v>
      </c>
      <c r="G273" s="21">
        <v>106.86096797808916</v>
      </c>
      <c r="H273" s="21">
        <v>163.73546814070286</v>
      </c>
      <c r="I273" s="21">
        <v>117.93289126114244</v>
      </c>
      <c r="J273" s="21">
        <v>132.49910206950125</v>
      </c>
      <c r="K273" s="21">
        <v>152.4360902382833</v>
      </c>
      <c r="L273" s="21">
        <v>176.15120747384736</v>
      </c>
      <c r="M273" s="21">
        <v>129.50822875446622</v>
      </c>
      <c r="N273" s="21">
        <v>172.99643099134681</v>
      </c>
      <c r="O273" s="21">
        <v>204.95110315197857</v>
      </c>
      <c r="P273" s="21">
        <v>226.81141785034302</v>
      </c>
      <c r="Q273" s="21">
        <v>218.99704751603227</v>
      </c>
      <c r="R273" s="21">
        <v>210.14885028837034</v>
      </c>
      <c r="S273" s="21">
        <v>146.91437378130522</v>
      </c>
    </row>
    <row r="274" spans="1:19">
      <c r="A274" s="9">
        <f t="shared" si="4"/>
        <v>41061</v>
      </c>
      <c r="B274" s="21">
        <v>160.9202969947028</v>
      </c>
      <c r="C274" s="21">
        <v>164.65526441659014</v>
      </c>
      <c r="D274" s="21">
        <v>131.24416372752128</v>
      </c>
      <c r="E274" s="21">
        <v>115.67700329982804</v>
      </c>
      <c r="F274" s="21">
        <v>116.75688980702866</v>
      </c>
      <c r="G274" s="21">
        <v>102.91383165951187</v>
      </c>
      <c r="H274" s="21">
        <v>156.89322137686929</v>
      </c>
      <c r="I274" s="21">
        <v>116.74472453747259</v>
      </c>
      <c r="J274" s="21">
        <v>123.96757414943426</v>
      </c>
      <c r="K274" s="21">
        <v>149.63008423138575</v>
      </c>
      <c r="L274" s="21">
        <v>169.98041123816992</v>
      </c>
      <c r="M274" s="21">
        <v>129.95531416268818</v>
      </c>
      <c r="N274" s="21">
        <v>167.19648622065938</v>
      </c>
      <c r="O274" s="21">
        <v>174.32887581708874</v>
      </c>
      <c r="P274" s="21">
        <v>203.84606219857042</v>
      </c>
      <c r="Q274" s="21">
        <v>192.80544788499478</v>
      </c>
      <c r="R274" s="21">
        <v>215.11459605668932</v>
      </c>
      <c r="S274" s="21">
        <v>132.14947708351062</v>
      </c>
    </row>
    <row r="275" spans="1:19">
      <c r="A275" s="9">
        <f t="shared" si="4"/>
        <v>41091</v>
      </c>
      <c r="B275" s="21">
        <v>166.48624614019747</v>
      </c>
      <c r="C275" s="21">
        <v>170.87616071182103</v>
      </c>
      <c r="D275" s="21">
        <v>133.94924444205367</v>
      </c>
      <c r="E275" s="21">
        <v>122.3857382362314</v>
      </c>
      <c r="F275" s="21">
        <v>123.55572981050605</v>
      </c>
      <c r="G275" s="21">
        <v>108.5576153912653</v>
      </c>
      <c r="H275" s="21">
        <v>154.05507005814596</v>
      </c>
      <c r="I275" s="21">
        <v>122.47772647911569</v>
      </c>
      <c r="J275" s="21">
        <v>123.10000242624159</v>
      </c>
      <c r="K275" s="21">
        <v>147.5402036282949</v>
      </c>
      <c r="L275" s="21">
        <v>166.35899971121523</v>
      </c>
      <c r="M275" s="21">
        <v>129.34612321977224</v>
      </c>
      <c r="N275" s="21">
        <v>163.59733685684967</v>
      </c>
      <c r="O275" s="21">
        <v>179.43540473531084</v>
      </c>
      <c r="P275" s="21">
        <v>213.55018411209397</v>
      </c>
      <c r="Q275" s="21">
        <v>206.84232468806931</v>
      </c>
      <c r="R275" s="21">
        <v>211.29439789775955</v>
      </c>
      <c r="S275" s="21">
        <v>132.83830196551349</v>
      </c>
    </row>
    <row r="276" spans="1:19">
      <c r="A276" s="9">
        <f t="shared" si="4"/>
        <v>41122</v>
      </c>
      <c r="B276" s="21">
        <v>171.37677746259484</v>
      </c>
      <c r="C276" s="21">
        <v>176.02882831193662</v>
      </c>
      <c r="D276" s="21">
        <v>132.85284853581027</v>
      </c>
      <c r="E276" s="21">
        <v>123.49054177247807</v>
      </c>
      <c r="F276" s="21">
        <v>124.87643965800201</v>
      </c>
      <c r="G276" s="21">
        <v>107.1106236320546</v>
      </c>
      <c r="H276" s="21">
        <v>144.46682244597318</v>
      </c>
      <c r="I276" s="21">
        <v>123.03523769921055</v>
      </c>
      <c r="J276" s="21">
        <v>119.9552269876322</v>
      </c>
      <c r="K276" s="21">
        <v>143.03507782243079</v>
      </c>
      <c r="L276" s="21">
        <v>154.20961964448682</v>
      </c>
      <c r="M276" s="21">
        <v>132.23149019955358</v>
      </c>
      <c r="N276" s="21">
        <v>153.36850465314674</v>
      </c>
      <c r="O276" s="21">
        <v>189.07154812723874</v>
      </c>
      <c r="P276" s="21">
        <v>227.1006520305265</v>
      </c>
      <c r="Q276" s="21">
        <v>224.30220437463205</v>
      </c>
      <c r="R276" s="21">
        <v>206.78459340691359</v>
      </c>
      <c r="S276" s="21">
        <v>135.88051469884721</v>
      </c>
    </row>
    <row r="277" spans="1:19">
      <c r="A277" s="9">
        <f t="shared" si="4"/>
        <v>41153</v>
      </c>
      <c r="B277" s="21">
        <v>173.02247962772685</v>
      </c>
      <c r="C277" s="21">
        <v>176.78756890976751</v>
      </c>
      <c r="D277" s="21">
        <v>134.59684489834197</v>
      </c>
      <c r="E277" s="21">
        <v>121.26567984048624</v>
      </c>
      <c r="F277" s="21">
        <v>122.34305021669648</v>
      </c>
      <c r="G277" s="21">
        <v>108.53224633606244</v>
      </c>
      <c r="H277" s="21">
        <v>147.26964441898068</v>
      </c>
      <c r="I277" s="21">
        <v>121.48626839003177</v>
      </c>
      <c r="J277" s="21">
        <v>122.97849113817402</v>
      </c>
      <c r="K277" s="21">
        <v>149.89782843407824</v>
      </c>
      <c r="L277" s="21">
        <v>156.92482090617159</v>
      </c>
      <c r="M277" s="21">
        <v>143.10410658789783</v>
      </c>
      <c r="N277" s="21">
        <v>158.11020449697952</v>
      </c>
      <c r="O277" s="21">
        <v>189.34835596394976</v>
      </c>
      <c r="P277" s="21">
        <v>228.60417416160564</v>
      </c>
      <c r="Q277" s="21">
        <v>222.30051342360062</v>
      </c>
      <c r="R277" s="21">
        <v>208.44026929642891</v>
      </c>
      <c r="S277" s="21">
        <v>133.29704022439071</v>
      </c>
    </row>
    <row r="278" spans="1:19">
      <c r="A278" s="9">
        <f t="shared" si="4"/>
        <v>41183</v>
      </c>
      <c r="B278" s="21">
        <v>171.2361944050478</v>
      </c>
      <c r="C278" s="21">
        <v>174.77599258831751</v>
      </c>
      <c r="D278" s="21">
        <v>135.04745187285732</v>
      </c>
      <c r="E278" s="21">
        <v>120.30624147872682</v>
      </c>
      <c r="F278" s="21">
        <v>121.5073146427973</v>
      </c>
      <c r="G278" s="21">
        <v>106.11076552510306</v>
      </c>
      <c r="H278" s="21">
        <v>151.47472028468098</v>
      </c>
      <c r="I278" s="21">
        <v>120.7047976670174</v>
      </c>
      <c r="J278" s="21">
        <v>123.40092406072891</v>
      </c>
      <c r="K278" s="21">
        <v>152.69576573671938</v>
      </c>
      <c r="L278" s="21">
        <v>162.63341061421184</v>
      </c>
      <c r="M278" s="21">
        <v>143.08801457262965</v>
      </c>
      <c r="N278" s="21">
        <v>163.00467501526282</v>
      </c>
      <c r="O278" s="21">
        <v>184.09446970180315</v>
      </c>
      <c r="P278" s="21">
        <v>223.58228178018251</v>
      </c>
      <c r="Q278" s="21">
        <v>215.42697046371811</v>
      </c>
      <c r="R278" s="21">
        <v>209.31739323537639</v>
      </c>
      <c r="S278" s="21">
        <v>126.18648174742651</v>
      </c>
    </row>
    <row r="279" spans="1:19">
      <c r="A279" s="9">
        <f t="shared" si="4"/>
        <v>41214</v>
      </c>
      <c r="B279" s="21">
        <v>169.07955941895906</v>
      </c>
      <c r="C279" s="21">
        <v>172.60986339886148</v>
      </c>
      <c r="D279" s="21">
        <v>133.711168971956</v>
      </c>
      <c r="E279" s="21">
        <v>119.02301326679891</v>
      </c>
      <c r="F279" s="21">
        <v>120.52980956113988</v>
      </c>
      <c r="G279" s="21">
        <v>101.21419761493962</v>
      </c>
      <c r="H279" s="21">
        <v>151.25658971859477</v>
      </c>
      <c r="I279" s="21">
        <v>119.46909997576257</v>
      </c>
      <c r="J279" s="21">
        <v>122.48675767436504</v>
      </c>
      <c r="K279" s="21">
        <v>151.61805850411977</v>
      </c>
      <c r="L279" s="21">
        <v>162.69193832813815</v>
      </c>
      <c r="M279" s="21">
        <v>140.91179126658011</v>
      </c>
      <c r="N279" s="21">
        <v>162.73152852019342</v>
      </c>
      <c r="O279" s="21">
        <v>177.85261540186536</v>
      </c>
      <c r="P279" s="21">
        <v>220.23902855524807</v>
      </c>
      <c r="Q279" s="21">
        <v>212.71036284090505</v>
      </c>
      <c r="R279" s="21">
        <v>210.75954264645603</v>
      </c>
      <c r="S279" s="21">
        <v>129.05902403613399</v>
      </c>
    </row>
    <row r="280" spans="1:19">
      <c r="A280" s="9">
        <f t="shared" si="4"/>
        <v>41244</v>
      </c>
      <c r="B280" s="21">
        <v>169.9635097132963</v>
      </c>
      <c r="C280" s="21">
        <v>173.88931493551729</v>
      </c>
      <c r="D280" s="21">
        <v>134.96788558434184</v>
      </c>
      <c r="E280" s="21">
        <v>118.93532010463785</v>
      </c>
      <c r="F280" s="21">
        <v>120.66788241996602</v>
      </c>
      <c r="G280" s="21">
        <v>98.458177311734403</v>
      </c>
      <c r="H280" s="21">
        <v>158.30637348161858</v>
      </c>
      <c r="I280" s="21">
        <v>119.61601102426265</v>
      </c>
      <c r="J280" s="21">
        <v>124.22070368311043</v>
      </c>
      <c r="K280" s="21">
        <v>154.93586954921798</v>
      </c>
      <c r="L280" s="21">
        <v>171.85464571819227</v>
      </c>
      <c r="M280" s="21">
        <v>138.57873529494486</v>
      </c>
      <c r="N280" s="21">
        <v>170.84420169548181</v>
      </c>
      <c r="O280" s="21">
        <v>174.60668544827777</v>
      </c>
      <c r="P280" s="21">
        <v>220.58378193668534</v>
      </c>
      <c r="Q280" s="21">
        <v>211.78430216783724</v>
      </c>
      <c r="R280" s="21">
        <v>211.22305620370562</v>
      </c>
      <c r="S280" s="21">
        <v>137.70963520735734</v>
      </c>
    </row>
    <row r="281" spans="1:19">
      <c r="A281" s="9">
        <f t="shared" si="4"/>
        <v>41275</v>
      </c>
      <c r="B281" s="21">
        <v>174.02782152961882</v>
      </c>
      <c r="C281" s="21">
        <v>178.57269597662079</v>
      </c>
      <c r="D281" s="21">
        <v>137.67586576449037</v>
      </c>
      <c r="E281" s="21">
        <v>120.25374145025823</v>
      </c>
      <c r="F281" s="21">
        <v>122.09597533335727</v>
      </c>
      <c r="G281" s="21">
        <v>98.480391107589938</v>
      </c>
      <c r="H281" s="21">
        <v>167.28356403293154</v>
      </c>
      <c r="I281" s="21">
        <v>121.08425184184973</v>
      </c>
      <c r="J281" s="21">
        <v>126.70243329983958</v>
      </c>
      <c r="K281" s="21">
        <v>160.00634804382011</v>
      </c>
      <c r="L281" s="21">
        <v>183.41363306458015</v>
      </c>
      <c r="M281" s="21">
        <v>137.37609986341522</v>
      </c>
      <c r="N281" s="21">
        <v>181.15306067814731</v>
      </c>
      <c r="O281" s="21">
        <v>171.5678850754673</v>
      </c>
      <c r="P281" s="21">
        <v>226.60999265772074</v>
      </c>
      <c r="Q281" s="21">
        <v>220.02564378736125</v>
      </c>
      <c r="R281" s="21">
        <v>210.52302044246588</v>
      </c>
      <c r="S281" s="21">
        <v>136.22635065015456</v>
      </c>
    </row>
    <row r="282" spans="1:19">
      <c r="A282" s="9">
        <f t="shared" si="4"/>
        <v>41306</v>
      </c>
      <c r="B282" s="21">
        <v>175.50395775166012</v>
      </c>
      <c r="C282" s="21">
        <v>180.60884074225885</v>
      </c>
      <c r="D282" s="21">
        <v>137.33207509242331</v>
      </c>
      <c r="E282" s="21">
        <v>119.46050156726373</v>
      </c>
      <c r="F282" s="21">
        <v>121.33550462915659</v>
      </c>
      <c r="G282" s="21">
        <v>97.299852512491185</v>
      </c>
      <c r="H282" s="21">
        <v>168.57620874992961</v>
      </c>
      <c r="I282" s="21">
        <v>120.20349104366133</v>
      </c>
      <c r="J282" s="21">
        <v>125.22961683575359</v>
      </c>
      <c r="K282" s="21">
        <v>159.64917637517587</v>
      </c>
      <c r="L282" s="21">
        <v>185.80548519520644</v>
      </c>
      <c r="M282" s="21">
        <v>134.36116200035087</v>
      </c>
      <c r="N282" s="21">
        <v>183.31613563330532</v>
      </c>
      <c r="O282" s="21">
        <v>181.10292437852078</v>
      </c>
      <c r="P282" s="21">
        <v>230.71860642801087</v>
      </c>
      <c r="Q282" s="21">
        <v>226.44560238385418</v>
      </c>
      <c r="R282" s="21">
        <v>209.54779104994111</v>
      </c>
      <c r="S282" s="21">
        <v>137.71980342302746</v>
      </c>
    </row>
    <row r="283" spans="1:19">
      <c r="A283" s="9">
        <f t="shared" si="4"/>
        <v>41334</v>
      </c>
      <c r="B283" s="21">
        <v>171.2030320184933</v>
      </c>
      <c r="C283" s="21">
        <v>176.13604351371626</v>
      </c>
      <c r="D283" s="21">
        <v>134.26398301067343</v>
      </c>
      <c r="E283" s="21">
        <v>119.67438422140856</v>
      </c>
      <c r="F283" s="21">
        <v>121.5997756607396</v>
      </c>
      <c r="G283" s="21">
        <v>96.918195259773327</v>
      </c>
      <c r="H283" s="21">
        <v>158.68469438323174</v>
      </c>
      <c r="I283" s="21">
        <v>120.20279100098398</v>
      </c>
      <c r="J283" s="21">
        <v>123.7773220379747</v>
      </c>
      <c r="K283" s="21">
        <v>151.46657862567957</v>
      </c>
      <c r="L283" s="21">
        <v>172.55957454233271</v>
      </c>
      <c r="M283" s="21">
        <v>131.07379355732274</v>
      </c>
      <c r="N283" s="21">
        <v>170.7663688192269</v>
      </c>
      <c r="O283" s="21">
        <v>183.53422651996587</v>
      </c>
      <c r="P283" s="21">
        <v>224.63441845580186</v>
      </c>
      <c r="Q283" s="21">
        <v>219.79647199961039</v>
      </c>
      <c r="R283" s="21">
        <v>218.44370714966266</v>
      </c>
      <c r="S283" s="21">
        <v>133.44530774006529</v>
      </c>
    </row>
    <row r="284" spans="1:19">
      <c r="A284" s="9">
        <f t="shared" si="4"/>
        <v>41365</v>
      </c>
      <c r="B284" s="21">
        <v>167.81925010400457</v>
      </c>
      <c r="C284" s="21">
        <v>173.34619821960172</v>
      </c>
      <c r="D284" s="21">
        <v>132.32923861128484</v>
      </c>
      <c r="E284" s="21">
        <v>121.86203594170713</v>
      </c>
      <c r="F284" s="21">
        <v>124.07904589673198</v>
      </c>
      <c r="G284" s="21">
        <v>95.659209630242557</v>
      </c>
      <c r="H284" s="21">
        <v>154.35005141670356</v>
      </c>
      <c r="I284" s="21">
        <v>122.02304589592623</v>
      </c>
      <c r="J284" s="21">
        <v>123.11223532510621</v>
      </c>
      <c r="K284" s="21">
        <v>143.86197318100233</v>
      </c>
      <c r="L284" s="21">
        <v>166.76636709970964</v>
      </c>
      <c r="M284" s="21">
        <v>121.71792194471443</v>
      </c>
      <c r="N284" s="21">
        <v>163.99396666520639</v>
      </c>
      <c r="O284" s="21">
        <v>181.27889767179224</v>
      </c>
      <c r="P284" s="21">
        <v>219.1546409618087</v>
      </c>
      <c r="Q284" s="21">
        <v>211.18567262749596</v>
      </c>
      <c r="R284" s="21">
        <v>222.82327872835944</v>
      </c>
      <c r="S284" s="21">
        <v>130.09184187832255</v>
      </c>
    </row>
    <row r="285" spans="1:19">
      <c r="A285" s="9">
        <f t="shared" si="4"/>
        <v>41395</v>
      </c>
      <c r="B285" s="21">
        <v>166.7434086639102</v>
      </c>
      <c r="C285" s="21">
        <v>172.7973681440601</v>
      </c>
      <c r="D285" s="21">
        <v>130.76871650894614</v>
      </c>
      <c r="E285" s="21">
        <v>124.111238287022</v>
      </c>
      <c r="F285" s="21">
        <v>126.57965712143468</v>
      </c>
      <c r="G285" s="21">
        <v>94.93701205701899</v>
      </c>
      <c r="H285" s="21">
        <v>150.06900245929066</v>
      </c>
      <c r="I285" s="21">
        <v>124.48383942941658</v>
      </c>
      <c r="J285" s="21">
        <v>127.00438685497686</v>
      </c>
      <c r="K285" s="21">
        <v>137.21795480339534</v>
      </c>
      <c r="L285" s="21">
        <v>159.23665834184712</v>
      </c>
      <c r="M285" s="21">
        <v>115.93019224383367</v>
      </c>
      <c r="N285" s="21">
        <v>156.61433422652632</v>
      </c>
      <c r="O285" s="21">
        <v>167.58174308875485</v>
      </c>
      <c r="P285" s="21">
        <v>218.77987766147876</v>
      </c>
      <c r="Q285" s="21">
        <v>213.0795143610336</v>
      </c>
      <c r="R285" s="21">
        <v>216.47566792034812</v>
      </c>
      <c r="S285" s="21">
        <v>129.8745806875516</v>
      </c>
    </row>
    <row r="286" spans="1:19">
      <c r="A286" s="9">
        <f t="shared" si="4"/>
        <v>41426</v>
      </c>
      <c r="B286" s="21">
        <v>164.0598227828001</v>
      </c>
      <c r="C286" s="21">
        <v>170.45486838467798</v>
      </c>
      <c r="D286" s="21">
        <v>126.53529119474069</v>
      </c>
      <c r="E286" s="21">
        <v>121.82435102996922</v>
      </c>
      <c r="F286" s="21">
        <v>124.59968267830176</v>
      </c>
      <c r="G286" s="21">
        <v>89.022724238377876</v>
      </c>
      <c r="H286" s="21">
        <v>144.39962151645625</v>
      </c>
      <c r="I286" s="21">
        <v>122.20054970165523</v>
      </c>
      <c r="J286" s="21">
        <v>124.74543345408684</v>
      </c>
      <c r="K286" s="21">
        <v>130.79279705812706</v>
      </c>
      <c r="L286" s="21">
        <v>152.21171064458161</v>
      </c>
      <c r="M286" s="21">
        <v>110.08491360277473</v>
      </c>
      <c r="N286" s="21">
        <v>149.60165464000721</v>
      </c>
      <c r="O286" s="21">
        <v>154.1995443711354</v>
      </c>
      <c r="P286" s="21">
        <v>218.33809474741233</v>
      </c>
      <c r="Q286" s="21">
        <v>211.8936102321239</v>
      </c>
      <c r="R286" s="21">
        <v>215.64289674251316</v>
      </c>
      <c r="S286" s="21">
        <v>124.10990603582938</v>
      </c>
    </row>
    <row r="287" spans="1:19">
      <c r="A287" s="9">
        <f t="shared" si="4"/>
        <v>41456</v>
      </c>
      <c r="B287" s="21">
        <v>165.99436669368197</v>
      </c>
      <c r="C287" s="21">
        <v>173.11249119634516</v>
      </c>
      <c r="D287" s="21">
        <v>124.87324374822026</v>
      </c>
      <c r="E287" s="21">
        <v>120.13735009392497</v>
      </c>
      <c r="F287" s="21">
        <v>122.60813788307756</v>
      </c>
      <c r="G287" s="21">
        <v>90.935125203181229</v>
      </c>
      <c r="H287" s="21">
        <v>145.45195956511668</v>
      </c>
      <c r="I287" s="21">
        <v>120.00643228593334</v>
      </c>
      <c r="J287" s="21">
        <v>119.12080820605898</v>
      </c>
      <c r="K287" s="21">
        <v>130.33727541250917</v>
      </c>
      <c r="L287" s="21">
        <v>155.91798851580947</v>
      </c>
      <c r="M287" s="21">
        <v>105.60574906735657</v>
      </c>
      <c r="N287" s="21">
        <v>152.3817302680051</v>
      </c>
      <c r="O287" s="21">
        <v>147.77336085686525</v>
      </c>
      <c r="P287" s="21">
        <v>225.47501575884615</v>
      </c>
      <c r="Q287" s="21">
        <v>225.0325327879759</v>
      </c>
      <c r="R287" s="21">
        <v>207.73019063646083</v>
      </c>
      <c r="S287" s="21">
        <v>115.15931580082881</v>
      </c>
    </row>
    <row r="288" spans="1:19">
      <c r="A288" s="9">
        <f t="shared" si="4"/>
        <v>41487</v>
      </c>
      <c r="B288" s="21">
        <v>168.58510830459991</v>
      </c>
      <c r="C288" s="21">
        <v>175.44921130763183</v>
      </c>
      <c r="D288" s="21">
        <v>125.72030135641873</v>
      </c>
      <c r="E288" s="21">
        <v>117.10130664056712</v>
      </c>
      <c r="F288" s="21">
        <v>119.28744551365416</v>
      </c>
      <c r="G288" s="21">
        <v>91.263345446748644</v>
      </c>
      <c r="H288" s="21">
        <v>151.02179169833167</v>
      </c>
      <c r="I288" s="21">
        <v>117.47244619321815</v>
      </c>
      <c r="J288" s="21">
        <v>119.98310635369469</v>
      </c>
      <c r="K288" s="21">
        <v>136.75288277137298</v>
      </c>
      <c r="L288" s="21">
        <v>163.35895747504452</v>
      </c>
      <c r="M288" s="21">
        <v>111.03003310655821</v>
      </c>
      <c r="N288" s="21">
        <v>160.07450486808136</v>
      </c>
      <c r="O288" s="21">
        <v>143.38109693968258</v>
      </c>
      <c r="P288" s="21">
        <v>230.58795153221072</v>
      </c>
      <c r="Q288" s="21">
        <v>228.90654298511288</v>
      </c>
      <c r="R288" s="21">
        <v>204.72970359272659</v>
      </c>
      <c r="S288" s="21">
        <v>115.31869052229366</v>
      </c>
    </row>
    <row r="289" spans="1:19">
      <c r="A289" s="9">
        <f t="shared" si="4"/>
        <v>41518</v>
      </c>
      <c r="B289" s="21">
        <v>167.9622456710548</v>
      </c>
      <c r="C289" s="21">
        <v>174.74045615230924</v>
      </c>
      <c r="D289" s="21">
        <v>123.3189730849052</v>
      </c>
      <c r="E289" s="21">
        <v>113.54088027160763</v>
      </c>
      <c r="F289" s="21">
        <v>115.60460280692234</v>
      </c>
      <c r="G289" s="21">
        <v>89.149756981725929</v>
      </c>
      <c r="H289" s="21">
        <v>149.08772248701169</v>
      </c>
      <c r="I289" s="21">
        <v>114.30357676500721</v>
      </c>
      <c r="J289" s="21">
        <v>119.46301527495788</v>
      </c>
      <c r="K289" s="21">
        <v>135.56621753863715</v>
      </c>
      <c r="L289" s="21">
        <v>160.86286437538556</v>
      </c>
      <c r="M289" s="21">
        <v>111.10932749180152</v>
      </c>
      <c r="N289" s="21">
        <v>157.81803267809289</v>
      </c>
      <c r="O289" s="21">
        <v>140.38059036059599</v>
      </c>
      <c r="P289" s="21">
        <v>232.53759380391253</v>
      </c>
      <c r="Q289" s="21">
        <v>229.54924717595009</v>
      </c>
      <c r="R289" s="21">
        <v>207.35459510394534</v>
      </c>
      <c r="S289" s="21">
        <v>116.28080895144669</v>
      </c>
    </row>
    <row r="290" spans="1:19">
      <c r="A290" s="9">
        <f t="shared" si="4"/>
        <v>41548</v>
      </c>
      <c r="B290" s="21">
        <v>165.39711417562117</v>
      </c>
      <c r="C290" s="21">
        <v>172.18068296825027</v>
      </c>
      <c r="D290" s="21">
        <v>122.18731614871066</v>
      </c>
      <c r="E290" s="21">
        <v>112.78398289754016</v>
      </c>
      <c r="F290" s="21">
        <v>114.89894005177693</v>
      </c>
      <c r="G290" s="21">
        <v>87.787317978173633</v>
      </c>
      <c r="H290" s="21">
        <v>149.0316182253446</v>
      </c>
      <c r="I290" s="21">
        <v>113.5350840199531</v>
      </c>
      <c r="J290" s="21">
        <v>118.61608293548683</v>
      </c>
      <c r="K290" s="21">
        <v>134.36322886002787</v>
      </c>
      <c r="L290" s="21">
        <v>161.12109614272276</v>
      </c>
      <c r="M290" s="21">
        <v>108.4936255784568</v>
      </c>
      <c r="N290" s="21">
        <v>157.75477059802171</v>
      </c>
      <c r="O290" s="21">
        <v>133.52667702381561</v>
      </c>
      <c r="P290" s="21">
        <v>227.89897814524159</v>
      </c>
      <c r="Q290" s="21">
        <v>220.61701507428407</v>
      </c>
      <c r="R290" s="21">
        <v>205.31072956556784</v>
      </c>
      <c r="S290" s="21">
        <v>124.40968499150652</v>
      </c>
    </row>
    <row r="291" spans="1:19">
      <c r="A291" s="9">
        <f t="shared" si="4"/>
        <v>41579</v>
      </c>
      <c r="B291" s="21">
        <v>163.56558795420744</v>
      </c>
      <c r="C291" s="21">
        <v>170.5077470049084</v>
      </c>
      <c r="D291" s="21">
        <v>121.87324793802628</v>
      </c>
      <c r="E291" s="21">
        <v>113.59788403145264</v>
      </c>
      <c r="F291" s="21">
        <v>115.95552423544113</v>
      </c>
      <c r="G291" s="21">
        <v>85.732949717549573</v>
      </c>
      <c r="H291" s="21">
        <v>149.06262366807064</v>
      </c>
      <c r="I291" s="21">
        <v>114.1697727642087</v>
      </c>
      <c r="J291" s="21">
        <v>118.03844762599627</v>
      </c>
      <c r="K291" s="21">
        <v>132.88579793234976</v>
      </c>
      <c r="L291" s="21">
        <v>161.39402232968087</v>
      </c>
      <c r="M291" s="21">
        <v>105.32394303452237</v>
      </c>
      <c r="N291" s="21">
        <v>157.69718414007946</v>
      </c>
      <c r="O291" s="21">
        <v>129.91972628557804</v>
      </c>
      <c r="P291" s="21">
        <v>223.87248785324508</v>
      </c>
      <c r="Q291" s="21">
        <v>215.67578886415598</v>
      </c>
      <c r="R291" s="21">
        <v>206.47673557444767</v>
      </c>
      <c r="S291" s="21">
        <v>127.65562723257443</v>
      </c>
    </row>
    <row r="292" spans="1:19">
      <c r="A292" s="9">
        <f t="shared" si="4"/>
        <v>41609</v>
      </c>
      <c r="B292" s="21">
        <v>167.17527927191043</v>
      </c>
      <c r="C292" s="21">
        <v>174.98272192913785</v>
      </c>
      <c r="D292" s="21">
        <v>122.39344492623181</v>
      </c>
      <c r="E292" s="21">
        <v>115.12460655574185</v>
      </c>
      <c r="F292" s="21">
        <v>117.22383919153249</v>
      </c>
      <c r="G292" s="21">
        <v>90.31378961813202</v>
      </c>
      <c r="H292" s="21">
        <v>150.67795538062393</v>
      </c>
      <c r="I292" s="21">
        <v>115.91024976654104</v>
      </c>
      <c r="J292" s="21">
        <v>121.22491670412062</v>
      </c>
      <c r="K292" s="21">
        <v>131.20987021232472</v>
      </c>
      <c r="L292" s="21">
        <v>162.38486296209288</v>
      </c>
      <c r="M292" s="21">
        <v>101.06977398485245</v>
      </c>
      <c r="N292" s="21">
        <v>157.93191790869707</v>
      </c>
      <c r="O292" s="21">
        <v>134.55397484063857</v>
      </c>
      <c r="P292" s="21">
        <v>231.95105343406993</v>
      </c>
      <c r="Q292" s="21">
        <v>220.64532295976926</v>
      </c>
      <c r="R292" s="21">
        <v>219.48776296664093</v>
      </c>
      <c r="S292" s="21">
        <v>129.52588653700926</v>
      </c>
    </row>
    <row r="293" spans="1:19">
      <c r="A293" s="9">
        <f t="shared" si="4"/>
        <v>41640</v>
      </c>
      <c r="B293" s="21">
        <v>165.52653772447701</v>
      </c>
      <c r="C293" s="21">
        <v>172.97171191486703</v>
      </c>
      <c r="D293" s="21">
        <v>122.6002925268902</v>
      </c>
      <c r="E293" s="21">
        <v>115.7266894647524</v>
      </c>
      <c r="F293" s="21">
        <v>117.76153423921374</v>
      </c>
      <c r="G293" s="21">
        <v>91.676872243519441</v>
      </c>
      <c r="H293" s="21">
        <v>147.76167088066094</v>
      </c>
      <c r="I293" s="21">
        <v>116.07242426627056</v>
      </c>
      <c r="J293" s="21">
        <v>118.41122805600877</v>
      </c>
      <c r="K293" s="21">
        <v>130.66351217088749</v>
      </c>
      <c r="L293" s="21">
        <v>159.42779896331297</v>
      </c>
      <c r="M293" s="21">
        <v>102.85409521938675</v>
      </c>
      <c r="N293" s="21">
        <v>155.68763442722147</v>
      </c>
      <c r="O293" s="21">
        <v>144.55563570521849</v>
      </c>
      <c r="P293" s="21">
        <v>227.61824980318698</v>
      </c>
      <c r="Q293" s="21">
        <v>213.88251548085933</v>
      </c>
      <c r="R293" s="21">
        <v>222.17231059991053</v>
      </c>
      <c r="S293" s="21">
        <v>127.0517516688428</v>
      </c>
    </row>
    <row r="294" spans="1:19">
      <c r="A294" s="9">
        <f t="shared" si="4"/>
        <v>41671</v>
      </c>
      <c r="B294" s="21">
        <v>169.35027265974111</v>
      </c>
      <c r="C294" s="21">
        <v>176.71890234762753</v>
      </c>
      <c r="D294" s="21">
        <v>124.94973910179446</v>
      </c>
      <c r="E294" s="21">
        <v>119.75871344233867</v>
      </c>
      <c r="F294" s="21">
        <v>121.05185958321108</v>
      </c>
      <c r="G294" s="21">
        <v>104.4750275717261</v>
      </c>
      <c r="H294" s="21">
        <v>144.65558445091639</v>
      </c>
      <c r="I294" s="21">
        <v>119.56003730032286</v>
      </c>
      <c r="J294" s="21">
        <v>118.21604614919534</v>
      </c>
      <c r="K294" s="21">
        <v>130.7076152522952</v>
      </c>
      <c r="L294" s="21">
        <v>155.16469472624712</v>
      </c>
      <c r="M294" s="21">
        <v>107.06242198137353</v>
      </c>
      <c r="N294" s="21">
        <v>152.12842733543221</v>
      </c>
      <c r="O294" s="21">
        <v>153.80844366690408</v>
      </c>
      <c r="P294" s="21">
        <v>233.57450501762065</v>
      </c>
      <c r="Q294" s="21">
        <v>218.97144844778359</v>
      </c>
      <c r="R294" s="21">
        <v>230.82778733156204</v>
      </c>
      <c r="S294" s="21">
        <v>119.46571027803697</v>
      </c>
    </row>
    <row r="295" spans="1:19">
      <c r="A295" s="9">
        <f t="shared" si="4"/>
        <v>41699</v>
      </c>
      <c r="B295" s="21">
        <v>168.62977360676976</v>
      </c>
      <c r="C295" s="21">
        <v>175.59872467416207</v>
      </c>
      <c r="D295" s="21">
        <v>128.13752615088234</v>
      </c>
      <c r="E295" s="21">
        <v>127.11907092616102</v>
      </c>
      <c r="F295" s="21">
        <v>128.09889023963868</v>
      </c>
      <c r="G295" s="21">
        <v>115.5385928008896</v>
      </c>
      <c r="H295" s="21">
        <v>140.37798013986978</v>
      </c>
      <c r="I295" s="21">
        <v>126.36275231655713</v>
      </c>
      <c r="J295" s="21">
        <v>121.24645849070041</v>
      </c>
      <c r="K295" s="21">
        <v>128.59329721970406</v>
      </c>
      <c r="L295" s="21">
        <v>147.98232135232249</v>
      </c>
      <c r="M295" s="21">
        <v>109.84791826149248</v>
      </c>
      <c r="N295" s="21">
        <v>146.03036670625559</v>
      </c>
      <c r="O295" s="21">
        <v>154.82337902575421</v>
      </c>
      <c r="P295" s="21">
        <v>227.20077041485294</v>
      </c>
      <c r="Q295" s="21">
        <v>216.4772406228567</v>
      </c>
      <c r="R295" s="21">
        <v>220.22035304809134</v>
      </c>
      <c r="S295" s="21">
        <v>114.78472122749008</v>
      </c>
    </row>
    <row r="296" spans="1:19">
      <c r="A296" s="9">
        <f t="shared" si="4"/>
        <v>41730</v>
      </c>
      <c r="B296" s="21">
        <v>170.10553295518304</v>
      </c>
      <c r="C296" s="21">
        <v>177.57750397713221</v>
      </c>
      <c r="D296" s="21">
        <v>129.37185358878077</v>
      </c>
      <c r="E296" s="21">
        <v>129.57879451479855</v>
      </c>
      <c r="F296" s="21">
        <v>130.63854601172844</v>
      </c>
      <c r="G296" s="21">
        <v>117.05359843057258</v>
      </c>
      <c r="H296" s="21">
        <v>143.1150106276117</v>
      </c>
      <c r="I296" s="21">
        <v>128.13623109335802</v>
      </c>
      <c r="J296" s="21">
        <v>118.37767400801961</v>
      </c>
      <c r="K296" s="21">
        <v>129.53536998303073</v>
      </c>
      <c r="L296" s="21">
        <v>152.94753476198161</v>
      </c>
      <c r="M296" s="21">
        <v>106.9004040346821</v>
      </c>
      <c r="N296" s="21">
        <v>150.13623362988835</v>
      </c>
      <c r="O296" s="21">
        <v>149.78582662517729</v>
      </c>
      <c r="P296" s="21">
        <v>229.02575482605224</v>
      </c>
      <c r="Q296" s="21">
        <v>217.92910907012825</v>
      </c>
      <c r="R296" s="21">
        <v>222.04758967428765</v>
      </c>
      <c r="S296" s="21">
        <v>114.57677947010552</v>
      </c>
    </row>
    <row r="297" spans="1:19">
      <c r="A297" s="9">
        <f t="shared" si="4"/>
        <v>41760</v>
      </c>
      <c r="B297" s="21">
        <v>168.07077956685305</v>
      </c>
      <c r="C297" s="21">
        <v>175.41654981664971</v>
      </c>
      <c r="D297" s="21">
        <v>125.63815542148205</v>
      </c>
      <c r="E297" s="21">
        <v>124.49348545207468</v>
      </c>
      <c r="F297" s="21">
        <v>125.38075779005692</v>
      </c>
      <c r="G297" s="21">
        <v>114.00681943128308</v>
      </c>
      <c r="H297" s="21">
        <v>139.73496564397672</v>
      </c>
      <c r="I297" s="21">
        <v>123.50840956367129</v>
      </c>
      <c r="J297" s="21">
        <v>116.84463371333473</v>
      </c>
      <c r="K297" s="21">
        <v>127.14913993221187</v>
      </c>
      <c r="L297" s="21">
        <v>148.8333477621843</v>
      </c>
      <c r="M297" s="21">
        <v>106.18476903859757</v>
      </c>
      <c r="N297" s="21">
        <v>146.56378024087167</v>
      </c>
      <c r="O297" s="21">
        <v>146.15964436841429</v>
      </c>
      <c r="P297" s="21">
        <v>229.44848146113878</v>
      </c>
      <c r="Q297" s="21">
        <v>219.66346490212632</v>
      </c>
      <c r="R297" s="21">
        <v>219.82793928276169</v>
      </c>
      <c r="S297" s="21">
        <v>115.1379994735496</v>
      </c>
    </row>
    <row r="298" spans="1:19">
      <c r="A298" s="9">
        <f t="shared" si="4"/>
        <v>41791</v>
      </c>
      <c r="B298" s="21">
        <v>168.35131035109831</v>
      </c>
      <c r="C298" s="21">
        <v>175.805211646765</v>
      </c>
      <c r="D298" s="21">
        <v>123.24018422403937</v>
      </c>
      <c r="E298" s="21">
        <v>121.60368534980073</v>
      </c>
      <c r="F298" s="21">
        <v>122.51104979313055</v>
      </c>
      <c r="G298" s="21">
        <v>110.87955086592859</v>
      </c>
      <c r="H298" s="21">
        <v>137.30603994946654</v>
      </c>
      <c r="I298" s="21">
        <v>121.01887798760868</v>
      </c>
      <c r="J298" s="21">
        <v>117.06281204065836</v>
      </c>
      <c r="K298" s="21">
        <v>125.22454688179164</v>
      </c>
      <c r="L298" s="21">
        <v>145.3522589111823</v>
      </c>
      <c r="M298" s="21">
        <v>105.765001781843</v>
      </c>
      <c r="N298" s="21">
        <v>143.62899118530595</v>
      </c>
      <c r="O298" s="21">
        <v>139.77121473651204</v>
      </c>
      <c r="P298" s="21">
        <v>233.603396624537</v>
      </c>
      <c r="Q298" s="21">
        <v>226.29864156205181</v>
      </c>
      <c r="R298" s="21">
        <v>218.99221818019711</v>
      </c>
      <c r="S298" s="21">
        <v>112.72764453319142</v>
      </c>
    </row>
    <row r="299" spans="1:19">
      <c r="A299" s="9">
        <f t="shared" si="4"/>
        <v>41821</v>
      </c>
      <c r="B299" s="21">
        <v>164.79764210317137</v>
      </c>
      <c r="C299" s="21">
        <v>171.56067478840035</v>
      </c>
      <c r="D299" s="21">
        <v>123.06495350976442</v>
      </c>
      <c r="E299" s="21">
        <v>119.19672616450123</v>
      </c>
      <c r="F299" s="21">
        <v>119.78845841245418</v>
      </c>
      <c r="G299" s="21">
        <v>112.20304655523245</v>
      </c>
      <c r="H299" s="21">
        <v>139.5552806274419</v>
      </c>
      <c r="I299" s="21">
        <v>118.54173080039581</v>
      </c>
      <c r="J299" s="21">
        <v>114.11086172645845</v>
      </c>
      <c r="K299" s="21">
        <v>128.84408040940846</v>
      </c>
      <c r="L299" s="21">
        <v>149.66885375684629</v>
      </c>
      <c r="M299" s="21">
        <v>108.71061389523437</v>
      </c>
      <c r="N299" s="21">
        <v>148.11079222210034</v>
      </c>
      <c r="O299" s="21">
        <v>135.98680816207212</v>
      </c>
      <c r="P299" s="21">
        <v>225.16290518371596</v>
      </c>
      <c r="Q299" s="21">
        <v>219.90339019835082</v>
      </c>
      <c r="R299" s="21">
        <v>202.85492645416073</v>
      </c>
      <c r="S299" s="21">
        <v>108.29025172066979</v>
      </c>
    </row>
    <row r="300" spans="1:19">
      <c r="A300" s="9">
        <f t="shared" si="4"/>
        <v>41852</v>
      </c>
      <c r="B300" s="21">
        <v>159.25372742034151</v>
      </c>
      <c r="C300" s="21">
        <v>165.52532922348959</v>
      </c>
      <c r="D300" s="21">
        <v>119.72463163084434</v>
      </c>
      <c r="E300" s="21">
        <v>114.30997817997074</v>
      </c>
      <c r="F300" s="21">
        <v>114.20290111897754</v>
      </c>
      <c r="G300" s="21">
        <v>115.57552127091964</v>
      </c>
      <c r="H300" s="21">
        <v>137.40332059739552</v>
      </c>
      <c r="I300" s="21">
        <v>113.61750593676581</v>
      </c>
      <c r="J300" s="21">
        <v>108.93311576376472</v>
      </c>
      <c r="K300" s="21">
        <v>127.56867191136995</v>
      </c>
      <c r="L300" s="21">
        <v>148.71957426050906</v>
      </c>
      <c r="M300" s="21">
        <v>107.119902693752</v>
      </c>
      <c r="N300" s="21">
        <v>146.77439591863788</v>
      </c>
      <c r="O300" s="21">
        <v>136.67946418222303</v>
      </c>
      <c r="P300" s="21">
        <v>216.43155005997886</v>
      </c>
      <c r="Q300" s="21">
        <v>210.83246457564834</v>
      </c>
      <c r="R300" s="21">
        <v>203.11846327904567</v>
      </c>
      <c r="S300" s="21">
        <v>108.14457032781739</v>
      </c>
    </row>
    <row r="301" spans="1:19">
      <c r="A301" s="9">
        <f t="shared" si="4"/>
        <v>41883</v>
      </c>
      <c r="B301" s="21">
        <v>154.16791800763656</v>
      </c>
      <c r="C301" s="21">
        <v>160.38225501446641</v>
      </c>
      <c r="D301" s="21">
        <v>116.17156498881131</v>
      </c>
      <c r="E301" s="21">
        <v>112.23043961548005</v>
      </c>
      <c r="F301" s="21">
        <v>112.02599069552654</v>
      </c>
      <c r="G301" s="21">
        <v>114.64682007735689</v>
      </c>
      <c r="H301" s="21">
        <v>131.51584539057868</v>
      </c>
      <c r="I301" s="21">
        <v>111.4684532616065</v>
      </c>
      <c r="J301" s="21">
        <v>106.31381865628842</v>
      </c>
      <c r="K301" s="21">
        <v>121.5290893166575</v>
      </c>
      <c r="L301" s="21">
        <v>141.533073191234</v>
      </c>
      <c r="M301" s="21">
        <v>102.18916504620123</v>
      </c>
      <c r="N301" s="21">
        <v>139.55429286350758</v>
      </c>
      <c r="O301" s="21">
        <v>137.3794097725723</v>
      </c>
      <c r="P301" s="21">
        <v>209.12866756368101</v>
      </c>
      <c r="Q301" s="21">
        <v>205.4575448597152</v>
      </c>
      <c r="R301" s="21">
        <v>201.25349245265588</v>
      </c>
      <c r="S301" s="21">
        <v>103.49127568235195</v>
      </c>
    </row>
    <row r="302" spans="1:19">
      <c r="A302" s="9">
        <f t="shared" si="4"/>
        <v>41913</v>
      </c>
      <c r="B302" s="21">
        <v>145.76538267124286</v>
      </c>
      <c r="C302" s="21">
        <v>151.17711840774075</v>
      </c>
      <c r="D302" s="21">
        <v>114.12512372571936</v>
      </c>
      <c r="E302" s="21">
        <v>111.93696294240375</v>
      </c>
      <c r="F302" s="21">
        <v>111.37120063426255</v>
      </c>
      <c r="G302" s="21">
        <v>118.62370400109761</v>
      </c>
      <c r="H302" s="21">
        <v>126.38126526971965</v>
      </c>
      <c r="I302" s="21">
        <v>111.00804034825762</v>
      </c>
      <c r="J302" s="21">
        <v>104.72412656803492</v>
      </c>
      <c r="K302" s="21">
        <v>117.17142165059508</v>
      </c>
      <c r="L302" s="21">
        <v>134.98948135378507</v>
      </c>
      <c r="M302" s="21">
        <v>99.94485680897256</v>
      </c>
      <c r="N302" s="21">
        <v>132.73071441145089</v>
      </c>
      <c r="O302" s="21">
        <v>134.20019422375915</v>
      </c>
      <c r="P302" s="21">
        <v>191.53220526423581</v>
      </c>
      <c r="Q302" s="21">
        <v>186.23066806036317</v>
      </c>
      <c r="R302" s="21">
        <v>197.51442788254556</v>
      </c>
      <c r="S302" s="21">
        <v>100.27554608449267</v>
      </c>
    </row>
    <row r="303" spans="1:19">
      <c r="A303" s="9">
        <f t="shared" si="4"/>
        <v>41944</v>
      </c>
      <c r="B303" s="21">
        <v>139.11886447770777</v>
      </c>
      <c r="C303" s="21">
        <v>144.1972640698375</v>
      </c>
      <c r="D303" s="21">
        <v>112.66608938345148</v>
      </c>
      <c r="E303" s="21">
        <v>111.23782584952495</v>
      </c>
      <c r="F303" s="21">
        <v>111.11127218400821</v>
      </c>
      <c r="G303" s="21">
        <v>112.73356280329814</v>
      </c>
      <c r="H303" s="21">
        <v>124.99027336421055</v>
      </c>
      <c r="I303" s="21">
        <v>110.48495308773153</v>
      </c>
      <c r="J303" s="21">
        <v>105.39196950395225</v>
      </c>
      <c r="K303" s="21">
        <v>114.12995031301296</v>
      </c>
      <c r="L303" s="21">
        <v>132.78014980329681</v>
      </c>
      <c r="M303" s="21">
        <v>96.098869702644905</v>
      </c>
      <c r="N303" s="21">
        <v>130.22176378154452</v>
      </c>
      <c r="O303" s="21">
        <v>134.67996246258176</v>
      </c>
      <c r="P303" s="21">
        <v>177.38212480423113</v>
      </c>
      <c r="Q303" s="21">
        <v>168.68200183494076</v>
      </c>
      <c r="R303" s="21">
        <v>206.68628932264454</v>
      </c>
      <c r="S303" s="21">
        <v>99.000730570602727</v>
      </c>
    </row>
    <row r="304" spans="1:19">
      <c r="A304" s="9">
        <f t="shared" si="4"/>
        <v>41974</v>
      </c>
      <c r="B304" s="21">
        <v>125.92723660928961</v>
      </c>
      <c r="C304" s="21">
        <v>129.27773225260376</v>
      </c>
      <c r="D304" s="21">
        <v>110.84746994647861</v>
      </c>
      <c r="E304" s="21">
        <v>109.11380625607059</v>
      </c>
      <c r="F304" s="21">
        <v>109.18427183250064</v>
      </c>
      <c r="G304" s="21">
        <v>108.2809740642488</v>
      </c>
      <c r="H304" s="21">
        <v>119.99124696305208</v>
      </c>
      <c r="I304" s="21">
        <v>108.60784687278056</v>
      </c>
      <c r="J304" s="21">
        <v>105.18516648915609</v>
      </c>
      <c r="K304" s="21">
        <v>111.77431264594547</v>
      </c>
      <c r="L304" s="21">
        <v>125.87632448104586</v>
      </c>
      <c r="M304" s="21">
        <v>98.140436381001038</v>
      </c>
      <c r="N304" s="21">
        <v>124.27791726087852</v>
      </c>
      <c r="O304" s="21">
        <v>140.32692961747983</v>
      </c>
      <c r="P304" s="21">
        <v>147.73973210083631</v>
      </c>
      <c r="Q304" s="21">
        <v>133.67400443089517</v>
      </c>
      <c r="R304" s="21">
        <v>199.83573409165456</v>
      </c>
      <c r="S304" s="21">
        <v>98.836183032454386</v>
      </c>
    </row>
    <row r="305" spans="1:19">
      <c r="A305" s="9">
        <f t="shared" si="4"/>
        <v>42005</v>
      </c>
      <c r="B305" s="21">
        <v>113.97475843925518</v>
      </c>
      <c r="C305" s="21">
        <v>115.52396692235287</v>
      </c>
      <c r="D305" s="21">
        <v>108.40150687528016</v>
      </c>
      <c r="E305" s="21">
        <v>104.8046986529274</v>
      </c>
      <c r="F305" s="21">
        <v>104.53710202094211</v>
      </c>
      <c r="G305" s="21">
        <v>107.96742151465915</v>
      </c>
      <c r="H305" s="21">
        <v>115.69766884245081</v>
      </c>
      <c r="I305" s="21">
        <v>104.72685174688198</v>
      </c>
      <c r="J305" s="21">
        <v>104.20023817463237</v>
      </c>
      <c r="K305" s="21">
        <v>110.9508463681903</v>
      </c>
      <c r="L305" s="21">
        <v>120.26763392248431</v>
      </c>
      <c r="M305" s="21">
        <v>101.94334231931036</v>
      </c>
      <c r="N305" s="21">
        <v>119.57867316275421</v>
      </c>
      <c r="O305" s="21">
        <v>144.4976877140345</v>
      </c>
      <c r="P305" s="21">
        <v>122.03632380234936</v>
      </c>
      <c r="Q305" s="21">
        <v>107.76579939299295</v>
      </c>
      <c r="R305" s="21">
        <v>180.53809167599582</v>
      </c>
      <c r="S305" s="21">
        <v>92.887608021611413</v>
      </c>
    </row>
    <row r="306" spans="1:19">
      <c r="A306" s="9">
        <f t="shared" si="4"/>
        <v>42036</v>
      </c>
      <c r="B306" s="21">
        <v>117.19888192544225</v>
      </c>
      <c r="C306" s="21">
        <v>119.3362970425141</v>
      </c>
      <c r="D306" s="21">
        <v>105.82742367337781</v>
      </c>
      <c r="E306" s="21">
        <v>101.9855974288631</v>
      </c>
      <c r="F306" s="21">
        <v>101.53081644144117</v>
      </c>
      <c r="G306" s="21">
        <v>107.36065097617085</v>
      </c>
      <c r="H306" s="21">
        <v>112.89139939436927</v>
      </c>
      <c r="I306" s="21">
        <v>102.44493355949409</v>
      </c>
      <c r="J306" s="21">
        <v>105.55222006454383</v>
      </c>
      <c r="K306" s="21">
        <v>107.74770725416764</v>
      </c>
      <c r="L306" s="21">
        <v>115.80855490697304</v>
      </c>
      <c r="M306" s="21">
        <v>99.954450464000232</v>
      </c>
      <c r="N306" s="21">
        <v>115.38265661062016</v>
      </c>
      <c r="O306" s="21">
        <v>144.14044492464663</v>
      </c>
      <c r="P306" s="21">
        <v>133.64740446572588</v>
      </c>
      <c r="Q306" s="21">
        <v>125.13506637887087</v>
      </c>
      <c r="R306" s="21">
        <v>172.95192999765956</v>
      </c>
      <c r="S306" s="21">
        <v>99.392645595714058</v>
      </c>
    </row>
    <row r="307" spans="1:19">
      <c r="A307" s="9">
        <f t="shared" si="4"/>
        <v>42064</v>
      </c>
      <c r="B307" s="21">
        <v>113.24824656657844</v>
      </c>
      <c r="C307" s="21">
        <v>115.37877944136498</v>
      </c>
      <c r="D307" s="21">
        <v>102.83708451804605</v>
      </c>
      <c r="E307" s="21">
        <v>99.128797086404376</v>
      </c>
      <c r="F307" s="21">
        <v>98.953824602244197</v>
      </c>
      <c r="G307" s="21">
        <v>101.19679574439121</v>
      </c>
      <c r="H307" s="21">
        <v>110.18728836056644</v>
      </c>
      <c r="I307" s="21">
        <v>99.567058136719041</v>
      </c>
      <c r="J307" s="21">
        <v>102.53177734019415</v>
      </c>
      <c r="K307" s="21">
        <v>104.5207982794965</v>
      </c>
      <c r="L307" s="21">
        <v>113.23017846738291</v>
      </c>
      <c r="M307" s="21">
        <v>96.10053787874665</v>
      </c>
      <c r="N307" s="21">
        <v>112.69176168041055</v>
      </c>
      <c r="O307" s="21">
        <v>141.93693674736082</v>
      </c>
      <c r="P307" s="21">
        <v>128.30772529216256</v>
      </c>
      <c r="Q307" s="21">
        <v>122.65338847607262</v>
      </c>
      <c r="R307" s="21">
        <v>165.47107037471687</v>
      </c>
      <c r="S307" s="21">
        <v>95.974731528829082</v>
      </c>
    </row>
    <row r="308" spans="1:19">
      <c r="A308" s="9">
        <f t="shared" si="4"/>
        <v>42095</v>
      </c>
      <c r="B308" s="21">
        <v>114.58037394760849</v>
      </c>
      <c r="C308" s="21">
        <v>116.68688248255577</v>
      </c>
      <c r="D308" s="21">
        <v>103.55465029491113</v>
      </c>
      <c r="E308" s="21">
        <v>100.90434170621694</v>
      </c>
      <c r="F308" s="21">
        <v>100.88369550291691</v>
      </c>
      <c r="G308" s="21">
        <v>101.14835904941209</v>
      </c>
      <c r="H308" s="21">
        <v>109.1158385143998</v>
      </c>
      <c r="I308" s="21">
        <v>101.3277647950089</v>
      </c>
      <c r="J308" s="21">
        <v>104.19210914328018</v>
      </c>
      <c r="K308" s="21">
        <v>104.14981632681534</v>
      </c>
      <c r="L308" s="21">
        <v>111.07290804929457</v>
      </c>
      <c r="M308" s="21">
        <v>97.456546102760825</v>
      </c>
      <c r="N308" s="21">
        <v>110.77193239537911</v>
      </c>
      <c r="O308" s="21">
        <v>136.76067528292296</v>
      </c>
      <c r="P308" s="21">
        <v>130.52880026236085</v>
      </c>
      <c r="Q308" s="21">
        <v>133.62960194900907</v>
      </c>
      <c r="R308" s="21">
        <v>139.86804694536869</v>
      </c>
      <c r="S308" s="21">
        <v>89.953448046251467</v>
      </c>
    </row>
    <row r="309" spans="1:19">
      <c r="A309" s="9">
        <f t="shared" si="4"/>
        <v>42125</v>
      </c>
      <c r="B309" s="21">
        <v>118.11936749804629</v>
      </c>
      <c r="C309" s="21">
        <v>120.61588898829763</v>
      </c>
      <c r="D309" s="21">
        <v>104.73224704974697</v>
      </c>
      <c r="E309" s="21">
        <v>100.81282881003709</v>
      </c>
      <c r="F309" s="21">
        <v>100.7662559194556</v>
      </c>
      <c r="G309" s="21">
        <v>101.36327350243172</v>
      </c>
      <c r="H309" s="21">
        <v>113.91976344856896</v>
      </c>
      <c r="I309" s="21">
        <v>101.49752054680127</v>
      </c>
      <c r="J309" s="21">
        <v>106.12927766733068</v>
      </c>
      <c r="K309" s="21">
        <v>107.20718390034152</v>
      </c>
      <c r="L309" s="21">
        <v>117.01630292815963</v>
      </c>
      <c r="M309" s="21">
        <v>97.723691994561776</v>
      </c>
      <c r="N309" s="21">
        <v>116.22747328676427</v>
      </c>
      <c r="O309" s="21">
        <v>133.75336920799427</v>
      </c>
      <c r="P309" s="21">
        <v>137.48349367802589</v>
      </c>
      <c r="Q309" s="21">
        <v>143.18785414710524</v>
      </c>
      <c r="R309" s="21">
        <v>134.25456495220067</v>
      </c>
      <c r="S309" s="21">
        <v>95.929450558304126</v>
      </c>
    </row>
    <row r="310" spans="1:19">
      <c r="A310" s="9">
        <f t="shared" si="4"/>
        <v>42156</v>
      </c>
      <c r="B310" s="21">
        <v>115.7426433748409</v>
      </c>
      <c r="C310" s="21">
        <v>118.12931394277047</v>
      </c>
      <c r="D310" s="21">
        <v>103.01220102459381</v>
      </c>
      <c r="E310" s="21">
        <v>100.69094940186709</v>
      </c>
      <c r="F310" s="21">
        <v>100.30179498230194</v>
      </c>
      <c r="G310" s="21">
        <v>105.29036296836608</v>
      </c>
      <c r="H310" s="21">
        <v>109.6080997350381</v>
      </c>
      <c r="I310" s="21">
        <v>101.07567526647757</v>
      </c>
      <c r="J310" s="21">
        <v>103.67824320644263</v>
      </c>
      <c r="K310" s="21">
        <v>103.75700352506264</v>
      </c>
      <c r="L310" s="21">
        <v>111.96508174677936</v>
      </c>
      <c r="M310" s="21">
        <v>95.82140368608583</v>
      </c>
      <c r="N310" s="21">
        <v>111.12413766927374</v>
      </c>
      <c r="O310" s="21">
        <v>129.17744085456647</v>
      </c>
      <c r="P310" s="21">
        <v>134.15690153806344</v>
      </c>
      <c r="Q310" s="21">
        <v>140.51945198039996</v>
      </c>
      <c r="R310" s="21">
        <v>131.43639454695472</v>
      </c>
      <c r="S310" s="21">
        <v>92.30309120645083</v>
      </c>
    </row>
    <row r="311" spans="1:19">
      <c r="A311" s="9">
        <f t="shared" si="4"/>
        <v>42186</v>
      </c>
      <c r="B311" s="21">
        <v>109.32753914224379</v>
      </c>
      <c r="C311" s="21">
        <v>111.45488940928023</v>
      </c>
      <c r="D311" s="21">
        <v>99.91751262575437</v>
      </c>
      <c r="E311" s="21">
        <v>100.57125327973975</v>
      </c>
      <c r="F311" s="21">
        <v>100.15579315832466</v>
      </c>
      <c r="G311" s="21">
        <v>105.48157376617101</v>
      </c>
      <c r="H311" s="21">
        <v>101.65798380154193</v>
      </c>
      <c r="I311" s="21">
        <v>100.56242802702123</v>
      </c>
      <c r="J311" s="21">
        <v>100.50272754441752</v>
      </c>
      <c r="K311" s="21">
        <v>96.571106397146082</v>
      </c>
      <c r="L311" s="21">
        <v>102.11717167630133</v>
      </c>
      <c r="M311" s="21">
        <v>91.209150340273325</v>
      </c>
      <c r="N311" s="21">
        <v>101.46148703563635</v>
      </c>
      <c r="O311" s="21">
        <v>128.16929100203203</v>
      </c>
      <c r="P311" s="21">
        <v>122.93890101248108</v>
      </c>
      <c r="Q311" s="21">
        <v>125.86995833130446</v>
      </c>
      <c r="R311" s="21">
        <v>129.59268661304753</v>
      </c>
      <c r="S311" s="21">
        <v>90.269466610580338</v>
      </c>
    </row>
    <row r="312" spans="1:19">
      <c r="A312" s="9">
        <f t="shared" si="4"/>
        <v>42217</v>
      </c>
      <c r="B312" s="21">
        <v>102.35465976056071</v>
      </c>
      <c r="C312" s="21">
        <v>103.80700722936636</v>
      </c>
      <c r="D312" s="21">
        <v>97.603360796301914</v>
      </c>
      <c r="E312" s="21">
        <v>97.575389688963256</v>
      </c>
      <c r="F312" s="21">
        <v>97.086476707333503</v>
      </c>
      <c r="G312" s="21">
        <v>103.35384905493471</v>
      </c>
      <c r="H312" s="21">
        <v>99.747665582190194</v>
      </c>
      <c r="I312" s="21">
        <v>97.549146201903781</v>
      </c>
      <c r="J312" s="21">
        <v>97.371616006155193</v>
      </c>
      <c r="K312" s="21">
        <v>95.240250709127153</v>
      </c>
      <c r="L312" s="21">
        <v>100.69209081115039</v>
      </c>
      <c r="M312" s="21">
        <v>89.969391895759998</v>
      </c>
      <c r="N312" s="21">
        <v>99.868189745638091</v>
      </c>
      <c r="O312" s="21">
        <v>126.77807137895108</v>
      </c>
      <c r="P312" s="21">
        <v>109.2272917816165</v>
      </c>
      <c r="Q312" s="21">
        <v>105.78819320986129</v>
      </c>
      <c r="R312" s="21">
        <v>132.4685616736499</v>
      </c>
      <c r="S312" s="21">
        <v>87.285319416772651</v>
      </c>
    </row>
    <row r="313" spans="1:19">
      <c r="A313" s="9">
        <f t="shared" si="4"/>
        <v>42248</v>
      </c>
      <c r="B313" s="21">
        <v>101.88182667937741</v>
      </c>
      <c r="C313" s="21">
        <v>103.2167301136255</v>
      </c>
      <c r="D313" s="21">
        <v>96.943308863217979</v>
      </c>
      <c r="E313" s="21">
        <v>96.609030586021603</v>
      </c>
      <c r="F313" s="21">
        <v>96.290023318034102</v>
      </c>
      <c r="G313" s="21">
        <v>100.37937542196894</v>
      </c>
      <c r="H313" s="21">
        <v>99.070157652246053</v>
      </c>
      <c r="I313" s="21">
        <v>96.371354785114931</v>
      </c>
      <c r="J313" s="21">
        <v>94.763541335474457</v>
      </c>
      <c r="K313" s="21">
        <v>95.493332763092184</v>
      </c>
      <c r="L313" s="21">
        <v>100.78193889706249</v>
      </c>
      <c r="M313" s="21">
        <v>90.380289142953757</v>
      </c>
      <c r="N313" s="21">
        <v>99.868815745558123</v>
      </c>
      <c r="O313" s="21">
        <v>124.59485397738733</v>
      </c>
      <c r="P313" s="21">
        <v>109.02526596518248</v>
      </c>
      <c r="Q313" s="21">
        <v>105.61855474078784</v>
      </c>
      <c r="R313" s="21">
        <v>128.99726451854963</v>
      </c>
      <c r="S313" s="21">
        <v>84.02579658814841</v>
      </c>
    </row>
    <row r="314" spans="1:19">
      <c r="A314" s="9">
        <f t="shared" si="4"/>
        <v>42278</v>
      </c>
      <c r="B314" s="21">
        <v>102.04072524368593</v>
      </c>
      <c r="C314" s="21">
        <v>103.07901365668818</v>
      </c>
      <c r="D314" s="21">
        <v>97.299200538783694</v>
      </c>
      <c r="E314" s="21">
        <v>97.237412230886406</v>
      </c>
      <c r="F314" s="21">
        <v>96.824129614598888</v>
      </c>
      <c r="G314" s="21">
        <v>102.12199679830552</v>
      </c>
      <c r="H314" s="21">
        <v>97.223120562852799</v>
      </c>
      <c r="I314" s="21">
        <v>96.959749345696395</v>
      </c>
      <c r="J314" s="21">
        <v>95.081433927923953</v>
      </c>
      <c r="K314" s="21">
        <v>95.772531791977883</v>
      </c>
      <c r="L314" s="21">
        <v>98.074391896142444</v>
      </c>
      <c r="M314" s="21">
        <v>93.547085082220022</v>
      </c>
      <c r="N314" s="21">
        <v>98.125235124680387</v>
      </c>
      <c r="O314" s="21">
        <v>121.65742445002769</v>
      </c>
      <c r="P314" s="21">
        <v>108.89921904941552</v>
      </c>
      <c r="Q314" s="21">
        <v>107.380754964231</v>
      </c>
      <c r="R314" s="21">
        <v>123.62287880087595</v>
      </c>
      <c r="S314" s="21">
        <v>79.575492667997395</v>
      </c>
    </row>
    <row r="315" spans="1:19">
      <c r="A315" s="9">
        <f t="shared" si="4"/>
        <v>42309</v>
      </c>
      <c r="B315" s="21">
        <v>96.009323057638056</v>
      </c>
      <c r="C315" s="21">
        <v>97.031757983799352</v>
      </c>
      <c r="D315" s="21">
        <v>92.375094174089142</v>
      </c>
      <c r="E315" s="21">
        <v>93.416057332263804</v>
      </c>
      <c r="F315" s="21">
        <v>92.771726312220267</v>
      </c>
      <c r="G315" s="21">
        <v>101.03140148848836</v>
      </c>
      <c r="H315" s="21">
        <v>91.389455380173445</v>
      </c>
      <c r="I315" s="21">
        <v>93.535926383195019</v>
      </c>
      <c r="J315" s="21">
        <v>94.346808566183711</v>
      </c>
      <c r="K315" s="21">
        <v>88.639300836776997</v>
      </c>
      <c r="L315" s="21">
        <v>90.213975294242474</v>
      </c>
      <c r="M315" s="21">
        <v>87.116899851605766</v>
      </c>
      <c r="N315" s="21">
        <v>89.987753176876012</v>
      </c>
      <c r="O315" s="21">
        <v>115.93439131581593</v>
      </c>
      <c r="P315" s="21">
        <v>101.26614187388378</v>
      </c>
      <c r="Q315" s="21">
        <v>100.09792045517231</v>
      </c>
      <c r="R315" s="21">
        <v>116.78336025913467</v>
      </c>
      <c r="S315" s="21">
        <v>82.382455197997103</v>
      </c>
    </row>
    <row r="316" spans="1:19">
      <c r="A316" s="9">
        <f t="shared" si="4"/>
        <v>42339</v>
      </c>
      <c r="B316" s="21">
        <v>90.572879606673837</v>
      </c>
      <c r="C316" s="21">
        <v>91.138424937091841</v>
      </c>
      <c r="D316" s="21">
        <v>90.783664350311966</v>
      </c>
      <c r="E316" s="21">
        <v>92.93355244377301</v>
      </c>
      <c r="F316" s="21">
        <v>92.353059783830545</v>
      </c>
      <c r="G316" s="21">
        <v>99.794391435081067</v>
      </c>
      <c r="H316" s="21">
        <v>88.226191087596433</v>
      </c>
      <c r="I316" s="21">
        <v>93.044165177609983</v>
      </c>
      <c r="J316" s="21">
        <v>93.792430842377328</v>
      </c>
      <c r="K316" s="21">
        <v>85.780243356752834</v>
      </c>
      <c r="L316" s="21">
        <v>86.013738406525448</v>
      </c>
      <c r="M316" s="21">
        <v>85.554499494508079</v>
      </c>
      <c r="N316" s="21">
        <v>85.947152510442166</v>
      </c>
      <c r="O316" s="21">
        <v>109.56251813664879</v>
      </c>
      <c r="P316" s="21">
        <v>90.267984884288467</v>
      </c>
      <c r="Q316" s="21">
        <v>84.96958379703436</v>
      </c>
      <c r="R316" s="21">
        <v>116.63483325088984</v>
      </c>
      <c r="S316" s="21">
        <v>78.560504451084427</v>
      </c>
    </row>
    <row r="317" spans="1:19">
      <c r="A317" s="9">
        <f t="shared" si="4"/>
        <v>42370</v>
      </c>
      <c r="B317" s="21">
        <v>85.273184937139831</v>
      </c>
      <c r="C317" s="21">
        <v>84.975252701850181</v>
      </c>
      <c r="D317" s="21">
        <v>90.553414394011796</v>
      </c>
      <c r="E317" s="21">
        <v>92.384599333330357</v>
      </c>
      <c r="F317" s="21">
        <v>92.319382649549951</v>
      </c>
      <c r="G317" s="21">
        <v>93.155394896893156</v>
      </c>
      <c r="H317" s="21">
        <v>87.697345001360034</v>
      </c>
      <c r="I317" s="21">
        <v>92.570962842957044</v>
      </c>
      <c r="J317" s="21">
        <v>93.831662317438372</v>
      </c>
      <c r="K317" s="21">
        <v>86.330396980173973</v>
      </c>
      <c r="L317" s="21">
        <v>85.259094514423865</v>
      </c>
      <c r="M317" s="21">
        <v>87.366136095355543</v>
      </c>
      <c r="N317" s="21">
        <v>85.055788845371396</v>
      </c>
      <c r="O317" s="21">
        <v>104.4190015490543</v>
      </c>
      <c r="P317" s="21">
        <v>77.635468532257349</v>
      </c>
      <c r="Q317" s="21">
        <v>70.637168030210603</v>
      </c>
      <c r="R317" s="21">
        <v>106.03311321357403</v>
      </c>
      <c r="S317" s="21">
        <v>77.446092910731096</v>
      </c>
    </row>
    <row r="318" spans="1:19">
      <c r="A318" s="9">
        <f t="shared" si="4"/>
        <v>42401</v>
      </c>
      <c r="B318" s="21">
        <v>87.015088863595835</v>
      </c>
      <c r="C318" s="21">
        <v>85.984981413694499</v>
      </c>
      <c r="D318" s="21">
        <v>93.393595414896851</v>
      </c>
      <c r="E318" s="21">
        <v>93.492668099847634</v>
      </c>
      <c r="F318" s="21">
        <v>93.628967327861588</v>
      </c>
      <c r="G318" s="21">
        <v>91.881748405986158</v>
      </c>
      <c r="H318" s="21">
        <v>90.780269182946626</v>
      </c>
      <c r="I318" s="21">
        <v>93.615963450466509</v>
      </c>
      <c r="J318" s="21">
        <v>94.450023637691686</v>
      </c>
      <c r="K318" s="21">
        <v>92.312169792210142</v>
      </c>
      <c r="L318" s="21">
        <v>89.321625926464662</v>
      </c>
      <c r="M318" s="21">
        <v>95.203438464172123</v>
      </c>
      <c r="N318" s="21">
        <v>89.232698691575365</v>
      </c>
      <c r="O318" s="21">
        <v>102.27082632196971</v>
      </c>
      <c r="P318" s="21">
        <v>77.788742826281222</v>
      </c>
      <c r="Q318" s="21">
        <v>72.032604435049109</v>
      </c>
      <c r="R318" s="21">
        <v>97.687611495937119</v>
      </c>
      <c r="S318" s="21">
        <v>79.015449878462633</v>
      </c>
    </row>
    <row r="319" spans="1:19">
      <c r="A319" s="9">
        <f t="shared" si="4"/>
        <v>42430</v>
      </c>
      <c r="B319" s="21">
        <v>93.596656762808848</v>
      </c>
      <c r="C319" s="21">
        <v>92.890389250121899</v>
      </c>
      <c r="D319" s="21">
        <v>97.696997928536874</v>
      </c>
      <c r="E319" s="21">
        <v>96.928792152175234</v>
      </c>
      <c r="F319" s="21">
        <v>97.082943643197424</v>
      </c>
      <c r="G319" s="21">
        <v>95.106876677347188</v>
      </c>
      <c r="H319" s="21">
        <v>96.495027159196937</v>
      </c>
      <c r="I319" s="21">
        <v>96.735172215187802</v>
      </c>
      <c r="J319" s="21">
        <v>95.425384943537395</v>
      </c>
      <c r="K319" s="21">
        <v>97.995695836755317</v>
      </c>
      <c r="L319" s="21">
        <v>96.920185415412945</v>
      </c>
      <c r="M319" s="21">
        <v>99.035503218688092</v>
      </c>
      <c r="N319" s="21">
        <v>96.504713001286419</v>
      </c>
      <c r="O319" s="21">
        <v>111.54243311252441</v>
      </c>
      <c r="P319" s="21">
        <v>87.665618492049788</v>
      </c>
      <c r="Q319" s="21">
        <v>86.761425213766799</v>
      </c>
      <c r="R319" s="21">
        <v>90.878170312776547</v>
      </c>
      <c r="S319" s="21">
        <v>81.12770971903862</v>
      </c>
    </row>
    <row r="320" spans="1:19">
      <c r="A320" s="9">
        <f t="shared" si="4"/>
        <v>42461</v>
      </c>
      <c r="B320" s="21">
        <v>96.927943058682288</v>
      </c>
      <c r="C320" s="21">
        <v>96.635485899797317</v>
      </c>
      <c r="D320" s="21">
        <v>99.958908803190354</v>
      </c>
      <c r="E320" s="21">
        <v>99.694675383890797</v>
      </c>
      <c r="F320" s="21">
        <v>100.06911140313098</v>
      </c>
      <c r="G320" s="21">
        <v>95.269218495585065</v>
      </c>
      <c r="H320" s="21">
        <v>99.418000398673129</v>
      </c>
      <c r="I320" s="21">
        <v>99.772833994277448</v>
      </c>
      <c r="J320" s="21">
        <v>100.30155616332246</v>
      </c>
      <c r="K320" s="21">
        <v>99.112795849270213</v>
      </c>
      <c r="L320" s="21">
        <v>99.066807240186719</v>
      </c>
      <c r="M320" s="21">
        <v>99.157257803576655</v>
      </c>
      <c r="N320" s="21">
        <v>98.78913061890475</v>
      </c>
      <c r="O320" s="21">
        <v>113.42154404219026</v>
      </c>
      <c r="P320" s="21">
        <v>92.543728891750902</v>
      </c>
      <c r="Q320" s="21">
        <v>93.948908100849167</v>
      </c>
      <c r="R320" s="21">
        <v>87.016344659692294</v>
      </c>
      <c r="S320" s="21">
        <v>80.031110744855567</v>
      </c>
    </row>
    <row r="321" spans="1:19">
      <c r="A321" s="9">
        <f t="shared" si="4"/>
        <v>42491</v>
      </c>
      <c r="B321" s="21">
        <v>100.83228823346602</v>
      </c>
      <c r="C321" s="21">
        <v>100.82624067772868</v>
      </c>
      <c r="D321" s="21">
        <v>100.38196679705781</v>
      </c>
      <c r="E321" s="21">
        <v>101.11756989518969</v>
      </c>
      <c r="F321" s="21">
        <v>101.44126822142564</v>
      </c>
      <c r="G321" s="21">
        <v>97.291781472161574</v>
      </c>
      <c r="H321" s="21">
        <v>97.270040125454614</v>
      </c>
      <c r="I321" s="21">
        <v>101.08885949995437</v>
      </c>
      <c r="J321" s="21">
        <v>100.89464132785687</v>
      </c>
      <c r="K321" s="21">
        <v>98.325809556923815</v>
      </c>
      <c r="L321" s="21">
        <v>95.82934425151565</v>
      </c>
      <c r="M321" s="21">
        <v>100.7394012821089</v>
      </c>
      <c r="N321" s="21">
        <v>96.255847106850595</v>
      </c>
      <c r="O321" s="21">
        <v>112.11845236779203</v>
      </c>
      <c r="P321" s="21">
        <v>101.48366663480596</v>
      </c>
      <c r="Q321" s="21">
        <v>105.37698670248695</v>
      </c>
      <c r="R321" s="21">
        <v>88.32224325601004</v>
      </c>
      <c r="S321" s="21">
        <v>80.38815242032166</v>
      </c>
    </row>
    <row r="322" spans="1:19">
      <c r="A322" s="9">
        <f t="shared" si="4"/>
        <v>42522</v>
      </c>
      <c r="B322" s="21">
        <v>103.51505789682481</v>
      </c>
      <c r="C322" s="21">
        <v>103.65838750549015</v>
      </c>
      <c r="D322" s="21">
        <v>101.31803795576793</v>
      </c>
      <c r="E322" s="21">
        <v>103.37167543740985</v>
      </c>
      <c r="F322" s="21">
        <v>103.57827172650637</v>
      </c>
      <c r="G322" s="21">
        <v>100.92991523352811</v>
      </c>
      <c r="H322" s="21">
        <v>96.587246901992231</v>
      </c>
      <c r="I322" s="21">
        <v>103.00768306834127</v>
      </c>
      <c r="J322" s="21">
        <v>100.54537169998822</v>
      </c>
      <c r="K322" s="21">
        <v>98.435828599087642</v>
      </c>
      <c r="L322" s="21">
        <v>95.013983045756376</v>
      </c>
      <c r="M322" s="21">
        <v>101.74408130922558</v>
      </c>
      <c r="N322" s="21">
        <v>95.353213733422209</v>
      </c>
      <c r="O322" s="21">
        <v>105.12198908950772</v>
      </c>
      <c r="P322" s="21">
        <v>106.69299086029197</v>
      </c>
      <c r="Q322" s="21">
        <v>110.2494047082842</v>
      </c>
      <c r="R322" s="21">
        <v>96.919040000081651</v>
      </c>
      <c r="S322" s="21">
        <v>85.188734179788796</v>
      </c>
    </row>
    <row r="323" spans="1:19">
      <c r="A323" s="9">
        <f t="shared" si="4"/>
        <v>42552</v>
      </c>
      <c r="B323" s="21">
        <v>102.79446809443684</v>
      </c>
      <c r="C323" s="21">
        <v>102.30417645100526</v>
      </c>
      <c r="D323" s="21">
        <v>103.5008816495896</v>
      </c>
      <c r="E323" s="21">
        <v>103.85914824913134</v>
      </c>
      <c r="F323" s="21">
        <v>103.88291064856783</v>
      </c>
      <c r="G323" s="21">
        <v>103.57830060396559</v>
      </c>
      <c r="H323" s="21">
        <v>101.03439501949124</v>
      </c>
      <c r="I323" s="21">
        <v>103.68761689639119</v>
      </c>
      <c r="J323" s="21">
        <v>102.527253010297</v>
      </c>
      <c r="K323" s="21">
        <v>104.14990379869982</v>
      </c>
      <c r="L323" s="21">
        <v>100.44101819604782</v>
      </c>
      <c r="M323" s="21">
        <v>107.73566787113727</v>
      </c>
      <c r="N323" s="21">
        <v>101.74155116772805</v>
      </c>
      <c r="O323" s="21">
        <v>92.377712557602393</v>
      </c>
      <c r="P323" s="21">
        <v>101.7726590153257</v>
      </c>
      <c r="Q323" s="21">
        <v>103.10339612022467</v>
      </c>
      <c r="R323" s="21">
        <v>99.827878392736565</v>
      </c>
      <c r="S323" s="21">
        <v>94.610285848652325</v>
      </c>
    </row>
    <row r="324" spans="1:19">
      <c r="A324" s="9">
        <f t="shared" si="4"/>
        <v>42583</v>
      </c>
      <c r="B324" s="21">
        <v>103.15624214909143</v>
      </c>
      <c r="C324" s="21">
        <v>102.67278112282776</v>
      </c>
      <c r="D324" s="21">
        <v>103.00410134657891</v>
      </c>
      <c r="E324" s="21">
        <v>102.17781904503782</v>
      </c>
      <c r="F324" s="21">
        <v>102.12454834463537</v>
      </c>
      <c r="G324" s="21">
        <v>102.80742510836298</v>
      </c>
      <c r="H324" s="21">
        <v>102.04951024959234</v>
      </c>
      <c r="I324" s="21">
        <v>102.09927717986375</v>
      </c>
      <c r="J324" s="21">
        <v>101.5679623943237</v>
      </c>
      <c r="K324" s="21">
        <v>105.30251182301274</v>
      </c>
      <c r="L324" s="21">
        <v>102.24091448124405</v>
      </c>
      <c r="M324" s="21">
        <v>108.26247525368171</v>
      </c>
      <c r="N324" s="21">
        <v>103.58244900337338</v>
      </c>
      <c r="O324" s="21">
        <v>91.959948177425517</v>
      </c>
      <c r="P324" s="21">
        <v>103.37630991559524</v>
      </c>
      <c r="Q324" s="21">
        <v>103.87495896182111</v>
      </c>
      <c r="R324" s="21">
        <v>101.33722963895947</v>
      </c>
      <c r="S324" s="21">
        <v>102.07694135872039</v>
      </c>
    </row>
    <row r="325" spans="1:19">
      <c r="A325" s="9">
        <f t="shared" si="4"/>
        <v>42614</v>
      </c>
      <c r="B325" s="21">
        <v>103.17943979475993</v>
      </c>
      <c r="C325" s="21">
        <v>102.8350756900933</v>
      </c>
      <c r="D325" s="21">
        <v>102.17415664083653</v>
      </c>
      <c r="E325" s="21">
        <v>102.0120477452551</v>
      </c>
      <c r="F325" s="21">
        <v>101.70664702702703</v>
      </c>
      <c r="G325" s="21">
        <v>105.62157685764787</v>
      </c>
      <c r="H325" s="21">
        <v>100.41716083060747</v>
      </c>
      <c r="I325" s="21">
        <v>101.93947052824535</v>
      </c>
      <c r="J325" s="21">
        <v>101.44850499788579</v>
      </c>
      <c r="K325" s="21">
        <v>103.42095261913838</v>
      </c>
      <c r="L325" s="21">
        <v>100.00722517053428</v>
      </c>
      <c r="M325" s="21">
        <v>106.72135671613874</v>
      </c>
      <c r="N325" s="21">
        <v>101.15489886830854</v>
      </c>
      <c r="O325" s="21">
        <v>91.546908803969686</v>
      </c>
      <c r="P325" s="21">
        <v>104.63355607871797</v>
      </c>
      <c r="Q325" s="21">
        <v>104.23866227240639</v>
      </c>
      <c r="R325" s="21">
        <v>103.07894582445728</v>
      </c>
      <c r="S325" s="21">
        <v>106.87439027385119</v>
      </c>
    </row>
    <row r="326" spans="1:19">
      <c r="A326" s="9">
        <f t="shared" si="4"/>
        <v>42644</v>
      </c>
      <c r="B326" s="21">
        <v>106.72040335768754</v>
      </c>
      <c r="C326" s="21">
        <v>107.31548912440226</v>
      </c>
      <c r="D326" s="21">
        <v>100.81600760463952</v>
      </c>
      <c r="E326" s="21">
        <v>101.15400260949501</v>
      </c>
      <c r="F326" s="21">
        <v>100.64342220885253</v>
      </c>
      <c r="G326" s="21">
        <v>107.18854906056112</v>
      </c>
      <c r="H326" s="21">
        <v>100.98512786385206</v>
      </c>
      <c r="I326" s="21">
        <v>101.08532011939589</v>
      </c>
      <c r="J326" s="21">
        <v>100.62070137859465</v>
      </c>
      <c r="K326" s="21">
        <v>101.33830273136999</v>
      </c>
      <c r="L326" s="21">
        <v>101.12997903625592</v>
      </c>
      <c r="M326" s="21">
        <v>101.53971083650086</v>
      </c>
      <c r="N326" s="21">
        <v>101.2397113834931</v>
      </c>
      <c r="O326" s="21">
        <v>89.710120752855559</v>
      </c>
      <c r="P326" s="21">
        <v>115.26096029225083</v>
      </c>
      <c r="Q326" s="21">
        <v>116.37731292725242</v>
      </c>
      <c r="R326" s="21">
        <v>106.35795833806309</v>
      </c>
      <c r="S326" s="21">
        <v>133.55050971834245</v>
      </c>
    </row>
    <row r="327" spans="1:19">
      <c r="A327" s="9">
        <f t="shared" ref="A327:A390" si="5">EDATE(A326,1)</f>
        <v>42675</v>
      </c>
      <c r="B327" s="21">
        <v>105.52563922485358</v>
      </c>
      <c r="C327" s="21">
        <v>106.2627772066473</v>
      </c>
      <c r="D327" s="21">
        <v>103.50786848658916</v>
      </c>
      <c r="E327" s="21">
        <v>101.63554950741613</v>
      </c>
      <c r="F327" s="21">
        <v>101.19577735032286</v>
      </c>
      <c r="G327" s="21">
        <v>106.83321378619662</v>
      </c>
      <c r="H327" s="21">
        <v>111.62568560819314</v>
      </c>
      <c r="I327" s="21">
        <v>101.75222787155245</v>
      </c>
      <c r="J327" s="21">
        <v>102.54152590873068</v>
      </c>
      <c r="K327" s="21">
        <v>107.21436757248203</v>
      </c>
      <c r="L327" s="21">
        <v>115.2364308092223</v>
      </c>
      <c r="M327" s="21">
        <v>99.458607696643185</v>
      </c>
      <c r="N327" s="21">
        <v>113.84856304961312</v>
      </c>
      <c r="O327" s="21">
        <v>91.064132439129779</v>
      </c>
      <c r="P327" s="21">
        <v>108.44429281648429</v>
      </c>
      <c r="Q327" s="21">
        <v>106.85080353794815</v>
      </c>
      <c r="R327" s="21">
        <v>104.44185489878964</v>
      </c>
      <c r="S327" s="21">
        <v>149.03942626398683</v>
      </c>
    </row>
    <row r="328" spans="1:19">
      <c r="A328" s="9">
        <f t="shared" si="5"/>
        <v>42705</v>
      </c>
      <c r="B328" s="21">
        <v>111.46358762665315</v>
      </c>
      <c r="C328" s="21">
        <v>113.63896295634149</v>
      </c>
      <c r="D328" s="21">
        <v>103.69406297830433</v>
      </c>
      <c r="E328" s="21">
        <v>102.17145254182114</v>
      </c>
      <c r="F328" s="21">
        <v>102.3267494489226</v>
      </c>
      <c r="G328" s="21">
        <v>100.33599940176465</v>
      </c>
      <c r="H328" s="21">
        <v>115.64019165864022</v>
      </c>
      <c r="I328" s="21">
        <v>102.64461233336718</v>
      </c>
      <c r="J328" s="21">
        <v>105.84541222033332</v>
      </c>
      <c r="K328" s="21">
        <v>106.06126484087602</v>
      </c>
      <c r="L328" s="21">
        <v>119.5333919129355</v>
      </c>
      <c r="M328" s="21">
        <v>93.036363452771425</v>
      </c>
      <c r="N328" s="21">
        <v>117.24143453007322</v>
      </c>
      <c r="O328" s="21">
        <v>94.446930785978736</v>
      </c>
      <c r="P328" s="21">
        <v>122.70200564418877</v>
      </c>
      <c r="Q328" s="21">
        <v>126.54836898970041</v>
      </c>
      <c r="R328" s="21">
        <v>118.09960996892225</v>
      </c>
      <c r="S328" s="21">
        <v>130.65119668324857</v>
      </c>
    </row>
    <row r="329" spans="1:19">
      <c r="A329" s="9">
        <f t="shared" si="5"/>
        <v>42736</v>
      </c>
      <c r="B329" s="21">
        <v>115.70486980085693</v>
      </c>
      <c r="C329" s="21">
        <v>117.98656376032375</v>
      </c>
      <c r="D329" s="21">
        <v>107.32461280284846</v>
      </c>
      <c r="E329" s="21">
        <v>106.34357409389743</v>
      </c>
      <c r="F329" s="21">
        <v>106.5366290159841</v>
      </c>
      <c r="G329" s="21">
        <v>104.06185921907489</v>
      </c>
      <c r="H329" s="21">
        <v>118.09552992001204</v>
      </c>
      <c r="I329" s="21">
        <v>106.79664632176662</v>
      </c>
      <c r="J329" s="21">
        <v>109.86155919403919</v>
      </c>
      <c r="K329" s="21">
        <v>108.70206754045374</v>
      </c>
      <c r="L329" s="21">
        <v>121.36834449701475</v>
      </c>
      <c r="M329" s="21">
        <v>96.456264971104233</v>
      </c>
      <c r="N329" s="21">
        <v>119.34800215612817</v>
      </c>
      <c r="O329" s="21">
        <v>100.44691120817636</v>
      </c>
      <c r="P329" s="21">
        <v>127.82669648918761</v>
      </c>
      <c r="Q329" s="21">
        <v>128.24517461588863</v>
      </c>
      <c r="R329" s="21">
        <v>132.4796668971093</v>
      </c>
      <c r="S329" s="21">
        <v>132.04547277639486</v>
      </c>
    </row>
    <row r="330" spans="1:19">
      <c r="A330" s="9">
        <f t="shared" si="5"/>
        <v>42767</v>
      </c>
      <c r="B330" s="21">
        <v>116.33146076531679</v>
      </c>
      <c r="C330" s="21">
        <v>118.30576620436436</v>
      </c>
      <c r="D330" s="21">
        <v>109.91161229038818</v>
      </c>
      <c r="E330" s="21">
        <v>106.6250840743528</v>
      </c>
      <c r="F330" s="21">
        <v>107.02278794316925</v>
      </c>
      <c r="G330" s="21">
        <v>101.92462462247886</v>
      </c>
      <c r="H330" s="21">
        <v>123.82332412665647</v>
      </c>
      <c r="I330" s="21">
        <v>107.25236683567935</v>
      </c>
      <c r="J330" s="21">
        <v>111.49576753756379</v>
      </c>
      <c r="K330" s="21">
        <v>114.13509084094113</v>
      </c>
      <c r="L330" s="21">
        <v>128.72324522746189</v>
      </c>
      <c r="M330" s="21">
        <v>100.03121019146687</v>
      </c>
      <c r="N330" s="21">
        <v>126.47044647058607</v>
      </c>
      <c r="O330" s="21">
        <v>107.65527130178378</v>
      </c>
      <c r="P330" s="21">
        <v>125.61760683421686</v>
      </c>
      <c r="Q330" s="21">
        <v>129.47783902201817</v>
      </c>
      <c r="R330" s="21">
        <v>116.53825401435203</v>
      </c>
      <c r="S330" s="21">
        <v>125.78329253444302</v>
      </c>
    </row>
    <row r="331" spans="1:19">
      <c r="A331" s="9">
        <f t="shared" si="5"/>
        <v>42795</v>
      </c>
      <c r="B331" s="21">
        <v>110.84222873838945</v>
      </c>
      <c r="C331" s="21">
        <v>112.22511485266476</v>
      </c>
      <c r="D331" s="21">
        <v>107.43371676771125</v>
      </c>
      <c r="E331" s="21">
        <v>103.18413410743837</v>
      </c>
      <c r="F331" s="21">
        <v>103.43533644775873</v>
      </c>
      <c r="G331" s="21">
        <v>100.21517527280206</v>
      </c>
      <c r="H331" s="21">
        <v>121.66258712093314</v>
      </c>
      <c r="I331" s="21">
        <v>103.76508923173354</v>
      </c>
      <c r="J331" s="21">
        <v>107.6950958159796</v>
      </c>
      <c r="K331" s="21">
        <v>113.14141681835002</v>
      </c>
      <c r="L331" s="21">
        <v>127.21434467125029</v>
      </c>
      <c r="M331" s="21">
        <v>99.535659053038415</v>
      </c>
      <c r="N331" s="21">
        <v>124.88471169332117</v>
      </c>
      <c r="O331" s="21">
        <v>105.73952440176966</v>
      </c>
      <c r="P331" s="21">
        <v>115.77255383265333</v>
      </c>
      <c r="Q331" s="21">
        <v>120.99037754625958</v>
      </c>
      <c r="R331" s="21">
        <v>102.89685541159486</v>
      </c>
      <c r="S331" s="21">
        <v>122.37140339459781</v>
      </c>
    </row>
    <row r="332" spans="1:19">
      <c r="A332" s="9">
        <f t="shared" si="5"/>
        <v>42826</v>
      </c>
      <c r="B332" s="21">
        <v>111.11279099915593</v>
      </c>
      <c r="C332" s="21">
        <v>112.2133198939657</v>
      </c>
      <c r="D332" s="21">
        <v>105.50400270529504</v>
      </c>
      <c r="E332" s="21">
        <v>102.39081868645043</v>
      </c>
      <c r="F332" s="21">
        <v>102.80470979601672</v>
      </c>
      <c r="G332" s="21">
        <v>97.499042340907067</v>
      </c>
      <c r="H332" s="21">
        <v>114.36200834233227</v>
      </c>
      <c r="I332" s="21">
        <v>103.11275366295521</v>
      </c>
      <c r="J332" s="21">
        <v>107.99645137455282</v>
      </c>
      <c r="K332" s="21">
        <v>109.43423908833088</v>
      </c>
      <c r="L332" s="21">
        <v>116.89217128901055</v>
      </c>
      <c r="M332" s="21">
        <v>102.22388314724991</v>
      </c>
      <c r="N332" s="21">
        <v>115.94298815160359</v>
      </c>
      <c r="O332" s="21">
        <v>101.89548100490873</v>
      </c>
      <c r="P332" s="21">
        <v>119.22575933006472</v>
      </c>
      <c r="Q332" s="21">
        <v>124.10663521814585</v>
      </c>
      <c r="R332" s="21">
        <v>105.81325702638115</v>
      </c>
      <c r="S332" s="21">
        <v>124.29169716096449</v>
      </c>
    </row>
    <row r="333" spans="1:19">
      <c r="A333" s="9">
        <f t="shared" si="5"/>
        <v>42856</v>
      </c>
      <c r="B333" s="21">
        <v>108.92767601628377</v>
      </c>
      <c r="C333" s="21">
        <v>109.96789728062005</v>
      </c>
      <c r="D333" s="21">
        <v>105.10143221540717</v>
      </c>
      <c r="E333" s="21">
        <v>104.42121069689738</v>
      </c>
      <c r="F333" s="21">
        <v>105.2184556262368</v>
      </c>
      <c r="G333" s="21">
        <v>94.998578036259261</v>
      </c>
      <c r="H333" s="21">
        <v>110.76418792572994</v>
      </c>
      <c r="I333" s="21">
        <v>104.94609197244851</v>
      </c>
      <c r="J333" s="21">
        <v>108.49677391430421</v>
      </c>
      <c r="K333" s="21">
        <v>105.83278365231385</v>
      </c>
      <c r="L333" s="21">
        <v>111.66543300852901</v>
      </c>
      <c r="M333" s="21">
        <v>100.19375706877975</v>
      </c>
      <c r="N333" s="21">
        <v>110.76523191641274</v>
      </c>
      <c r="O333" s="21">
        <v>99.187605184720127</v>
      </c>
      <c r="P333" s="21">
        <v>114.46223948283951</v>
      </c>
      <c r="Q333" s="21">
        <v>116.93832705983573</v>
      </c>
      <c r="R333" s="21">
        <v>106.75459369484348</v>
      </c>
      <c r="S333" s="21">
        <v>113.43534554531074</v>
      </c>
    </row>
    <row r="334" spans="1:19">
      <c r="A334" s="9">
        <f t="shared" si="5"/>
        <v>42887</v>
      </c>
      <c r="B334" s="21">
        <v>105.67523872649866</v>
      </c>
      <c r="C334" s="21">
        <v>106.20928891296892</v>
      </c>
      <c r="D334" s="21">
        <v>104.13278210844511</v>
      </c>
      <c r="E334" s="21">
        <v>103.80764173154121</v>
      </c>
      <c r="F334" s="21">
        <v>104.5174124848143</v>
      </c>
      <c r="G334" s="21">
        <v>95.41886579175798</v>
      </c>
      <c r="H334" s="21">
        <v>108.02998904088905</v>
      </c>
      <c r="I334" s="21">
        <v>103.75846638525861</v>
      </c>
      <c r="J334" s="21">
        <v>103.42580827348523</v>
      </c>
      <c r="K334" s="21">
        <v>105.67171206226958</v>
      </c>
      <c r="L334" s="21">
        <v>109.86004533234309</v>
      </c>
      <c r="M334" s="21">
        <v>101.62241624347011</v>
      </c>
      <c r="N334" s="21">
        <v>109.48598175038902</v>
      </c>
      <c r="O334" s="21">
        <v>92.547490909411309</v>
      </c>
      <c r="P334" s="21">
        <v>107.90636264104651</v>
      </c>
      <c r="Q334" s="21">
        <v>107.76155824859954</v>
      </c>
      <c r="R334" s="21">
        <v>102.00375584373339</v>
      </c>
      <c r="S334" s="21">
        <v>121.71435010779793</v>
      </c>
    </row>
    <row r="335" spans="1:19">
      <c r="A335" s="9">
        <f t="shared" si="5"/>
        <v>42917</v>
      </c>
      <c r="B335" s="21">
        <v>108.22842972411647</v>
      </c>
      <c r="C335" s="21">
        <v>109.26914361920508</v>
      </c>
      <c r="D335" s="21">
        <v>106.1242548020429</v>
      </c>
      <c r="E335" s="21">
        <v>106.12278305058388</v>
      </c>
      <c r="F335" s="21">
        <v>106.86400798733676</v>
      </c>
      <c r="G335" s="21">
        <v>97.362250319803096</v>
      </c>
      <c r="H335" s="21">
        <v>113.13502733043396</v>
      </c>
      <c r="I335" s="21">
        <v>105.71301095025539</v>
      </c>
      <c r="J335" s="21">
        <v>102.94101190078452</v>
      </c>
      <c r="K335" s="21">
        <v>108.23351896192395</v>
      </c>
      <c r="L335" s="21">
        <v>117.18691473769763</v>
      </c>
      <c r="M335" s="21">
        <v>99.577343404466347</v>
      </c>
      <c r="N335" s="21">
        <v>115.676132082588</v>
      </c>
      <c r="O335" s="21">
        <v>88.402910553221915</v>
      </c>
      <c r="P335" s="21">
        <v>111.27206475027009</v>
      </c>
      <c r="Q335" s="21">
        <v>110.23865201197388</v>
      </c>
      <c r="R335" s="21">
        <v>102.83420416124997</v>
      </c>
      <c r="S335" s="21">
        <v>128.16916177951069</v>
      </c>
    </row>
    <row r="336" spans="1:19">
      <c r="A336" s="9">
        <f t="shared" si="5"/>
        <v>42948</v>
      </c>
      <c r="B336" s="21">
        <v>111.04424088991318</v>
      </c>
      <c r="C336" s="21">
        <v>111.98577898746382</v>
      </c>
      <c r="D336" s="21">
        <v>106.49535597469989</v>
      </c>
      <c r="E336" s="21">
        <v>101.67999218506426</v>
      </c>
      <c r="F336" s="21">
        <v>102.08084936005673</v>
      </c>
      <c r="G336" s="21">
        <v>96.942263827902181</v>
      </c>
      <c r="H336" s="21">
        <v>120.19759149586881</v>
      </c>
      <c r="I336" s="21">
        <v>101.85569908739291</v>
      </c>
      <c r="J336" s="21">
        <v>103.04430945361807</v>
      </c>
      <c r="K336" s="21">
        <v>115.0724116482416</v>
      </c>
      <c r="L336" s="21">
        <v>127.01562782119035</v>
      </c>
      <c r="M336" s="21">
        <v>103.52566687086372</v>
      </c>
      <c r="N336" s="21">
        <v>125.05922816925656</v>
      </c>
      <c r="O336" s="21">
        <v>88.143584652352274</v>
      </c>
      <c r="P336" s="21">
        <v>117.62408618349798</v>
      </c>
      <c r="Q336" s="21">
        <v>114.03235123128957</v>
      </c>
      <c r="R336" s="21">
        <v>107.78146922638379</v>
      </c>
      <c r="S336" s="21">
        <v>140.98532251630556</v>
      </c>
    </row>
    <row r="337" spans="1:19">
      <c r="A337" s="9">
        <f t="shared" si="5"/>
        <v>42979</v>
      </c>
      <c r="B337" s="21">
        <v>114.09346486128005</v>
      </c>
      <c r="C337" s="21">
        <v>115.08395871327036</v>
      </c>
      <c r="D337" s="21">
        <v>106.1575819114198</v>
      </c>
      <c r="E337" s="21">
        <v>100.34955936345121</v>
      </c>
      <c r="F337" s="21">
        <v>100.84922316811497</v>
      </c>
      <c r="G337" s="21">
        <v>94.444036089613263</v>
      </c>
      <c r="H337" s="21">
        <v>119.53789950655984</v>
      </c>
      <c r="I337" s="21">
        <v>100.69368897019088</v>
      </c>
      <c r="J337" s="21">
        <v>103.02163404505654</v>
      </c>
      <c r="K337" s="21">
        <v>115.91944416942255</v>
      </c>
      <c r="L337" s="21">
        <v>126.10273634640276</v>
      </c>
      <c r="M337" s="21">
        <v>106.07420030392296</v>
      </c>
      <c r="N337" s="21">
        <v>124.47548067616896</v>
      </c>
      <c r="O337" s="21">
        <v>88.589019459321761</v>
      </c>
      <c r="P337" s="21">
        <v>125.57251589276332</v>
      </c>
      <c r="Q337" s="21">
        <v>120.06816194571051</v>
      </c>
      <c r="R337" s="21">
        <v>117.28973726300954</v>
      </c>
      <c r="S337" s="21">
        <v>146.05817694219982</v>
      </c>
    </row>
    <row r="338" spans="1:19">
      <c r="A338" s="9">
        <f t="shared" si="5"/>
        <v>43009</v>
      </c>
      <c r="B338" s="21">
        <v>115.56270109613587</v>
      </c>
      <c r="C338" s="21">
        <v>117.04081025385098</v>
      </c>
      <c r="D338" s="21">
        <v>105.63346362256888</v>
      </c>
      <c r="E338" s="21">
        <v>101.05394821876389</v>
      </c>
      <c r="F338" s="21">
        <v>101.65215499046518</v>
      </c>
      <c r="G338" s="21">
        <v>93.983746255211983</v>
      </c>
      <c r="H338" s="21">
        <v>117.55422433588201</v>
      </c>
      <c r="I338" s="21">
        <v>101.01480664841063</v>
      </c>
      <c r="J338" s="21">
        <v>100.75002435667518</v>
      </c>
      <c r="K338" s="21">
        <v>113.60725104644588</v>
      </c>
      <c r="L338" s="21">
        <v>124.23350854481622</v>
      </c>
      <c r="M338" s="21">
        <v>103.33374669924237</v>
      </c>
      <c r="N338" s="21">
        <v>122.59085365477712</v>
      </c>
      <c r="O338" s="21">
        <v>94.098971173855062</v>
      </c>
      <c r="P338" s="21">
        <v>129.92508829147607</v>
      </c>
      <c r="Q338" s="21">
        <v>125.27717985257499</v>
      </c>
      <c r="R338" s="21">
        <v>122.5413288493687</v>
      </c>
      <c r="S338" s="21">
        <v>144.49932178080874</v>
      </c>
    </row>
    <row r="339" spans="1:19">
      <c r="A339" s="9">
        <f t="shared" si="5"/>
        <v>43040</v>
      </c>
      <c r="B339" s="21">
        <v>120.50026894142827</v>
      </c>
      <c r="C339" s="21">
        <v>122.51186033118154</v>
      </c>
      <c r="D339" s="21">
        <v>106.49023533542534</v>
      </c>
      <c r="E339" s="21">
        <v>101.4267066764488</v>
      </c>
      <c r="F339" s="21">
        <v>102.29060043898988</v>
      </c>
      <c r="G339" s="21">
        <v>91.216351887505837</v>
      </c>
      <c r="H339" s="21">
        <v>118.95163174931031</v>
      </c>
      <c r="I339" s="21">
        <v>101.4735301224529</v>
      </c>
      <c r="J339" s="21">
        <v>101.79027825565231</v>
      </c>
      <c r="K339" s="21">
        <v>114.58577102768187</v>
      </c>
      <c r="L339" s="21">
        <v>125.77287629150582</v>
      </c>
      <c r="M339" s="21">
        <v>103.77003702366916</v>
      </c>
      <c r="N339" s="21">
        <v>124.18115114349304</v>
      </c>
      <c r="O339" s="21">
        <v>100.70790069909594</v>
      </c>
      <c r="P339" s="21">
        <v>140.76542301844705</v>
      </c>
      <c r="Q339" s="21">
        <v>137.01253840106187</v>
      </c>
      <c r="R339" s="21">
        <v>134.32594322682453</v>
      </c>
      <c r="S339" s="21">
        <v>144.24767486753879</v>
      </c>
    </row>
    <row r="340" spans="1:19">
      <c r="A340" s="9">
        <f t="shared" si="5"/>
        <v>43070</v>
      </c>
      <c r="B340" s="21">
        <v>121.99227970018485</v>
      </c>
      <c r="C340" s="21">
        <v>124.363230486188</v>
      </c>
      <c r="D340" s="21">
        <v>107.02782515456876</v>
      </c>
      <c r="E340" s="21">
        <v>101.04390576289516</v>
      </c>
      <c r="F340" s="21">
        <v>102.2817265025389</v>
      </c>
      <c r="G340" s="21">
        <v>86.414110451376132</v>
      </c>
      <c r="H340" s="21">
        <v>122.79267536800729</v>
      </c>
      <c r="I340" s="21">
        <v>101.43539776926579</v>
      </c>
      <c r="J340" s="21">
        <v>104.08373685497905</v>
      </c>
      <c r="K340" s="21">
        <v>115.87313941532788</v>
      </c>
      <c r="L340" s="21">
        <v>130.22904947273202</v>
      </c>
      <c r="M340" s="21">
        <v>101.99379342682515</v>
      </c>
      <c r="N340" s="21">
        <v>127.87156549482276</v>
      </c>
      <c r="O340" s="21">
        <v>102.72074985007684</v>
      </c>
      <c r="P340" s="21">
        <v>143.63797917341938</v>
      </c>
      <c r="Q340" s="21">
        <v>138.76200762456583</v>
      </c>
      <c r="R340" s="21">
        <v>139.35610741870227</v>
      </c>
      <c r="S340" s="21">
        <v>149.26611295216327</v>
      </c>
    </row>
    <row r="341" spans="1:19">
      <c r="A341" s="9">
        <f t="shared" si="5"/>
        <v>43101</v>
      </c>
      <c r="B341" s="21">
        <v>128.46166984908601</v>
      </c>
      <c r="C341" s="21">
        <v>130.92641705142987</v>
      </c>
      <c r="D341" s="21">
        <v>111.62689448932949</v>
      </c>
      <c r="E341" s="21">
        <v>104.39582886273008</v>
      </c>
      <c r="F341" s="21">
        <v>105.81764855552785</v>
      </c>
      <c r="G341" s="21">
        <v>87.591351114599362</v>
      </c>
      <c r="H341" s="21">
        <v>128.99264067455516</v>
      </c>
      <c r="I341" s="21">
        <v>105.09498278024002</v>
      </c>
      <c r="J341" s="21">
        <v>109.82457269916709</v>
      </c>
      <c r="K341" s="21">
        <v>122.012236808753</v>
      </c>
      <c r="L341" s="21">
        <v>136.61150821375409</v>
      </c>
      <c r="M341" s="21">
        <v>107.89760818543149</v>
      </c>
      <c r="N341" s="21">
        <v>134.41399778045044</v>
      </c>
      <c r="O341" s="21">
        <v>105.95100676057376</v>
      </c>
      <c r="P341" s="21">
        <v>152.81274038265622</v>
      </c>
      <c r="Q341" s="21">
        <v>147.79113088097617</v>
      </c>
      <c r="R341" s="21">
        <v>144.35186654250424</v>
      </c>
      <c r="S341" s="21">
        <v>155.44366405349766</v>
      </c>
    </row>
    <row r="342" spans="1:19">
      <c r="A342" s="9">
        <f t="shared" si="5"/>
        <v>43132</v>
      </c>
      <c r="B342" s="21">
        <v>126.3490512120694</v>
      </c>
      <c r="C342" s="21">
        <v>128.57607384987364</v>
      </c>
      <c r="D342" s="21">
        <v>111.91895990541269</v>
      </c>
      <c r="E342" s="21">
        <v>104.61926904374829</v>
      </c>
      <c r="F342" s="21">
        <v>105.89334425494337</v>
      </c>
      <c r="G342" s="21">
        <v>89.560982367578305</v>
      </c>
      <c r="H342" s="21">
        <v>129.88897477375289</v>
      </c>
      <c r="I342" s="21">
        <v>105.3690455573682</v>
      </c>
      <c r="J342" s="21">
        <v>110.44108384744133</v>
      </c>
      <c r="K342" s="21">
        <v>122.26731324088155</v>
      </c>
      <c r="L342" s="21">
        <v>137.61906552022822</v>
      </c>
      <c r="M342" s="21">
        <v>107.42518337500482</v>
      </c>
      <c r="N342" s="21">
        <v>134.88445614562136</v>
      </c>
      <c r="O342" s="21">
        <v>107.01022321661969</v>
      </c>
      <c r="P342" s="21">
        <v>147.22180797330586</v>
      </c>
      <c r="Q342" s="21">
        <v>140.59658574757339</v>
      </c>
      <c r="R342" s="21">
        <v>141.66654079019605</v>
      </c>
      <c r="S342" s="21">
        <v>152.57311788071661</v>
      </c>
    </row>
    <row r="343" spans="1:19">
      <c r="A343" s="9">
        <f t="shared" si="5"/>
        <v>43160</v>
      </c>
      <c r="B343" s="21">
        <v>126.1166025280275</v>
      </c>
      <c r="C343" s="21">
        <v>128.37956788583017</v>
      </c>
      <c r="D343" s="21">
        <v>111.48412196294827</v>
      </c>
      <c r="E343" s="21">
        <v>105.74343387791535</v>
      </c>
      <c r="F343" s="21">
        <v>106.90542239454022</v>
      </c>
      <c r="G343" s="21">
        <v>92.009899119522004</v>
      </c>
      <c r="H343" s="21">
        <v>126.27013643820219</v>
      </c>
      <c r="I343" s="21">
        <v>106.37933681615775</v>
      </c>
      <c r="J343" s="21">
        <v>110.68105071749576</v>
      </c>
      <c r="K343" s="21">
        <v>119.31294874197913</v>
      </c>
      <c r="L343" s="21">
        <v>132.46644058924042</v>
      </c>
      <c r="M343" s="21">
        <v>106.59610504658883</v>
      </c>
      <c r="N343" s="21">
        <v>129.98605213014167</v>
      </c>
      <c r="O343" s="21">
        <v>110.47804745387577</v>
      </c>
      <c r="P343" s="21">
        <v>147.28211015773508</v>
      </c>
      <c r="Q343" s="21">
        <v>142.72818042949154</v>
      </c>
      <c r="R343" s="21">
        <v>138.54416597441187</v>
      </c>
      <c r="S343" s="21">
        <v>146.08467678038676</v>
      </c>
    </row>
    <row r="344" spans="1:19">
      <c r="A344" s="9">
        <f t="shared" si="5"/>
        <v>43191</v>
      </c>
      <c r="B344" s="21">
        <v>128.08365893994127</v>
      </c>
      <c r="C344" s="21">
        <v>130.47778273183127</v>
      </c>
      <c r="D344" s="21">
        <v>111.7179521937626</v>
      </c>
      <c r="E344" s="21">
        <v>105.60789801674618</v>
      </c>
      <c r="F344" s="21">
        <v>106.71889200595579</v>
      </c>
      <c r="G344" s="21">
        <v>92.477067247871915</v>
      </c>
      <c r="H344" s="21">
        <v>127.05356040130614</v>
      </c>
      <c r="I344" s="21">
        <v>106.15414111210548</v>
      </c>
      <c r="J344" s="21">
        <v>109.84933007177872</v>
      </c>
      <c r="K344" s="21">
        <v>120.30651672174129</v>
      </c>
      <c r="L344" s="21">
        <v>133.89184750268973</v>
      </c>
      <c r="M344" s="21">
        <v>107.17216957669277</v>
      </c>
      <c r="N344" s="21">
        <v>131.12991211324976</v>
      </c>
      <c r="O344" s="21">
        <v>109.95610986519291</v>
      </c>
      <c r="P344" s="21">
        <v>151.75623376149719</v>
      </c>
      <c r="Q344" s="21">
        <v>152.75525118943793</v>
      </c>
      <c r="R344" s="21">
        <v>123.15841533131011</v>
      </c>
      <c r="S344" s="21">
        <v>144.06027602941552</v>
      </c>
    </row>
    <row r="345" spans="1:19">
      <c r="A345" s="9">
        <f t="shared" si="5"/>
        <v>43221</v>
      </c>
      <c r="B345" s="21">
        <v>132.83600681292859</v>
      </c>
      <c r="C345" s="21">
        <v>136.05517142516788</v>
      </c>
      <c r="D345" s="21">
        <v>112.05288809614568</v>
      </c>
      <c r="E345" s="21">
        <v>107.13180161897958</v>
      </c>
      <c r="F345" s="21">
        <v>108.3625263785131</v>
      </c>
      <c r="G345" s="21">
        <v>92.5858736504631</v>
      </c>
      <c r="H345" s="21">
        <v>127.43913925636696</v>
      </c>
      <c r="I345" s="21">
        <v>107.50814109989176</v>
      </c>
      <c r="J345" s="21">
        <v>110.05397738921107</v>
      </c>
      <c r="K345" s="21">
        <v>119.35130543196246</v>
      </c>
      <c r="L345" s="21">
        <v>134.34934249560143</v>
      </c>
      <c r="M345" s="21">
        <v>104.85114872143247</v>
      </c>
      <c r="N345" s="21">
        <v>131.45654657344323</v>
      </c>
      <c r="O345" s="21">
        <v>107.23822102981855</v>
      </c>
      <c r="P345" s="21">
        <v>162.89825468763161</v>
      </c>
      <c r="Q345" s="21">
        <v>166.11657357449295</v>
      </c>
      <c r="R345" s="21">
        <v>132.72568427498319</v>
      </c>
      <c r="S345" s="21">
        <v>157.77853199832856</v>
      </c>
    </row>
    <row r="346" spans="1:19">
      <c r="A346" s="9">
        <f t="shared" si="5"/>
        <v>43252</v>
      </c>
      <c r="B346" s="21">
        <v>131.64612391248332</v>
      </c>
      <c r="C346" s="21">
        <v>134.92515280018128</v>
      </c>
      <c r="D346" s="21">
        <v>109.84897405057507</v>
      </c>
      <c r="E346" s="21">
        <v>102.88618884229619</v>
      </c>
      <c r="F346" s="21">
        <v>104.08010576570329</v>
      </c>
      <c r="G346" s="21">
        <v>88.77529245076235</v>
      </c>
      <c r="H346" s="21">
        <v>128.30302495839169</v>
      </c>
      <c r="I346" s="21">
        <v>103.88775444360461</v>
      </c>
      <c r="J346" s="21">
        <v>110.66307880703449</v>
      </c>
      <c r="K346" s="21">
        <v>119.0413752120091</v>
      </c>
      <c r="L346" s="21">
        <v>135.3144991089612</v>
      </c>
      <c r="M346" s="21">
        <v>103.30845991953115</v>
      </c>
      <c r="N346" s="21">
        <v>132.28602535402402</v>
      </c>
      <c r="O346" s="21">
        <v>108.07608632652527</v>
      </c>
      <c r="P346" s="21">
        <v>163.17514181592176</v>
      </c>
      <c r="Q346" s="21">
        <v>164.36008742860608</v>
      </c>
      <c r="R346" s="21">
        <v>142.64070463096047</v>
      </c>
      <c r="S346" s="21">
        <v>167.8629393962629</v>
      </c>
    </row>
    <row r="347" spans="1:19">
      <c r="A347" s="9">
        <f t="shared" si="5"/>
        <v>43282</v>
      </c>
      <c r="B347" s="21">
        <v>129.84094770280936</v>
      </c>
      <c r="C347" s="21">
        <v>133.30581996600526</v>
      </c>
      <c r="D347" s="21">
        <v>105.89829668686764</v>
      </c>
      <c r="E347" s="21">
        <v>100.21041965432333</v>
      </c>
      <c r="F347" s="21">
        <v>101.33013955678165</v>
      </c>
      <c r="G347" s="21">
        <v>86.976457373230957</v>
      </c>
      <c r="H347" s="21">
        <v>121.78516583277012</v>
      </c>
      <c r="I347" s="21">
        <v>101.32900418249815</v>
      </c>
      <c r="J347" s="21">
        <v>108.89593039921115</v>
      </c>
      <c r="K347" s="21">
        <v>113.01200131325386</v>
      </c>
      <c r="L347" s="21">
        <v>126.90834139620853</v>
      </c>
      <c r="M347" s="21">
        <v>99.57696924534585</v>
      </c>
      <c r="N347" s="21">
        <v>124.16928173853033</v>
      </c>
      <c r="O347" s="21">
        <v>103.731646006272</v>
      </c>
      <c r="P347" s="21">
        <v>164.47337796639238</v>
      </c>
      <c r="Q347" s="21">
        <v>166.97538498050275</v>
      </c>
      <c r="R347" s="21">
        <v>139.51280359618201</v>
      </c>
      <c r="S347" s="21">
        <v>172.73530958900892</v>
      </c>
    </row>
    <row r="348" spans="1:19">
      <c r="A348" s="9">
        <f t="shared" si="5"/>
        <v>43313</v>
      </c>
      <c r="B348" s="21">
        <v>127.50084049406784</v>
      </c>
      <c r="C348" s="21">
        <v>131.03882008384744</v>
      </c>
      <c r="D348" s="21">
        <v>102.84294984365663</v>
      </c>
      <c r="E348" s="21">
        <v>96.199546305606816</v>
      </c>
      <c r="F348" s="21">
        <v>97.361344418990285</v>
      </c>
      <c r="G348" s="21">
        <v>82.468261921891397</v>
      </c>
      <c r="H348" s="21">
        <v>119.69699503514744</v>
      </c>
      <c r="I348" s="21">
        <v>97.475231385693618</v>
      </c>
      <c r="J348" s="21">
        <v>106.10490096688216</v>
      </c>
      <c r="K348" s="21">
        <v>110.58743848692055</v>
      </c>
      <c r="L348" s="21">
        <v>125.09954079090188</v>
      </c>
      <c r="M348" s="21">
        <v>96.557085267089519</v>
      </c>
      <c r="N348" s="21">
        <v>122.19896243001583</v>
      </c>
      <c r="O348" s="21">
        <v>107.60218960802958</v>
      </c>
      <c r="P348" s="21">
        <v>163.16784653399338</v>
      </c>
      <c r="Q348" s="21">
        <v>164.58963884102141</v>
      </c>
      <c r="R348" s="21">
        <v>147.48413252404583</v>
      </c>
      <c r="S348" s="21">
        <v>164.69381753157055</v>
      </c>
    </row>
    <row r="349" spans="1:19">
      <c r="A349" s="9">
        <f t="shared" si="5"/>
        <v>43344</v>
      </c>
      <c r="B349" s="21">
        <v>131.72031083994358</v>
      </c>
      <c r="C349" s="21">
        <v>135.7607709299534</v>
      </c>
      <c r="D349" s="21">
        <v>103.45470551308138</v>
      </c>
      <c r="E349" s="21">
        <v>97.244433917603601</v>
      </c>
      <c r="F349" s="21">
        <v>98.62668218060314</v>
      </c>
      <c r="G349" s="21">
        <v>80.90765064217878</v>
      </c>
      <c r="H349" s="21">
        <v>118.94143444552343</v>
      </c>
      <c r="I349" s="21">
        <v>98.22974843466109</v>
      </c>
      <c r="J349" s="21">
        <v>104.89513854424511</v>
      </c>
      <c r="K349" s="21">
        <v>110.27794963333554</v>
      </c>
      <c r="L349" s="21">
        <v>124.52451501606619</v>
      </c>
      <c r="M349" s="21">
        <v>96.504318473479927</v>
      </c>
      <c r="N349" s="21">
        <v>121.81883628389076</v>
      </c>
      <c r="O349" s="21">
        <v>116.62099705434579</v>
      </c>
      <c r="P349" s="21">
        <v>172.60578357597151</v>
      </c>
      <c r="Q349" s="21">
        <v>173.08884675779325</v>
      </c>
      <c r="R349" s="21">
        <v>160.41711618575738</v>
      </c>
      <c r="S349" s="21">
        <v>163.47675963474367</v>
      </c>
    </row>
    <row r="350" spans="1:19">
      <c r="A350" s="9">
        <f t="shared" si="5"/>
        <v>43374</v>
      </c>
      <c r="B350" s="21">
        <v>132.8175412917372</v>
      </c>
      <c r="C350" s="21">
        <v>136.82878572408666</v>
      </c>
      <c r="D350" s="21">
        <v>105.53050095960143</v>
      </c>
      <c r="E350" s="21">
        <v>99.332061446441813</v>
      </c>
      <c r="F350" s="21">
        <v>100.42137832663246</v>
      </c>
      <c r="G350" s="21">
        <v>86.457432288783252</v>
      </c>
      <c r="H350" s="21">
        <v>120.70994514786813</v>
      </c>
      <c r="I350" s="21">
        <v>99.825339938129986</v>
      </c>
      <c r="J350" s="21">
        <v>103.16223746967917</v>
      </c>
      <c r="K350" s="21">
        <v>112.69260600460872</v>
      </c>
      <c r="L350" s="21">
        <v>127.68475662017556</v>
      </c>
      <c r="M350" s="21">
        <v>98.198140333456237</v>
      </c>
      <c r="N350" s="21">
        <v>125.08994389901871</v>
      </c>
      <c r="O350" s="21">
        <v>123.34567898282475</v>
      </c>
      <c r="P350" s="21">
        <v>172.28754487542759</v>
      </c>
      <c r="Q350" s="21">
        <v>177.3627385196709</v>
      </c>
      <c r="R350" s="21">
        <v>152.67018169456856</v>
      </c>
      <c r="S350" s="21">
        <v>158.98022595870827</v>
      </c>
    </row>
    <row r="351" spans="1:19">
      <c r="A351" s="9">
        <f t="shared" si="5"/>
        <v>43405</v>
      </c>
      <c r="B351" s="21">
        <v>121.45474702483736</v>
      </c>
      <c r="C351" s="21">
        <v>124.13019853047676</v>
      </c>
      <c r="D351" s="21">
        <v>103.07328298112698</v>
      </c>
      <c r="E351" s="21">
        <v>95.090638981381133</v>
      </c>
      <c r="F351" s="21">
        <v>95.855224223726736</v>
      </c>
      <c r="G351" s="21">
        <v>86.05401094997147</v>
      </c>
      <c r="H351" s="21">
        <v>118.87060865156332</v>
      </c>
      <c r="I351" s="21">
        <v>95.879319418472832</v>
      </c>
      <c r="J351" s="21">
        <v>101.21453238246356</v>
      </c>
      <c r="K351" s="21">
        <v>112.1250940883838</v>
      </c>
      <c r="L351" s="21">
        <v>125.88849415410787</v>
      </c>
      <c r="M351" s="21">
        <v>98.818588912012643</v>
      </c>
      <c r="N351" s="21">
        <v>123.7039185761342</v>
      </c>
      <c r="O351" s="21">
        <v>125.29045216643618</v>
      </c>
      <c r="P351" s="21">
        <v>148.04306304767442</v>
      </c>
      <c r="Q351" s="21">
        <v>144.75945653847214</v>
      </c>
      <c r="R351" s="21">
        <v>160.27833850438805</v>
      </c>
      <c r="S351" s="21">
        <v>147.77940092778064</v>
      </c>
    </row>
    <row r="352" spans="1:19">
      <c r="A352" s="9">
        <f t="shared" si="5"/>
        <v>43435</v>
      </c>
      <c r="B352" s="21">
        <v>115.90016201129376</v>
      </c>
      <c r="C352" s="21">
        <v>117.70273268185024</v>
      </c>
      <c r="D352" s="21">
        <v>104.29054046927797</v>
      </c>
      <c r="E352" s="21">
        <v>97.391351988287767</v>
      </c>
      <c r="F352" s="21">
        <v>98.689926328298</v>
      </c>
      <c r="G352" s="21">
        <v>82.043510267193099</v>
      </c>
      <c r="H352" s="21">
        <v>117.68920011363903</v>
      </c>
      <c r="I352" s="21">
        <v>98.255687777363548</v>
      </c>
      <c r="J352" s="21">
        <v>104.10268903445446</v>
      </c>
      <c r="K352" s="21">
        <v>111.88775985351873</v>
      </c>
      <c r="L352" s="21">
        <v>123.08952675923935</v>
      </c>
      <c r="M352" s="21">
        <v>101.05785092086488</v>
      </c>
      <c r="N352" s="21">
        <v>121.52719910713091</v>
      </c>
      <c r="O352" s="21">
        <v>122.88196016757723</v>
      </c>
      <c r="P352" s="21">
        <v>132.69318163859995</v>
      </c>
      <c r="Q352" s="21">
        <v>125.65683565725827</v>
      </c>
      <c r="R352" s="21">
        <v>151.53196507431934</v>
      </c>
      <c r="S352" s="21">
        <v>150.02729458456307</v>
      </c>
    </row>
    <row r="353" spans="1:19">
      <c r="A353" s="9">
        <f t="shared" si="5"/>
        <v>43466</v>
      </c>
      <c r="B353" s="21">
        <v>117.01894073894449</v>
      </c>
      <c r="C353" s="21">
        <v>118.55094449210854</v>
      </c>
      <c r="D353" s="21">
        <v>106.08272427959203</v>
      </c>
      <c r="E353" s="21">
        <v>99.100001712074118</v>
      </c>
      <c r="F353" s="21">
        <v>100.46654163406639</v>
      </c>
      <c r="G353" s="21">
        <v>82.948875217360367</v>
      </c>
      <c r="H353" s="21">
        <v>119.026982290673</v>
      </c>
      <c r="I353" s="21">
        <v>99.757386878018266</v>
      </c>
      <c r="J353" s="21">
        <v>104.2044223244835</v>
      </c>
      <c r="K353" s="21">
        <v>114.71138513674117</v>
      </c>
      <c r="L353" s="21">
        <v>124.91861002901555</v>
      </c>
      <c r="M353" s="21">
        <v>104.84300303516437</v>
      </c>
      <c r="N353" s="21">
        <v>123.79548673058123</v>
      </c>
      <c r="O353" s="21">
        <v>117.62617133645196</v>
      </c>
      <c r="P353" s="21">
        <v>132.83789719551191</v>
      </c>
      <c r="Q353" s="21">
        <v>130.90453815323318</v>
      </c>
      <c r="R353" s="21">
        <v>132.55338115675602</v>
      </c>
      <c r="S353" s="21">
        <v>145.33796299340986</v>
      </c>
    </row>
    <row r="354" spans="1:19">
      <c r="A354" s="9">
        <f t="shared" si="5"/>
        <v>43497</v>
      </c>
      <c r="B354" s="21">
        <v>118.74423848266495</v>
      </c>
      <c r="C354" s="21">
        <v>120.21478095470516</v>
      </c>
      <c r="D354" s="21">
        <v>107.37620767047935</v>
      </c>
      <c r="E354" s="21">
        <v>97.568251009750625</v>
      </c>
      <c r="F354" s="21">
        <v>98.772205073072286</v>
      </c>
      <c r="G354" s="21">
        <v>83.338725726520025</v>
      </c>
      <c r="H354" s="21">
        <v>125.90247323790469</v>
      </c>
      <c r="I354" s="21">
        <v>98.388718259609604</v>
      </c>
      <c r="J354" s="21">
        <v>103.9389605403987</v>
      </c>
      <c r="K354" s="21">
        <v>120.81105162296269</v>
      </c>
      <c r="L354" s="21">
        <v>134.63246596083704</v>
      </c>
      <c r="M354" s="21">
        <v>107.44845803755126</v>
      </c>
      <c r="N354" s="21">
        <v>132.99297165205815</v>
      </c>
      <c r="O354" s="21">
        <v>109.76388240184856</v>
      </c>
      <c r="P354" s="21">
        <v>135.1878033191212</v>
      </c>
      <c r="Q354" s="21">
        <v>141.59556937609196</v>
      </c>
      <c r="R354" s="21">
        <v>109.95721366287722</v>
      </c>
      <c r="S354" s="21">
        <v>135.1147503368895</v>
      </c>
    </row>
    <row r="355" spans="1:19">
      <c r="A355" s="9">
        <f t="shared" si="5"/>
        <v>43525</v>
      </c>
      <c r="B355" s="21">
        <v>119.36430774327735</v>
      </c>
      <c r="C355" s="21">
        <v>121.07870276159711</v>
      </c>
      <c r="D355" s="21">
        <v>107.07854948475585</v>
      </c>
      <c r="E355" s="21">
        <v>96.730739368517661</v>
      </c>
      <c r="F355" s="21">
        <v>98.063109720746482</v>
      </c>
      <c r="G355" s="21">
        <v>80.9834627977163</v>
      </c>
      <c r="H355" s="21">
        <v>127.50356286510659</v>
      </c>
      <c r="I355" s="21">
        <v>97.849719827968443</v>
      </c>
      <c r="J355" s="21">
        <v>105.41932441424251</v>
      </c>
      <c r="K355" s="21">
        <v>121.07926053241867</v>
      </c>
      <c r="L355" s="21">
        <v>136.28154130702686</v>
      </c>
      <c r="M355" s="21">
        <v>106.38164026024883</v>
      </c>
      <c r="N355" s="21">
        <v>134.71960143067926</v>
      </c>
      <c r="O355" s="21">
        <v>107.08333619647479</v>
      </c>
      <c r="P355" s="21">
        <v>137.13534177957439</v>
      </c>
      <c r="Q355" s="21">
        <v>147.91533160217736</v>
      </c>
      <c r="R355" s="21">
        <v>99.904933570149495</v>
      </c>
      <c r="S355" s="21">
        <v>128.6152109994822</v>
      </c>
    </row>
    <row r="356" spans="1:19">
      <c r="A356" s="9">
        <f t="shared" si="5"/>
        <v>43556</v>
      </c>
      <c r="B356" s="21">
        <v>122.7799809457303</v>
      </c>
      <c r="C356" s="21">
        <v>125.01176912220083</v>
      </c>
      <c r="D356" s="21">
        <v>109.02314041974529</v>
      </c>
      <c r="E356" s="21">
        <v>99.890465845052262</v>
      </c>
      <c r="F356" s="21">
        <v>101.56920127626263</v>
      </c>
      <c r="G356" s="21">
        <v>80.049502647205898</v>
      </c>
      <c r="H356" s="21">
        <v>129.87687769195858</v>
      </c>
      <c r="I356" s="21">
        <v>100.51814706238871</v>
      </c>
      <c r="J356" s="21">
        <v>104.76424321298617</v>
      </c>
      <c r="K356" s="21">
        <v>122.0591634099016</v>
      </c>
      <c r="L356" s="21">
        <v>139.85857412068995</v>
      </c>
      <c r="M356" s="21">
        <v>104.85062848187174</v>
      </c>
      <c r="N356" s="21">
        <v>137.42800678944332</v>
      </c>
      <c r="O356" s="21">
        <v>107.43580318079304</v>
      </c>
      <c r="P356" s="21">
        <v>142.67889773009918</v>
      </c>
      <c r="Q356" s="21">
        <v>159.32141243219414</v>
      </c>
      <c r="R356" s="21">
        <v>94.604849578234067</v>
      </c>
      <c r="S356" s="21">
        <v>116.65314959097644</v>
      </c>
    </row>
    <row r="357" spans="1:19">
      <c r="A357" s="9">
        <f t="shared" si="5"/>
        <v>43586</v>
      </c>
      <c r="B357" s="21">
        <v>119.63981435732802</v>
      </c>
      <c r="C357" s="21">
        <v>121.53898643765031</v>
      </c>
      <c r="D357" s="21">
        <v>107.17967339482841</v>
      </c>
      <c r="E357" s="21">
        <v>96.641928837375545</v>
      </c>
      <c r="F357" s="21">
        <v>98.094289080567989</v>
      </c>
      <c r="G357" s="21">
        <v>79.47649252176754</v>
      </c>
      <c r="H357" s="21">
        <v>129.51981191585651</v>
      </c>
      <c r="I357" s="21">
        <v>97.809179527200257</v>
      </c>
      <c r="J357" s="21">
        <v>105.70531935735046</v>
      </c>
      <c r="K357" s="21">
        <v>121.23900454256039</v>
      </c>
      <c r="L357" s="21">
        <v>138.98552669469939</v>
      </c>
      <c r="M357" s="21">
        <v>104.08160246514004</v>
      </c>
      <c r="N357" s="21">
        <v>136.10643308338888</v>
      </c>
      <c r="O357" s="21">
        <v>109.04921388276713</v>
      </c>
      <c r="P357" s="21">
        <v>137.66308849981363</v>
      </c>
      <c r="Q357" s="21">
        <v>154.89639653196323</v>
      </c>
      <c r="R357" s="21">
        <v>89.783132817063475</v>
      </c>
      <c r="S357" s="21">
        <v>114.93908425222848</v>
      </c>
    </row>
    <row r="358" spans="1:19">
      <c r="A358" s="9">
        <f t="shared" si="5"/>
        <v>43617</v>
      </c>
      <c r="B358" s="21">
        <v>114.86701571618957</v>
      </c>
      <c r="C358" s="21">
        <v>115.54569370879834</v>
      </c>
      <c r="D358" s="21">
        <v>109.88330946786105</v>
      </c>
      <c r="E358" s="21">
        <v>98.828148966463019</v>
      </c>
      <c r="F358" s="21">
        <v>100.21284140868016</v>
      </c>
      <c r="G358" s="21">
        <v>82.46247795268242</v>
      </c>
      <c r="H358" s="21">
        <v>131.15117102641153</v>
      </c>
      <c r="I358" s="21">
        <v>99.663071937666658</v>
      </c>
      <c r="J358" s="21">
        <v>105.31110332072655</v>
      </c>
      <c r="K358" s="21">
        <v>125.38154836643423</v>
      </c>
      <c r="L358" s="21">
        <v>141.42200548434079</v>
      </c>
      <c r="M358" s="21">
        <v>109.87357616105365</v>
      </c>
      <c r="N358" s="21">
        <v>138.73444286545813</v>
      </c>
      <c r="O358" s="21">
        <v>109.96615741666891</v>
      </c>
      <c r="P358" s="21">
        <v>122.07581890947418</v>
      </c>
      <c r="Q358" s="21">
        <v>138.20901355331429</v>
      </c>
      <c r="R358" s="21">
        <v>76.763235224573393</v>
      </c>
      <c r="S358" s="21">
        <v>104.39346928595793</v>
      </c>
    </row>
    <row r="359" spans="1:19">
      <c r="A359" s="9">
        <f t="shared" si="5"/>
        <v>43647</v>
      </c>
      <c r="B359" s="21">
        <v>117.37510621824602</v>
      </c>
      <c r="C359" s="21">
        <v>117.84873445996364</v>
      </c>
      <c r="D359" s="21">
        <v>111.59736520896989</v>
      </c>
      <c r="E359" s="21">
        <v>98.94880147298143</v>
      </c>
      <c r="F359" s="21">
        <v>100.2719739356133</v>
      </c>
      <c r="G359" s="21">
        <v>83.310234699803431</v>
      </c>
      <c r="H359" s="21">
        <v>134.63994283755557</v>
      </c>
      <c r="I359" s="21">
        <v>99.280535896016886</v>
      </c>
      <c r="J359" s="21">
        <v>101.52463085659076</v>
      </c>
      <c r="K359" s="21">
        <v>130.8616035853878</v>
      </c>
      <c r="L359" s="21">
        <v>147.80252008979483</v>
      </c>
      <c r="M359" s="21">
        <v>114.48306397439788</v>
      </c>
      <c r="N359" s="21">
        <v>145.1520352790163</v>
      </c>
      <c r="O359" s="21">
        <v>104.69783230171376</v>
      </c>
      <c r="P359" s="21">
        <v>125.73246031623481</v>
      </c>
      <c r="Q359" s="21">
        <v>143.12751502553434</v>
      </c>
      <c r="R359" s="21">
        <v>77.399260891310476</v>
      </c>
      <c r="S359" s="21">
        <v>106.28507824541609</v>
      </c>
    </row>
    <row r="360" spans="1:19">
      <c r="A360" s="9">
        <f t="shared" si="5"/>
        <v>43678</v>
      </c>
      <c r="B360" s="21">
        <v>112.04000342853379</v>
      </c>
      <c r="C360" s="21">
        <v>111.1323335932852</v>
      </c>
      <c r="D360" s="21">
        <v>108.51537226542904</v>
      </c>
      <c r="E360" s="21">
        <v>96.744922571095273</v>
      </c>
      <c r="F360" s="21">
        <v>98.260429796590472</v>
      </c>
      <c r="G360" s="21">
        <v>78.83315248029497</v>
      </c>
      <c r="H360" s="21">
        <v>123.07217083206496</v>
      </c>
      <c r="I360" s="21">
        <v>96.837012673201627</v>
      </c>
      <c r="J360" s="21">
        <v>97.459977670818219</v>
      </c>
      <c r="K360" s="21">
        <v>126.85528693117033</v>
      </c>
      <c r="L360" s="21">
        <v>133.25243038323475</v>
      </c>
      <c r="M360" s="21">
        <v>120.67050540535585</v>
      </c>
      <c r="N360" s="21">
        <v>132.3473526186352</v>
      </c>
      <c r="O360" s="21">
        <v>101.08728211443204</v>
      </c>
      <c r="P360" s="21">
        <v>117.13829195472067</v>
      </c>
      <c r="Q360" s="21">
        <v>134.95846863849863</v>
      </c>
      <c r="R360" s="21">
        <v>72.603140032084738</v>
      </c>
      <c r="S360" s="21">
        <v>95.405304038080004</v>
      </c>
    </row>
    <row r="361" spans="1:19">
      <c r="A361" s="9">
        <f t="shared" si="5"/>
        <v>43709</v>
      </c>
      <c r="B361" s="21">
        <v>114.07188063814768</v>
      </c>
      <c r="C361" s="21">
        <v>113.28064611857897</v>
      </c>
      <c r="D361" s="21">
        <v>108.2885625932945</v>
      </c>
      <c r="E361" s="21">
        <v>94.86642225543747</v>
      </c>
      <c r="F361" s="21">
        <v>96.046579140638272</v>
      </c>
      <c r="G361" s="21">
        <v>80.918155666418173</v>
      </c>
      <c r="H361" s="21">
        <v>124.1027815618983</v>
      </c>
      <c r="I361" s="21">
        <v>95.177081339795862</v>
      </c>
      <c r="J361" s="21">
        <v>97.278607251053572</v>
      </c>
      <c r="K361" s="21">
        <v>128.70116428415645</v>
      </c>
      <c r="L361" s="21">
        <v>134.76477583201051</v>
      </c>
      <c r="M361" s="21">
        <v>122.83884261482125</v>
      </c>
      <c r="N361" s="21">
        <v>134.87505147229464</v>
      </c>
      <c r="O361" s="21">
        <v>102.07155628615902</v>
      </c>
      <c r="P361" s="21">
        <v>122.43730177497744</v>
      </c>
      <c r="Q361" s="21">
        <v>141.02323869731461</v>
      </c>
      <c r="R361" s="21">
        <v>79.023485547666908</v>
      </c>
      <c r="S361" s="21">
        <v>94.125200823460688</v>
      </c>
    </row>
    <row r="362" spans="1:19">
      <c r="A362" s="9">
        <f t="shared" si="5"/>
        <v>43739</v>
      </c>
      <c r="B362" s="21">
        <v>112.65219807028127</v>
      </c>
      <c r="C362" s="21">
        <v>111.85001440842113</v>
      </c>
      <c r="D362" s="21">
        <v>107.71262265177684</v>
      </c>
      <c r="E362" s="21">
        <v>95.211664987613489</v>
      </c>
      <c r="F362" s="21">
        <v>96.382199931220526</v>
      </c>
      <c r="G362" s="21">
        <v>81.377120064024709</v>
      </c>
      <c r="H362" s="21">
        <v>122.11499681078001</v>
      </c>
      <c r="I362" s="21">
        <v>95.299592492361469</v>
      </c>
      <c r="J362" s="21">
        <v>95.894398628231443</v>
      </c>
      <c r="K362" s="21">
        <v>127.10051604342814</v>
      </c>
      <c r="L362" s="21">
        <v>132.53708340854803</v>
      </c>
      <c r="M362" s="21">
        <v>121.84442296757439</v>
      </c>
      <c r="N362" s="21">
        <v>133.04981552074267</v>
      </c>
      <c r="O362" s="21">
        <v>101.07904597682857</v>
      </c>
      <c r="P362" s="21">
        <v>119.79716715073762</v>
      </c>
      <c r="Q362" s="21">
        <v>134.66743878386609</v>
      </c>
      <c r="R362" s="21">
        <v>83.103199603593254</v>
      </c>
      <c r="S362" s="21">
        <v>101.82727804708747</v>
      </c>
    </row>
    <row r="363" spans="1:19">
      <c r="A363" s="9">
        <f t="shared" si="5"/>
        <v>43770</v>
      </c>
      <c r="B363" s="21">
        <v>116.42739971361203</v>
      </c>
      <c r="C363" s="21">
        <v>116.27690462224966</v>
      </c>
      <c r="D363" s="21">
        <v>108.68162664263639</v>
      </c>
      <c r="E363" s="21">
        <v>99.183949750794028</v>
      </c>
      <c r="F363" s="21">
        <v>100.27764315792746</v>
      </c>
      <c r="G363" s="21">
        <v>86.257594449520553</v>
      </c>
      <c r="H363" s="21">
        <v>120.02796544894809</v>
      </c>
      <c r="I363" s="21">
        <v>99.188503121442224</v>
      </c>
      <c r="J363" s="21">
        <v>99.219305460348593</v>
      </c>
      <c r="K363" s="21">
        <v>124.14532148590341</v>
      </c>
      <c r="L363" s="21">
        <v>128.29893069828537</v>
      </c>
      <c r="M363" s="21">
        <v>120.12959701220849</v>
      </c>
      <c r="N363" s="21">
        <v>129.31036668763841</v>
      </c>
      <c r="O363" s="21">
        <v>96.015807551304164</v>
      </c>
      <c r="P363" s="21">
        <v>127.63146168400496</v>
      </c>
      <c r="Q363" s="21">
        <v>140.66729317804044</v>
      </c>
      <c r="R363" s="21">
        <v>95.339038583990714</v>
      </c>
      <c r="S363" s="21">
        <v>109.9564374004392</v>
      </c>
    </row>
    <row r="364" spans="1:19">
      <c r="A364" s="9">
        <f t="shared" si="5"/>
        <v>43800</v>
      </c>
      <c r="B364" s="21">
        <v>119.29872697486971</v>
      </c>
      <c r="C364" s="21">
        <v>119.41843994336331</v>
      </c>
      <c r="D364" s="21">
        <v>111.13716284489145</v>
      </c>
      <c r="E364" s="21">
        <v>102.79979034910539</v>
      </c>
      <c r="F364" s="21">
        <v>104.0190841424938</v>
      </c>
      <c r="G364" s="21">
        <v>88.388964895484492</v>
      </c>
      <c r="H364" s="21">
        <v>122.02551461399537</v>
      </c>
      <c r="I364" s="21">
        <v>102.33898031072452</v>
      </c>
      <c r="J364" s="21">
        <v>99.221723212561017</v>
      </c>
      <c r="K364" s="21">
        <v>126.05023142262844</v>
      </c>
      <c r="L364" s="21">
        <v>131.08949885602402</v>
      </c>
      <c r="M364" s="21">
        <v>121.17824936387913</v>
      </c>
      <c r="N364" s="21">
        <v>132.36514290784723</v>
      </c>
      <c r="O364" s="21">
        <v>92.462202821692074</v>
      </c>
      <c r="P364" s="21">
        <v>131.10422004182519</v>
      </c>
      <c r="Q364" s="21">
        <v>147.36472302964225</v>
      </c>
      <c r="R364" s="21">
        <v>87.275109798918891</v>
      </c>
      <c r="S364" s="21">
        <v>114.8053018271001</v>
      </c>
    </row>
    <row r="365" spans="1:19">
      <c r="A365" s="9">
        <f t="shared" si="5"/>
        <v>43831</v>
      </c>
      <c r="B365" s="21">
        <v>118.81169821424119</v>
      </c>
      <c r="C365" s="21">
        <v>118.10937210609208</v>
      </c>
      <c r="D365" s="21">
        <v>113.74394496454062</v>
      </c>
      <c r="E365" s="21">
        <v>103.93242025335574</v>
      </c>
      <c r="F365" s="21">
        <v>105.40256283011389</v>
      </c>
      <c r="G365" s="21">
        <v>86.556814652409827</v>
      </c>
      <c r="H365" s="21">
        <v>124.22488082828626</v>
      </c>
      <c r="I365" s="21">
        <v>103.69601759642522</v>
      </c>
      <c r="J365" s="21">
        <v>102.09681662647502</v>
      </c>
      <c r="K365" s="21">
        <v>130.98624411319571</v>
      </c>
      <c r="L365" s="21">
        <v>133.02027900138131</v>
      </c>
      <c r="M365" s="21">
        <v>129.01973179506834</v>
      </c>
      <c r="N365" s="21">
        <v>135.81070389998067</v>
      </c>
      <c r="O365" s="21">
        <v>89.900209503943671</v>
      </c>
      <c r="P365" s="21">
        <v>126.14207323814469</v>
      </c>
      <c r="Q365" s="21">
        <v>143.44994743804639</v>
      </c>
      <c r="R365" s="21">
        <v>76.343432687029789</v>
      </c>
      <c r="S365" s="21">
        <v>119.17805843880176</v>
      </c>
    </row>
    <row r="366" spans="1:19">
      <c r="A366" s="9">
        <f t="shared" si="5"/>
        <v>43862</v>
      </c>
      <c r="B366" s="21">
        <v>110.1376035920608</v>
      </c>
      <c r="C366" s="21">
        <v>108.12382931726513</v>
      </c>
      <c r="D366" s="21">
        <v>110.7240256910856</v>
      </c>
      <c r="E366" s="21">
        <v>99.842684484996411</v>
      </c>
      <c r="F366" s="21">
        <v>101.11147552545198</v>
      </c>
      <c r="G366" s="21">
        <v>84.846851388601053</v>
      </c>
      <c r="H366" s="21">
        <v>118.05226798566784</v>
      </c>
      <c r="I366" s="21">
        <v>99.692535783407735</v>
      </c>
      <c r="J366" s="21">
        <v>98.676819833616364</v>
      </c>
      <c r="K366" s="21">
        <v>129.29379519994524</v>
      </c>
      <c r="L366" s="21">
        <v>125.75356439032583</v>
      </c>
      <c r="M366" s="21">
        <v>132.71650320587358</v>
      </c>
      <c r="N366" s="21">
        <v>130.39004070838223</v>
      </c>
      <c r="O366" s="21">
        <v>88.845245809306192</v>
      </c>
      <c r="P366" s="21">
        <v>109.28935907494456</v>
      </c>
      <c r="Q366" s="21">
        <v>125.43872004378126</v>
      </c>
      <c r="R366" s="21">
        <v>60.114334296566135</v>
      </c>
      <c r="S366" s="21">
        <v>114.73678118654205</v>
      </c>
    </row>
    <row r="367" spans="1:19">
      <c r="A367" s="9">
        <f t="shared" si="5"/>
        <v>43891</v>
      </c>
      <c r="B367" s="21">
        <v>93.170505590507602</v>
      </c>
      <c r="C367" s="21">
        <v>89.284135809323871</v>
      </c>
      <c r="D367" s="21">
        <v>107.11913749187278</v>
      </c>
      <c r="E367" s="21">
        <v>96.118026279899382</v>
      </c>
      <c r="F367" s="21">
        <v>97.199982808691146</v>
      </c>
      <c r="G367" s="21">
        <v>83.330389067793107</v>
      </c>
      <c r="H367" s="21">
        <v>114.2152401493054</v>
      </c>
      <c r="I367" s="21">
        <v>96.081828595360363</v>
      </c>
      <c r="J367" s="21">
        <v>95.836960906577247</v>
      </c>
      <c r="K367" s="21">
        <v>125.24035308934859</v>
      </c>
      <c r="L367" s="21">
        <v>121.52018477536498</v>
      </c>
      <c r="M367" s="21">
        <v>128.83702532808366</v>
      </c>
      <c r="N367" s="21">
        <v>123.39420705265087</v>
      </c>
      <c r="O367" s="21">
        <v>90.697218351979629</v>
      </c>
      <c r="P367" s="21">
        <v>72.994167503519066</v>
      </c>
      <c r="Q367" s="21">
        <v>75.569586974343736</v>
      </c>
      <c r="R367" s="21">
        <v>58.686339548678696</v>
      </c>
      <c r="S367" s="21">
        <v>101.15643873013548</v>
      </c>
    </row>
    <row r="368" spans="1:19">
      <c r="A368" s="9">
        <f t="shared" si="5"/>
        <v>43922</v>
      </c>
      <c r="B368" s="21">
        <v>85.049031617051469</v>
      </c>
      <c r="C368" s="21">
        <v>79.419166137214162</v>
      </c>
      <c r="D368" s="21">
        <v>105.20737001419211</v>
      </c>
      <c r="E368" s="21">
        <v>92.126519032813945</v>
      </c>
      <c r="F368" s="21">
        <v>92.933629655479891</v>
      </c>
      <c r="G368" s="21">
        <v>82.587283806593931</v>
      </c>
      <c r="H368" s="21">
        <v>109.15427005650838</v>
      </c>
      <c r="I368" s="21">
        <v>92.085563704140512</v>
      </c>
      <c r="J368" s="21">
        <v>91.808511820758298</v>
      </c>
      <c r="K368" s="21">
        <v>125.75935475189539</v>
      </c>
      <c r="L368" s="21">
        <v>116.04881125569638</v>
      </c>
      <c r="M368" s="21">
        <v>135.1475434756496</v>
      </c>
      <c r="N368" s="21">
        <v>118.43826577199373</v>
      </c>
      <c r="O368" s="21">
        <v>97.514318320728506</v>
      </c>
      <c r="P368" s="21">
        <v>55.890512441215748</v>
      </c>
      <c r="Q368" s="21">
        <v>55.004063097763883</v>
      </c>
      <c r="R368" s="21">
        <v>48.514551979709594</v>
      </c>
      <c r="S368" s="21">
        <v>87.548947927482899</v>
      </c>
    </row>
    <row r="369" spans="1:19">
      <c r="A369" s="9">
        <f t="shared" si="5"/>
        <v>43952</v>
      </c>
      <c r="B369" s="21">
        <v>91.717465339109069</v>
      </c>
      <c r="C369" s="21">
        <v>86.538848997145934</v>
      </c>
      <c r="D369" s="21">
        <v>108.10625664503047</v>
      </c>
      <c r="E369" s="21">
        <v>95.380059837852983</v>
      </c>
      <c r="F369" s="21">
        <v>96.516705860841654</v>
      </c>
      <c r="G369" s="21">
        <v>81.946047847746655</v>
      </c>
      <c r="H369" s="21">
        <v>112.75180541761155</v>
      </c>
      <c r="I369" s="21">
        <v>94.87578109085797</v>
      </c>
      <c r="J369" s="21">
        <v>91.464469763859469</v>
      </c>
      <c r="K369" s="21">
        <v>129.39138880291907</v>
      </c>
      <c r="L369" s="21">
        <v>121.21303326888224</v>
      </c>
      <c r="M369" s="21">
        <v>137.29825263948516</v>
      </c>
      <c r="N369" s="21">
        <v>122.84036958266529</v>
      </c>
      <c r="O369" s="21">
        <v>93.633203277082657</v>
      </c>
      <c r="P369" s="21">
        <v>68.011499294295234</v>
      </c>
      <c r="Q369" s="21">
        <v>73.716080528337955</v>
      </c>
      <c r="R369" s="21">
        <v>43.928330571134559</v>
      </c>
      <c r="S369" s="21">
        <v>80.468743086282402</v>
      </c>
    </row>
    <row r="370" spans="1:19">
      <c r="A370" s="9">
        <f t="shared" si="5"/>
        <v>43983</v>
      </c>
      <c r="B370" s="21">
        <v>99.892166387656417</v>
      </c>
      <c r="C370" s="21">
        <v>95.49483911483685</v>
      </c>
      <c r="D370" s="21">
        <v>111.98681773449758</v>
      </c>
      <c r="E370" s="21">
        <v>98.18088286351491</v>
      </c>
      <c r="F370" s="21">
        <v>99.805667792515706</v>
      </c>
      <c r="G370" s="21">
        <v>78.977560302152696</v>
      </c>
      <c r="H370" s="21">
        <v>121.0108104071937</v>
      </c>
      <c r="I370" s="21">
        <v>97.468246849871619</v>
      </c>
      <c r="J370" s="21">
        <v>92.647454143744852</v>
      </c>
      <c r="K370" s="21">
        <v>135.7542712811142</v>
      </c>
      <c r="L370" s="21">
        <v>132.28459421345914</v>
      </c>
      <c r="M370" s="21">
        <v>139.10876767303893</v>
      </c>
      <c r="N370" s="21">
        <v>133.32247651805872</v>
      </c>
      <c r="O370" s="21">
        <v>91.212662877417458</v>
      </c>
      <c r="P370" s="21">
        <v>82.397563594802236</v>
      </c>
      <c r="Q370" s="21">
        <v>92.589395958638036</v>
      </c>
      <c r="R370" s="21">
        <v>43.994588543949192</v>
      </c>
      <c r="S370" s="21">
        <v>81.568288971390416</v>
      </c>
    </row>
    <row r="371" spans="1:19">
      <c r="A371" s="9">
        <f t="shared" si="5"/>
        <v>44013</v>
      </c>
      <c r="B371" s="21">
        <v>102.88717909169276</v>
      </c>
      <c r="C371" s="21">
        <v>97.821885166525036</v>
      </c>
      <c r="D371" s="21">
        <v>114.27392222941326</v>
      </c>
      <c r="E371" s="21">
        <v>96.264846534538208</v>
      </c>
      <c r="F371" s="21">
        <v>97.635717510503255</v>
      </c>
      <c r="G371" s="21">
        <v>80.0625313409477</v>
      </c>
      <c r="H371" s="21">
        <v>126.62181196756426</v>
      </c>
      <c r="I371" s="21">
        <v>95.850504715297248</v>
      </c>
      <c r="J371" s="21">
        <v>93.047592735269191</v>
      </c>
      <c r="K371" s="21">
        <v>144.30147762066059</v>
      </c>
      <c r="L371" s="21">
        <v>139.96679433048817</v>
      </c>
      <c r="M371" s="21">
        <v>148.49226517047916</v>
      </c>
      <c r="N371" s="21">
        <v>141.58489553110886</v>
      </c>
      <c r="O371" s="21">
        <v>89.490643579143551</v>
      </c>
      <c r="P371" s="21">
        <v>86.41654735655753</v>
      </c>
      <c r="Q371" s="21">
        <v>97.37936016548349</v>
      </c>
      <c r="R371" s="21">
        <v>45.856917912462045</v>
      </c>
      <c r="S371" s="21">
        <v>78.359154442526417</v>
      </c>
    </row>
    <row r="372" spans="1:19">
      <c r="A372" s="9">
        <f t="shared" si="5"/>
        <v>44044</v>
      </c>
      <c r="B372" s="21">
        <v>108.67995530333903</v>
      </c>
      <c r="C372" s="21">
        <v>103.13974858097451</v>
      </c>
      <c r="D372" s="21">
        <v>119.36301352034322</v>
      </c>
      <c r="E372" s="21">
        <v>97.774528386260414</v>
      </c>
      <c r="F372" s="21">
        <v>98.623679633801984</v>
      </c>
      <c r="G372" s="21">
        <v>87.738415286693751</v>
      </c>
      <c r="H372" s="21">
        <v>133.9278534060372</v>
      </c>
      <c r="I372" s="21">
        <v>97.523751096079664</v>
      </c>
      <c r="J372" s="21">
        <v>95.827309563206484</v>
      </c>
      <c r="K372" s="21">
        <v>154.77958685473027</v>
      </c>
      <c r="L372" s="21">
        <v>149.07194602312794</v>
      </c>
      <c r="M372" s="21">
        <v>160.29775474260009</v>
      </c>
      <c r="N372" s="21">
        <v>152.45712589881467</v>
      </c>
      <c r="O372" s="21">
        <v>92.112246939393344</v>
      </c>
      <c r="P372" s="21">
        <v>93.227185747626422</v>
      </c>
      <c r="Q372" s="21">
        <v>99.664209281341883</v>
      </c>
      <c r="R372" s="21">
        <v>66.805975785566517</v>
      </c>
      <c r="S372" s="21">
        <v>79.446630688486692</v>
      </c>
    </row>
    <row r="373" spans="1:19">
      <c r="A373" s="9">
        <f t="shared" si="5"/>
        <v>44075</v>
      </c>
      <c r="B373" s="21">
        <v>108.3285197882626</v>
      </c>
      <c r="C373" s="21">
        <v>103.16377305527539</v>
      </c>
      <c r="D373" s="21">
        <v>120.10264117303987</v>
      </c>
      <c r="E373" s="21">
        <v>99.207437459702973</v>
      </c>
      <c r="F373" s="21">
        <v>99.979203527090789</v>
      </c>
      <c r="G373" s="21">
        <v>90.085939303589143</v>
      </c>
      <c r="H373" s="21">
        <v>136.38243576642316</v>
      </c>
      <c r="I373" s="21">
        <v>98.929652488168685</v>
      </c>
      <c r="J373" s="21">
        <v>97.050511188814568</v>
      </c>
      <c r="K373" s="21">
        <v>154.62109106334762</v>
      </c>
      <c r="L373" s="21">
        <v>152.0159739927762</v>
      </c>
      <c r="M373" s="21">
        <v>157.13972770974874</v>
      </c>
      <c r="N373" s="21">
        <v>155.13823969897513</v>
      </c>
      <c r="O373" s="21">
        <v>91.507477185851613</v>
      </c>
      <c r="P373" s="21">
        <v>91.297555359897473</v>
      </c>
      <c r="Q373" s="21">
        <v>93.246012069736594</v>
      </c>
      <c r="R373" s="21">
        <v>80.011798362165436</v>
      </c>
      <c r="S373" s="21">
        <v>81.855204972154326</v>
      </c>
    </row>
    <row r="374" spans="1:19">
      <c r="A374" s="9">
        <f t="shared" si="5"/>
        <v>44105</v>
      </c>
      <c r="B374" s="21">
        <v>111.24664172607579</v>
      </c>
      <c r="C374" s="21">
        <v>106.61084174856829</v>
      </c>
      <c r="D374" s="21">
        <v>122.20002273963412</v>
      </c>
      <c r="E374" s="21">
        <v>103.58507629292971</v>
      </c>
      <c r="F374" s="21">
        <v>105.26410370093346</v>
      </c>
      <c r="G374" s="21">
        <v>83.740662223252102</v>
      </c>
      <c r="H374" s="21">
        <v>137.47971383918468</v>
      </c>
      <c r="I374" s="21">
        <v>103.57153503937161</v>
      </c>
      <c r="J374" s="21">
        <v>103.47993206795933</v>
      </c>
      <c r="K374" s="21">
        <v>153.08996120802331</v>
      </c>
      <c r="L374" s="21">
        <v>150.99384755413428</v>
      </c>
      <c r="M374" s="21">
        <v>155.11649150232168</v>
      </c>
      <c r="N374" s="21">
        <v>153.79009136775301</v>
      </c>
      <c r="O374" s="21">
        <v>90.839739740633931</v>
      </c>
      <c r="P374" s="21">
        <v>95.40285718233676</v>
      </c>
      <c r="Q374" s="21">
        <v>92.299995375525938</v>
      </c>
      <c r="R374" s="21">
        <v>101.23369719846937</v>
      </c>
      <c r="S374" s="21">
        <v>87.050747332433502</v>
      </c>
    </row>
    <row r="375" spans="1:19">
      <c r="A375" s="9">
        <f t="shared" si="5"/>
        <v>44136</v>
      </c>
      <c r="B375" s="21">
        <v>115.23134401960772</v>
      </c>
      <c r="C375" s="21">
        <v>111.37967237299037</v>
      </c>
      <c r="D375" s="21">
        <v>125.14229240121554</v>
      </c>
      <c r="E375" s="21">
        <v>106.95779796822028</v>
      </c>
      <c r="F375" s="21">
        <v>108.76391341088809</v>
      </c>
      <c r="G375" s="21">
        <v>85.611331239275145</v>
      </c>
      <c r="H375" s="21">
        <v>144.11514609743389</v>
      </c>
      <c r="I375" s="21">
        <v>107.19314639734546</v>
      </c>
      <c r="J375" s="21">
        <v>108.78521579715641</v>
      </c>
      <c r="K375" s="21">
        <v>155.34984683786897</v>
      </c>
      <c r="L375" s="21">
        <v>158.15798335534464</v>
      </c>
      <c r="M375" s="21">
        <v>152.63493025277293</v>
      </c>
      <c r="N375" s="21">
        <v>160.2598447696264</v>
      </c>
      <c r="O375" s="21">
        <v>89.627171330426137</v>
      </c>
      <c r="P375" s="21">
        <v>100.89541152644038</v>
      </c>
      <c r="Q375" s="21">
        <v>97.150580386980877</v>
      </c>
      <c r="R375" s="21">
        <v>104.68002515275352</v>
      </c>
      <c r="S375" s="21">
        <v>98.943440695941035</v>
      </c>
    </row>
    <row r="376" spans="1:19">
      <c r="A376" s="9">
        <f t="shared" si="5"/>
        <v>44166</v>
      </c>
      <c r="B376" s="21">
        <v>125.25265916298086</v>
      </c>
      <c r="C376" s="21">
        <v>122.60301287424049</v>
      </c>
      <c r="D376" s="21">
        <v>129.92517873227797</v>
      </c>
      <c r="E376" s="21">
        <v>108.12565781191793</v>
      </c>
      <c r="F376" s="21">
        <v>109.91025627716037</v>
      </c>
      <c r="G376" s="21">
        <v>87.033500099919735</v>
      </c>
      <c r="H376" s="21">
        <v>159.45745552848931</v>
      </c>
      <c r="I376" s="21">
        <v>108.05673434427416</v>
      </c>
      <c r="J376" s="21">
        <v>107.59048545460703</v>
      </c>
      <c r="K376" s="21">
        <v>166.192410694573</v>
      </c>
      <c r="L376" s="21">
        <v>180.07338693899459</v>
      </c>
      <c r="M376" s="21">
        <v>152.77223244156482</v>
      </c>
      <c r="N376" s="21">
        <v>180.35794091266408</v>
      </c>
      <c r="O376" s="21">
        <v>93.053702423098386</v>
      </c>
      <c r="P376" s="21">
        <v>118.49397951505203</v>
      </c>
      <c r="Q376" s="21">
        <v>109.60392336043681</v>
      </c>
      <c r="R376" s="21">
        <v>130.40032072736037</v>
      </c>
      <c r="S376" s="21">
        <v>127.839263792629</v>
      </c>
    </row>
    <row r="377" spans="1:19">
      <c r="A377" s="9">
        <f t="shared" si="5"/>
        <v>44197</v>
      </c>
      <c r="B377" s="21">
        <v>136.95783479285711</v>
      </c>
      <c r="C377" s="21">
        <v>135.5324439176614</v>
      </c>
      <c r="D377" s="21">
        <v>135.92882400477831</v>
      </c>
      <c r="E377" s="21">
        <v>114.60096855813232</v>
      </c>
      <c r="F377" s="21">
        <v>116.92720877695523</v>
      </c>
      <c r="G377" s="21">
        <v>87.10715046570192</v>
      </c>
      <c r="H377" s="21">
        <v>167.03484486654574</v>
      </c>
      <c r="I377" s="21">
        <v>114.06150860345733</v>
      </c>
      <c r="J377" s="21">
        <v>110.41220578272393</v>
      </c>
      <c r="K377" s="21">
        <v>171.60953286962254</v>
      </c>
      <c r="L377" s="21">
        <v>189.54104567162571</v>
      </c>
      <c r="M377" s="21">
        <v>154.27328115997145</v>
      </c>
      <c r="N377" s="21">
        <v>189.44090594489688</v>
      </c>
      <c r="O377" s="21">
        <v>106.03451089038248</v>
      </c>
      <c r="P377" s="21">
        <v>138.44627249070791</v>
      </c>
      <c r="Q377" s="21">
        <v>120.09733845691751</v>
      </c>
      <c r="R377" s="21">
        <v>181.98657030357217</v>
      </c>
      <c r="S377" s="21">
        <v>134.99756956550669</v>
      </c>
    </row>
    <row r="378" spans="1:19">
      <c r="A378" s="9">
        <f t="shared" si="5"/>
        <v>44228</v>
      </c>
      <c r="B378" s="21">
        <v>137.97817427032965</v>
      </c>
      <c r="C378" s="21">
        <v>137.20117875037346</v>
      </c>
      <c r="D378" s="21">
        <v>138.19474632874005</v>
      </c>
      <c r="E378" s="21">
        <v>117.40178196406494</v>
      </c>
      <c r="F378" s="21">
        <v>119.75614174160357</v>
      </c>
      <c r="G378" s="21">
        <v>89.575618989143976</v>
      </c>
      <c r="H378" s="21">
        <v>169.51832603928327</v>
      </c>
      <c r="I378" s="21">
        <v>116.61703640898651</v>
      </c>
      <c r="J378" s="21">
        <v>111.30844187312158</v>
      </c>
      <c r="K378" s="21">
        <v>171.44505986596005</v>
      </c>
      <c r="L378" s="21">
        <v>192.65542037260619</v>
      </c>
      <c r="M378" s="21">
        <v>150.9388062856942</v>
      </c>
      <c r="N378" s="21">
        <v>192.95279701784906</v>
      </c>
      <c r="O378" s="21">
        <v>132.0547394744288</v>
      </c>
      <c r="P378" s="21">
        <v>137.66490834564371</v>
      </c>
      <c r="Q378" s="21">
        <v>136.02863715290675</v>
      </c>
      <c r="R378" s="21">
        <v>117.46722410748637</v>
      </c>
      <c r="S378" s="21">
        <v>133.71139284083443</v>
      </c>
    </row>
    <row r="379" spans="1:19">
      <c r="A379" s="9">
        <f t="shared" si="5"/>
        <v>44256</v>
      </c>
      <c r="B379" s="21">
        <v>141.0038884008718</v>
      </c>
      <c r="C379" s="21">
        <v>141.38433298936363</v>
      </c>
      <c r="D379" s="21">
        <v>140.22083964009229</v>
      </c>
      <c r="E379" s="21">
        <v>119.96422646878786</v>
      </c>
      <c r="F379" s="21">
        <v>122.47150531838561</v>
      </c>
      <c r="G379" s="21">
        <v>90.330713970787798</v>
      </c>
      <c r="H379" s="21">
        <v>174.67919377555899</v>
      </c>
      <c r="I379" s="21">
        <v>119.25736083788154</v>
      </c>
      <c r="J379" s="21">
        <v>114.47560323309325</v>
      </c>
      <c r="K379" s="21">
        <v>171.08888088385962</v>
      </c>
      <c r="L379" s="21">
        <v>198.60874068222518</v>
      </c>
      <c r="M379" s="21">
        <v>144.48258047035108</v>
      </c>
      <c r="N379" s="21">
        <v>198.13481878896476</v>
      </c>
      <c r="O379" s="21">
        <v>151.38526007724693</v>
      </c>
      <c r="P379" s="21">
        <v>142.13654833826237</v>
      </c>
      <c r="Q379" s="21">
        <v>144.28398481392207</v>
      </c>
      <c r="R379" s="21">
        <v>110.62666988854797</v>
      </c>
      <c r="S379" s="21">
        <v>141.67874326681778</v>
      </c>
    </row>
    <row r="380" spans="1:19">
      <c r="A380" s="9">
        <f t="shared" si="5"/>
        <v>44287</v>
      </c>
      <c r="B380" s="21">
        <v>145.24182637718664</v>
      </c>
      <c r="C380" s="21">
        <v>145.70795347006</v>
      </c>
      <c r="D380" s="21">
        <v>146.65776035697183</v>
      </c>
      <c r="E380" s="21">
        <v>126.90752458918071</v>
      </c>
      <c r="F380" s="21">
        <v>130.08281556510499</v>
      </c>
      <c r="G380" s="21">
        <v>89.37878109304576</v>
      </c>
      <c r="H380" s="21">
        <v>181.52351633626404</v>
      </c>
      <c r="I380" s="21">
        <v>125.32237044330354</v>
      </c>
      <c r="J380" s="21">
        <v>114.59922510931531</v>
      </c>
      <c r="K380" s="21">
        <v>177.99404546894635</v>
      </c>
      <c r="L380" s="21">
        <v>208.12438767434531</v>
      </c>
      <c r="M380" s="21">
        <v>148.86392118225689</v>
      </c>
      <c r="N380" s="21">
        <v>207.80911697594411</v>
      </c>
      <c r="O380" s="21">
        <v>158.96733986270806</v>
      </c>
      <c r="P380" s="21">
        <v>143.19371421199261</v>
      </c>
      <c r="Q380" s="21">
        <v>142.46299016949777</v>
      </c>
      <c r="R380" s="21">
        <v>126.17993021146046</v>
      </c>
      <c r="S380" s="21">
        <v>141.58968260332372</v>
      </c>
    </row>
    <row r="381" spans="1:19">
      <c r="A381" s="9">
        <f t="shared" si="5"/>
        <v>44317</v>
      </c>
      <c r="B381" s="21">
        <v>155.19459387045353</v>
      </c>
      <c r="C381" s="21">
        <v>155.9358749248365</v>
      </c>
      <c r="D381" s="21">
        <v>155.63505766267869</v>
      </c>
      <c r="E381" s="21">
        <v>133.15345302129509</v>
      </c>
      <c r="F381" s="21">
        <v>136.36035653466374</v>
      </c>
      <c r="G381" s="21">
        <v>95.251081149680203</v>
      </c>
      <c r="H381" s="21">
        <v>197.4755245008717</v>
      </c>
      <c r="I381" s="21">
        <v>131.2001535334324</v>
      </c>
      <c r="J381" s="21">
        <v>117.98660307612569</v>
      </c>
      <c r="K381" s="21">
        <v>192.19119978309988</v>
      </c>
      <c r="L381" s="21">
        <v>229.07054826364984</v>
      </c>
      <c r="M381" s="21">
        <v>156.53611171516357</v>
      </c>
      <c r="N381" s="21">
        <v>227.4049423587168</v>
      </c>
      <c r="O381" s="21">
        <v>161.76974666727867</v>
      </c>
      <c r="P381" s="21">
        <v>154.55747429845118</v>
      </c>
      <c r="Q381" s="21">
        <v>148.65433021133251</v>
      </c>
      <c r="R381" s="21">
        <v>152.49357233255054</v>
      </c>
      <c r="S381" s="21">
        <v>156.40336140874467</v>
      </c>
    </row>
    <row r="382" spans="1:19">
      <c r="A382" s="9">
        <f t="shared" si="5"/>
        <v>44348</v>
      </c>
      <c r="B382" s="21">
        <v>160.76244349560761</v>
      </c>
      <c r="C382" s="21">
        <v>162.3238763412534</v>
      </c>
      <c r="D382" s="21">
        <v>153.75734334831736</v>
      </c>
      <c r="E382" s="21">
        <v>126.44193149436255</v>
      </c>
      <c r="F382" s="21">
        <v>128.90903114234126</v>
      </c>
      <c r="G382" s="21">
        <v>97.283296720285946</v>
      </c>
      <c r="H382" s="21">
        <v>203.47801926780278</v>
      </c>
      <c r="I382" s="21">
        <v>125.37625640854098</v>
      </c>
      <c r="J382" s="21">
        <v>118.16724846833714</v>
      </c>
      <c r="K382" s="21">
        <v>194.95023735175883</v>
      </c>
      <c r="L382" s="21">
        <v>237.38709467501945</v>
      </c>
      <c r="M382" s="21">
        <v>153.92212954813797</v>
      </c>
      <c r="N382" s="21">
        <v>233.75480701809968</v>
      </c>
      <c r="O382" s="21">
        <v>175.99870497279989</v>
      </c>
      <c r="P382" s="21">
        <v>170.89514108949206</v>
      </c>
      <c r="Q382" s="21">
        <v>161.31369933512738</v>
      </c>
      <c r="R382" s="21">
        <v>175.63555754854062</v>
      </c>
      <c r="S382" s="21">
        <v>183.88860876727591</v>
      </c>
    </row>
    <row r="383" spans="1:19">
      <c r="A383" s="9">
        <f t="shared" si="5"/>
        <v>44378</v>
      </c>
      <c r="B383" s="21">
        <v>164.82704083274263</v>
      </c>
      <c r="C383" s="21">
        <v>167.09727427319444</v>
      </c>
      <c r="D383" s="21">
        <v>153.40417985436414</v>
      </c>
      <c r="E383" s="21">
        <v>127.34872812922472</v>
      </c>
      <c r="F383" s="21">
        <v>129.44838952424234</v>
      </c>
      <c r="G383" s="21">
        <v>102.53284368908628</v>
      </c>
      <c r="H383" s="21">
        <v>202.82580427412381</v>
      </c>
      <c r="I383" s="21">
        <v>125.41929201018766</v>
      </c>
      <c r="J383" s="21">
        <v>112.36717088310812</v>
      </c>
      <c r="K383" s="21">
        <v>194.39660375582815</v>
      </c>
      <c r="L383" s="21">
        <v>238.78103703248186</v>
      </c>
      <c r="M383" s="21">
        <v>151.4855724462823</v>
      </c>
      <c r="N383" s="21">
        <v>234.5330230085475</v>
      </c>
      <c r="O383" s="21">
        <v>170.86605537382312</v>
      </c>
      <c r="P383" s="21">
        <v>181.34991609751162</v>
      </c>
      <c r="Q383" s="21">
        <v>164.9091556859257</v>
      </c>
      <c r="R383" s="21">
        <v>208.80978459297896</v>
      </c>
      <c r="S383" s="21">
        <v>205.24686127627945</v>
      </c>
    </row>
    <row r="384" spans="1:19">
      <c r="A384" s="9">
        <f t="shared" si="5"/>
        <v>44409</v>
      </c>
      <c r="B384" s="21">
        <v>163.17875999709648</v>
      </c>
      <c r="C384" s="21">
        <v>165.4720844189282</v>
      </c>
      <c r="D384" s="21">
        <v>148.91804743548741</v>
      </c>
      <c r="E384" s="21">
        <v>129.99856772236251</v>
      </c>
      <c r="F384" s="21">
        <v>131.8946204401912</v>
      </c>
      <c r="G384" s="21">
        <v>107.5891329203033</v>
      </c>
      <c r="H384" s="21">
        <v>183.26794930855039</v>
      </c>
      <c r="I384" s="21">
        <v>127.4731409950806</v>
      </c>
      <c r="J384" s="21">
        <v>110.3893022419751</v>
      </c>
      <c r="K384" s="21">
        <v>179.656276485273</v>
      </c>
      <c r="L384" s="21">
        <v>212.23554057279327</v>
      </c>
      <c r="M384" s="21">
        <v>148.158525627724</v>
      </c>
      <c r="N384" s="21">
        <v>209.37151534889549</v>
      </c>
      <c r="O384" s="21">
        <v>170.34507513940912</v>
      </c>
      <c r="P384" s="21">
        <v>183.80651475032252</v>
      </c>
      <c r="Q384" s="21">
        <v>156.09552746668228</v>
      </c>
      <c r="R384" s="21">
        <v>244.22433489081368</v>
      </c>
      <c r="S384" s="21">
        <v>231.33667767239029</v>
      </c>
    </row>
    <row r="385" spans="1:19">
      <c r="A385" s="9">
        <f t="shared" si="5"/>
        <v>44440</v>
      </c>
      <c r="B385" s="21">
        <v>171.57113911616324</v>
      </c>
      <c r="C385" s="21">
        <v>174.87476794194035</v>
      </c>
      <c r="D385" s="21">
        <v>143.01347720638907</v>
      </c>
      <c r="E385" s="21">
        <v>126.94409954000803</v>
      </c>
      <c r="F385" s="21">
        <v>127.98321204198733</v>
      </c>
      <c r="G385" s="21">
        <v>114.66283560354113</v>
      </c>
      <c r="H385" s="21">
        <v>167.77233005441653</v>
      </c>
      <c r="I385" s="21">
        <v>124.53686617685013</v>
      </c>
      <c r="J385" s="21">
        <v>108.25257403207318</v>
      </c>
      <c r="K385" s="21">
        <v>168.09964209141776</v>
      </c>
      <c r="L385" s="21">
        <v>191.43006841813349</v>
      </c>
      <c r="M385" s="21">
        <v>145.54370117558889</v>
      </c>
      <c r="N385" s="21">
        <v>188.90526353104775</v>
      </c>
      <c r="O385" s="21">
        <v>178.14697177275602</v>
      </c>
      <c r="P385" s="21">
        <v>212.87906420443829</v>
      </c>
      <c r="Q385" s="21">
        <v>165.15139646123578</v>
      </c>
      <c r="R385" s="21">
        <v>344.61414973702523</v>
      </c>
      <c r="S385" s="21">
        <v>260.60719742822937</v>
      </c>
    </row>
    <row r="386" spans="1:19">
      <c r="A386" s="9">
        <f t="shared" si="5"/>
        <v>44470</v>
      </c>
      <c r="B386" s="21">
        <v>191.50152503090129</v>
      </c>
      <c r="C386" s="21">
        <v>197.06349030323369</v>
      </c>
      <c r="D386" s="21">
        <v>146.5928615924359</v>
      </c>
      <c r="E386" s="21">
        <v>128.66504135257023</v>
      </c>
      <c r="F386" s="21">
        <v>129.49289141063949</v>
      </c>
      <c r="G386" s="21">
        <v>118.88068687352953</v>
      </c>
      <c r="H386" s="21">
        <v>172.75969252777213</v>
      </c>
      <c r="I386" s="21">
        <v>126.65970240440257</v>
      </c>
      <c r="J386" s="21">
        <v>113.09411886728209</v>
      </c>
      <c r="K386" s="21">
        <v>170.42623412695667</v>
      </c>
      <c r="L386" s="21">
        <v>196.47539005937935</v>
      </c>
      <c r="M386" s="21">
        <v>145.24181555308263</v>
      </c>
      <c r="N386" s="21">
        <v>193.13888523082733</v>
      </c>
      <c r="O386" s="21">
        <v>223.03656927099729</v>
      </c>
      <c r="P386" s="21">
        <v>256.46075422101114</v>
      </c>
      <c r="Q386" s="21">
        <v>187.02681902407105</v>
      </c>
      <c r="R386" s="21">
        <v>458.16067382510772</v>
      </c>
      <c r="S386" s="21">
        <v>338.06097664696608</v>
      </c>
    </row>
    <row r="387" spans="1:19">
      <c r="A387" s="9">
        <f t="shared" si="5"/>
        <v>44501</v>
      </c>
      <c r="B387" s="21">
        <v>183.08812608899143</v>
      </c>
      <c r="C387" s="21">
        <v>187.30515567480697</v>
      </c>
      <c r="D387" s="21">
        <v>146.72715915135086</v>
      </c>
      <c r="E387" s="21">
        <v>130.84853334870976</v>
      </c>
      <c r="F387" s="21">
        <v>131.57668052522919</v>
      </c>
      <c r="G387" s="21">
        <v>122.24256658149815</v>
      </c>
      <c r="H387" s="21">
        <v>161.65557215511276</v>
      </c>
      <c r="I387" s="21">
        <v>128.85372612261605</v>
      </c>
      <c r="J387" s="21">
        <v>115.35938687849394</v>
      </c>
      <c r="K387" s="21">
        <v>164.09457279783442</v>
      </c>
      <c r="L387" s="21">
        <v>180.05724433436791</v>
      </c>
      <c r="M387" s="21">
        <v>148.66180397506596</v>
      </c>
      <c r="N387" s="21">
        <v>178.87759415895408</v>
      </c>
      <c r="O387" s="21">
        <v>263.03277017482418</v>
      </c>
      <c r="P387" s="21">
        <v>235.68333164688178</v>
      </c>
      <c r="Q387" s="21">
        <v>182.0506768346595</v>
      </c>
      <c r="R387" s="21">
        <v>419.7470260855074</v>
      </c>
      <c r="S387" s="21">
        <v>235.57248631800908</v>
      </c>
    </row>
    <row r="388" spans="1:19">
      <c r="A388" s="9">
        <f t="shared" si="5"/>
        <v>44531</v>
      </c>
      <c r="B388" s="21">
        <v>186.69134058182303</v>
      </c>
      <c r="C388" s="21">
        <v>191.62033450386986</v>
      </c>
      <c r="D388" s="21">
        <v>149.84333675778285</v>
      </c>
      <c r="E388" s="21">
        <v>134.53404581852297</v>
      </c>
      <c r="F388" s="21">
        <v>135.3478606684462</v>
      </c>
      <c r="G388" s="21">
        <v>124.9155733737344</v>
      </c>
      <c r="H388" s="21">
        <v>168.84821361883914</v>
      </c>
      <c r="I388" s="21">
        <v>131.91063107529047</v>
      </c>
      <c r="J388" s="21">
        <v>114.16392950927742</v>
      </c>
      <c r="K388" s="21">
        <v>167.17950773610198</v>
      </c>
      <c r="L388" s="21">
        <v>190.58396276380412</v>
      </c>
      <c r="M388" s="21">
        <v>144.55199560326469</v>
      </c>
      <c r="N388" s="21">
        <v>186.63221042021553</v>
      </c>
      <c r="O388" s="21">
        <v>267.59453090401587</v>
      </c>
      <c r="P388" s="21">
        <v>239.99103249725138</v>
      </c>
      <c r="Q388" s="21">
        <v>168.07915516408252</v>
      </c>
      <c r="R388" s="21">
        <v>504.14352711501988</v>
      </c>
      <c r="S388" s="21">
        <v>236.17601562977788</v>
      </c>
    </row>
    <row r="389" spans="1:19">
      <c r="A389" s="9">
        <f t="shared" si="5"/>
        <v>44562</v>
      </c>
      <c r="B389" s="21">
        <v>192.25004996335866</v>
      </c>
      <c r="C389" s="21">
        <v>197.53501087752656</v>
      </c>
      <c r="D389" s="21">
        <v>158.28655194008655</v>
      </c>
      <c r="E389" s="21">
        <v>140.54569431178342</v>
      </c>
      <c r="F389" s="21">
        <v>141.84761909851107</v>
      </c>
      <c r="G389" s="21">
        <v>125.15825368261712</v>
      </c>
      <c r="H389" s="21">
        <v>183.35675957503557</v>
      </c>
      <c r="I389" s="21">
        <v>137.78504266093424</v>
      </c>
      <c r="J389" s="21">
        <v>119.10996999020078</v>
      </c>
      <c r="K389" s="21">
        <v>177.93237082044806</v>
      </c>
      <c r="L389" s="21">
        <v>208.89338539951339</v>
      </c>
      <c r="M389" s="21">
        <v>147.99914946564462</v>
      </c>
      <c r="N389" s="21">
        <v>204.12933644161302</v>
      </c>
      <c r="O389" s="21">
        <v>294.97763391204739</v>
      </c>
      <c r="P389" s="21">
        <v>241.37737826193072</v>
      </c>
      <c r="Q389" s="21">
        <v>193.11044793116335</v>
      </c>
      <c r="R389" s="21">
        <v>389.05338505692856</v>
      </c>
      <c r="S389" s="21">
        <v>300.82798292087983</v>
      </c>
    </row>
    <row r="390" spans="1:19">
      <c r="A390" s="9">
        <f t="shared" si="5"/>
        <v>44593</v>
      </c>
      <c r="B390" s="21">
        <v>203.50576269555251</v>
      </c>
      <c r="C390" s="21">
        <v>209.7058482899526</v>
      </c>
      <c r="D390" s="21">
        <v>164.4158193313738</v>
      </c>
      <c r="E390" s="21">
        <v>147.07553292565768</v>
      </c>
      <c r="F390" s="21">
        <v>148.72367473202323</v>
      </c>
      <c r="G390" s="21">
        <v>127.59615558187116</v>
      </c>
      <c r="H390" s="21">
        <v>190.20894844582651</v>
      </c>
      <c r="I390" s="21">
        <v>144.0650978391285</v>
      </c>
      <c r="J390" s="21">
        <v>123.70030679634523</v>
      </c>
      <c r="K390" s="21">
        <v>184.00099756852848</v>
      </c>
      <c r="L390" s="21">
        <v>216.64460860678167</v>
      </c>
      <c r="M390" s="21">
        <v>152.44103584528338</v>
      </c>
      <c r="N390" s="21">
        <v>212.54453731682293</v>
      </c>
      <c r="O390" s="21">
        <v>299.10111672466951</v>
      </c>
      <c r="P390" s="21">
        <v>260.04836262176536</v>
      </c>
      <c r="Q390" s="21">
        <v>212.07010693109524</v>
      </c>
      <c r="R390" s="21">
        <v>389.72492150184075</v>
      </c>
      <c r="S390" s="21">
        <v>357.95397058120244</v>
      </c>
    </row>
    <row r="391" spans="1:19">
      <c r="A391" s="9">
        <f t="shared" ref="A391:A429" si="6">EDATE(A390,1)</f>
        <v>44621</v>
      </c>
      <c r="B391" s="21">
        <v>239.86197033061055</v>
      </c>
      <c r="C391" s="21">
        <v>249.34553350902084</v>
      </c>
      <c r="D391" s="21">
        <v>176.31311458907339</v>
      </c>
      <c r="E391" s="21">
        <v>157.72953045160639</v>
      </c>
      <c r="F391" s="21">
        <v>160.94743198225447</v>
      </c>
      <c r="G391" s="21">
        <v>119.69717308493719</v>
      </c>
      <c r="H391" s="21">
        <v>204.92347809320154</v>
      </c>
      <c r="I391" s="21">
        <v>154.57154961699462</v>
      </c>
      <c r="J391" s="21">
        <v>133.20865091117005</v>
      </c>
      <c r="K391" s="21">
        <v>196.31326647220519</v>
      </c>
      <c r="L391" s="21">
        <v>233.42847763713067</v>
      </c>
      <c r="M391" s="21">
        <v>160.43014550429012</v>
      </c>
      <c r="N391" s="21">
        <v>228.88352929563663</v>
      </c>
      <c r="O391" s="21">
        <v>331.22184578613417</v>
      </c>
      <c r="P391" s="21">
        <v>331.78375933108026</v>
      </c>
      <c r="Q391" s="21">
        <v>254.43002816336596</v>
      </c>
      <c r="R391" s="21">
        <v>557.99287500225216</v>
      </c>
      <c r="S391" s="21">
        <v>505.27950866105465</v>
      </c>
    </row>
    <row r="392" spans="1:19">
      <c r="A392" s="9">
        <f t="shared" si="6"/>
        <v>44652</v>
      </c>
      <c r="B392" s="21">
        <v>228.26514265856392</v>
      </c>
      <c r="C392" s="21">
        <v>236.56297566661766</v>
      </c>
      <c r="D392" s="21">
        <v>178.30363737681535</v>
      </c>
      <c r="E392" s="21">
        <v>162.22220422852331</v>
      </c>
      <c r="F392" s="21">
        <v>165.74816581175713</v>
      </c>
      <c r="G392" s="21">
        <v>120.54888709389768</v>
      </c>
      <c r="H392" s="21">
        <v>203.52978119480437</v>
      </c>
      <c r="I392" s="21">
        <v>158.5001951339338</v>
      </c>
      <c r="J392" s="21">
        <v>133.32179556975498</v>
      </c>
      <c r="K392" s="21">
        <v>194.04429456264126</v>
      </c>
      <c r="L392" s="21">
        <v>231.43584576834698</v>
      </c>
      <c r="M392" s="21">
        <v>157.89400703954925</v>
      </c>
      <c r="N392" s="21">
        <v>225.68205636357428</v>
      </c>
      <c r="O392" s="21">
        <v>348.95076268013884</v>
      </c>
      <c r="P392" s="21">
        <v>300.53317790586027</v>
      </c>
      <c r="Q392" s="21">
        <v>244.03950371967107</v>
      </c>
      <c r="R392" s="21">
        <v>463.03131534045571</v>
      </c>
      <c r="S392" s="21">
        <v>470.77725845894417</v>
      </c>
    </row>
    <row r="393" spans="1:19">
      <c r="A393" s="9">
        <f t="shared" si="6"/>
        <v>44682</v>
      </c>
      <c r="B393" s="21">
        <v>226.33730049076485</v>
      </c>
      <c r="C393" s="21">
        <v>235.17888882477232</v>
      </c>
      <c r="D393" s="21">
        <v>170.79695895159387</v>
      </c>
      <c r="E393" s="21">
        <v>159.06666938821169</v>
      </c>
      <c r="F393" s="21">
        <v>162.52524177437888</v>
      </c>
      <c r="G393" s="21">
        <v>118.18982473761933</v>
      </c>
      <c r="H393" s="21">
        <v>187.21320622103281</v>
      </c>
      <c r="I393" s="21">
        <v>155.9284940204669</v>
      </c>
      <c r="J393" s="21">
        <v>134.69957401959948</v>
      </c>
      <c r="K393" s="21">
        <v>178.5159339952169</v>
      </c>
      <c r="L393" s="21">
        <v>208.08617100072036</v>
      </c>
      <c r="M393" s="21">
        <v>149.92732145025761</v>
      </c>
      <c r="N393" s="21">
        <v>203.04281129812628</v>
      </c>
      <c r="O393" s="21">
        <v>347.82457761333558</v>
      </c>
      <c r="P393" s="21">
        <v>306.67497921690921</v>
      </c>
      <c r="Q393" s="21">
        <v>263.11640053517795</v>
      </c>
      <c r="R393" s="21">
        <v>415.14838761241248</v>
      </c>
      <c r="S393" s="21">
        <v>550.85949717150334</v>
      </c>
    </row>
    <row r="394" spans="1:19">
      <c r="A394" s="9">
        <f t="shared" si="6"/>
        <v>44713</v>
      </c>
      <c r="B394" s="21">
        <v>231.60325471597977</v>
      </c>
      <c r="C394" s="21">
        <v>241.15630245490513</v>
      </c>
      <c r="D394" s="21">
        <v>164.87533345708869</v>
      </c>
      <c r="E394" s="21">
        <v>153.35098822087525</v>
      </c>
      <c r="F394" s="21">
        <v>156.11419932569802</v>
      </c>
      <c r="G394" s="21">
        <v>120.69261405459036</v>
      </c>
      <c r="H394" s="21">
        <v>180.41876189520579</v>
      </c>
      <c r="I394" s="21">
        <v>150.40744793014468</v>
      </c>
      <c r="J394" s="21">
        <v>130.49518235266149</v>
      </c>
      <c r="K394" s="21">
        <v>173.81235035811522</v>
      </c>
      <c r="L394" s="21">
        <v>200.26224012711174</v>
      </c>
      <c r="M394" s="21">
        <v>148.24050085545514</v>
      </c>
      <c r="N394" s="21">
        <v>195.36301661585114</v>
      </c>
      <c r="O394" s="21">
        <v>320.12042189161434</v>
      </c>
      <c r="P394" s="21">
        <v>328.12348040417533</v>
      </c>
      <c r="Q394" s="21">
        <v>275.42600015988342</v>
      </c>
      <c r="R394" s="21">
        <v>483.23027619543836</v>
      </c>
      <c r="S394" s="21">
        <v>559.39291697298938</v>
      </c>
    </row>
    <row r="395" spans="1:19">
      <c r="A395" s="9">
        <f t="shared" si="6"/>
        <v>44743</v>
      </c>
      <c r="B395" s="21">
        <v>229.44624567392034</v>
      </c>
      <c r="C395" s="21">
        <v>239.65864973306549</v>
      </c>
      <c r="D395" s="21">
        <v>150.38244980236729</v>
      </c>
      <c r="E395" s="21">
        <v>141.95972612643857</v>
      </c>
      <c r="F395" s="21">
        <v>144.22375440774709</v>
      </c>
      <c r="G395" s="21">
        <v>115.20119052089774</v>
      </c>
      <c r="H395" s="21">
        <v>157.4343247862426</v>
      </c>
      <c r="I395" s="21">
        <v>139.08194584533459</v>
      </c>
      <c r="J395" s="21">
        <v>119.61452920713273</v>
      </c>
      <c r="K395" s="21">
        <v>156.12955074946598</v>
      </c>
      <c r="L395" s="21">
        <v>172.46682640543543</v>
      </c>
      <c r="M395" s="21">
        <v>140.33461330335152</v>
      </c>
      <c r="N395" s="21">
        <v>169.83881586446105</v>
      </c>
      <c r="O395" s="21">
        <v>286.35552343332506</v>
      </c>
      <c r="P395" s="21">
        <v>343.8099974185609</v>
      </c>
      <c r="Q395" s="21">
        <v>250.04563906650455</v>
      </c>
      <c r="R395" s="21">
        <v>668.92834203093435</v>
      </c>
      <c r="S395" s="21">
        <v>564.48525216222185</v>
      </c>
    </row>
    <row r="396" spans="1:19">
      <c r="A396" s="9">
        <f t="shared" si="6"/>
        <v>44774</v>
      </c>
      <c r="B396" s="21">
        <v>241.91874598248484</v>
      </c>
      <c r="C396" s="21">
        <v>253.29972951978615</v>
      </c>
      <c r="D396" s="21">
        <v>148.9386404179601</v>
      </c>
      <c r="E396" s="21">
        <v>138.75397652624014</v>
      </c>
      <c r="F396" s="21">
        <v>140.24217936642347</v>
      </c>
      <c r="G396" s="21">
        <v>121.1649167887452</v>
      </c>
      <c r="H396" s="21">
        <v>158.51022819857266</v>
      </c>
      <c r="I396" s="21">
        <v>136.04058314681413</v>
      </c>
      <c r="J396" s="21">
        <v>117.68520008735395</v>
      </c>
      <c r="K396" s="21">
        <v>158.73484722621706</v>
      </c>
      <c r="L396" s="21">
        <v>174.73724084600414</v>
      </c>
      <c r="M396" s="21">
        <v>143.26367494907646</v>
      </c>
      <c r="N396" s="21">
        <v>172.8179122517721</v>
      </c>
      <c r="O396" s="21">
        <v>265.5190707109881</v>
      </c>
      <c r="P396" s="21">
        <v>376.41208256914467</v>
      </c>
      <c r="Q396" s="21">
        <v>233.89507495280841</v>
      </c>
      <c r="R396" s="21">
        <v>893.10185041002069</v>
      </c>
      <c r="S396" s="21">
        <v>577.57684082860965</v>
      </c>
    </row>
    <row r="397" spans="1:19">
      <c r="A397" s="9">
        <f t="shared" si="6"/>
        <v>44805</v>
      </c>
      <c r="B397" s="21">
        <v>220.01863283641518</v>
      </c>
      <c r="C397" s="21">
        <v>229.6554213787357</v>
      </c>
      <c r="D397" s="21">
        <v>143.88112370065224</v>
      </c>
      <c r="E397" s="21">
        <v>134.36453841895738</v>
      </c>
      <c r="F397" s="21">
        <v>135.46875437291521</v>
      </c>
      <c r="G397" s="21">
        <v>121.31381720486087</v>
      </c>
      <c r="H397" s="21">
        <v>150.15153354033023</v>
      </c>
      <c r="I397" s="21">
        <v>131.30660266790605</v>
      </c>
      <c r="J397" s="21">
        <v>110.62048228913541</v>
      </c>
      <c r="K397" s="21">
        <v>151.22023285423833</v>
      </c>
      <c r="L397" s="21">
        <v>165.86422005390358</v>
      </c>
      <c r="M397" s="21">
        <v>137.06237283821426</v>
      </c>
      <c r="N397" s="21">
        <v>164.46877994018368</v>
      </c>
      <c r="O397" s="21">
        <v>283.92028780342127</v>
      </c>
      <c r="P397" s="21">
        <v>330.14958591389785</v>
      </c>
      <c r="Q397" s="21">
        <v>219.82368428538601</v>
      </c>
      <c r="R397" s="21">
        <v>725.03042166561477</v>
      </c>
      <c r="S397" s="21">
        <v>559.89313922398196</v>
      </c>
    </row>
    <row r="398" spans="1:19">
      <c r="A398" s="9">
        <f t="shared" si="6"/>
        <v>44835</v>
      </c>
      <c r="B398" s="21">
        <v>191.36633608246652</v>
      </c>
      <c r="C398" s="21">
        <v>197.91194618099092</v>
      </c>
      <c r="D398" s="21">
        <v>144.01510534360995</v>
      </c>
      <c r="E398" s="21">
        <v>136.3461228357958</v>
      </c>
      <c r="F398" s="21">
        <v>138.28439262415625</v>
      </c>
      <c r="G398" s="21">
        <v>113.43772475032151</v>
      </c>
      <c r="H398" s="21">
        <v>145.46086485610459</v>
      </c>
      <c r="I398" s="21">
        <v>132.2866156734548</v>
      </c>
      <c r="J398" s="21">
        <v>104.82513162827973</v>
      </c>
      <c r="K398" s="21">
        <v>148.62022838266012</v>
      </c>
      <c r="L398" s="21">
        <v>161.61263712749624</v>
      </c>
      <c r="M398" s="21">
        <v>136.05912041579694</v>
      </c>
      <c r="N398" s="21">
        <v>160.8404634595953</v>
      </c>
      <c r="O398" s="21">
        <v>301.35927290726363</v>
      </c>
      <c r="P398" s="21">
        <v>259.8586761899341</v>
      </c>
      <c r="Q398" s="21">
        <v>227.62685188690591</v>
      </c>
      <c r="R398" s="21">
        <v>372.15972684721811</v>
      </c>
      <c r="S398" s="21">
        <v>483.84108156069107</v>
      </c>
    </row>
    <row r="399" spans="1:19">
      <c r="A399" s="9">
        <f t="shared" si="6"/>
        <v>44866</v>
      </c>
      <c r="B399" s="21">
        <v>192.08216584563152</v>
      </c>
      <c r="C399" s="21">
        <v>198.1534827122797</v>
      </c>
      <c r="D399" s="21">
        <v>147.29908798735221</v>
      </c>
      <c r="E399" s="21">
        <v>135.77231017439954</v>
      </c>
      <c r="F399" s="21">
        <v>138.27825112530522</v>
      </c>
      <c r="G399" s="21">
        <v>106.15461029238371</v>
      </c>
      <c r="H399" s="21">
        <v>150.97662954011278</v>
      </c>
      <c r="I399" s="21">
        <v>131.88885485600434</v>
      </c>
      <c r="J399" s="21">
        <v>105.61831461516324</v>
      </c>
      <c r="K399" s="21">
        <v>154.51738590273891</v>
      </c>
      <c r="L399" s="21">
        <v>169.00551975785345</v>
      </c>
      <c r="M399" s="21">
        <v>140.51020546633302</v>
      </c>
      <c r="N399" s="21">
        <v>167.53723158116992</v>
      </c>
      <c r="O399" s="21">
        <v>340.10613837232216</v>
      </c>
      <c r="P399" s="21">
        <v>256.8597387168565</v>
      </c>
      <c r="Q399" s="21">
        <v>213.71421113713578</v>
      </c>
      <c r="R399" s="21">
        <v>418.04128067388535</v>
      </c>
      <c r="S399" s="21">
        <v>417.4455654219629</v>
      </c>
    </row>
    <row r="400" spans="1:19">
      <c r="A400" s="9">
        <f t="shared" si="6"/>
        <v>44896</v>
      </c>
      <c r="B400" s="21">
        <v>194.34835312878772</v>
      </c>
      <c r="C400" s="21">
        <v>200.04611666161719</v>
      </c>
      <c r="D400" s="21">
        <v>149.99676234885112</v>
      </c>
      <c r="E400" s="21">
        <v>134.03783446380251</v>
      </c>
      <c r="F400" s="21">
        <v>136.42391968195724</v>
      </c>
      <c r="G400" s="21">
        <v>105.8367087115452</v>
      </c>
      <c r="H400" s="21">
        <v>161.98024556968645</v>
      </c>
      <c r="I400" s="21">
        <v>130.40317569340917</v>
      </c>
      <c r="J400" s="21">
        <v>105.81567779249318</v>
      </c>
      <c r="K400" s="21">
        <v>164.73203666299693</v>
      </c>
      <c r="L400" s="21">
        <v>184.30437353293425</v>
      </c>
      <c r="M400" s="21">
        <v>145.80943028449821</v>
      </c>
      <c r="N400" s="21">
        <v>181.5090356637767</v>
      </c>
      <c r="O400" s="21">
        <v>328.8403555508263</v>
      </c>
      <c r="P400" s="21">
        <v>258.50179101427534</v>
      </c>
      <c r="Q400" s="21">
        <v>189.2964272215994</v>
      </c>
      <c r="R400" s="21">
        <v>483.49941767258878</v>
      </c>
      <c r="S400" s="21">
        <v>465.72073842680072</v>
      </c>
    </row>
    <row r="401" spans="1:19">
      <c r="A401" s="9">
        <f t="shared" si="6"/>
        <v>44927</v>
      </c>
      <c r="B401" s="21">
        <v>182.63627672333237</v>
      </c>
      <c r="C401" s="21">
        <v>186.11502246216608</v>
      </c>
      <c r="D401" s="21">
        <v>154.54292776325593</v>
      </c>
      <c r="E401" s="21">
        <v>135.91837742147058</v>
      </c>
      <c r="F401" s="21">
        <v>138.37186304507074</v>
      </c>
      <c r="G401" s="21">
        <v>106.92064671342293</v>
      </c>
      <c r="H401" s="21">
        <v>171.62129830343457</v>
      </c>
      <c r="I401" s="21">
        <v>131.7039294412786</v>
      </c>
      <c r="J401" s="21">
        <v>103.19431205695474</v>
      </c>
      <c r="K401" s="21">
        <v>175.41294488337641</v>
      </c>
      <c r="L401" s="21">
        <v>198.81945645833653</v>
      </c>
      <c r="M401" s="21">
        <v>152.7834444731802</v>
      </c>
      <c r="N401" s="21">
        <v>194.4364816785874</v>
      </c>
      <c r="O401" s="21">
        <v>318.93720542236974</v>
      </c>
      <c r="P401" s="21">
        <v>223.27258504535291</v>
      </c>
      <c r="Q401" s="21">
        <v>193.77341691428282</v>
      </c>
      <c r="R401" s="21">
        <v>290.28636659149669</v>
      </c>
      <c r="S401" s="21">
        <v>414.44659077107872</v>
      </c>
    </row>
    <row r="402" spans="1:19">
      <c r="A402" s="9">
        <f t="shared" si="6"/>
        <v>44958</v>
      </c>
      <c r="B402" s="21">
        <v>174.56128557685528</v>
      </c>
      <c r="C402" s="21">
        <v>177.51302302772274</v>
      </c>
      <c r="D402" s="21">
        <v>155.78659526697561</v>
      </c>
      <c r="E402" s="21">
        <v>140.44519053459877</v>
      </c>
      <c r="F402" s="21">
        <v>142.63108957676974</v>
      </c>
      <c r="G402" s="21">
        <v>114.61006390082548</v>
      </c>
      <c r="H402" s="21">
        <v>179.16501994867767</v>
      </c>
      <c r="I402" s="21">
        <v>135.73103526218313</v>
      </c>
      <c r="J402" s="21">
        <v>103.84103122404102</v>
      </c>
      <c r="K402" s="21">
        <v>178.05738166199717</v>
      </c>
      <c r="L402" s="21">
        <v>209.10457845577346</v>
      </c>
      <c r="M402" s="21">
        <v>148.04083902897131</v>
      </c>
      <c r="N402" s="21">
        <v>201.98185382546683</v>
      </c>
      <c r="O402" s="21">
        <v>253.08842181809817</v>
      </c>
      <c r="P402" s="21">
        <v>201.71839330249298</v>
      </c>
      <c r="Q402" s="21">
        <v>193.61103726019277</v>
      </c>
      <c r="R402" s="21">
        <v>231.51800698016174</v>
      </c>
      <c r="S402" s="21">
        <v>283.78440219512231</v>
      </c>
    </row>
    <row r="403" spans="1:19">
      <c r="A403" s="9">
        <f t="shared" si="6"/>
        <v>44986</v>
      </c>
      <c r="B403" s="21">
        <v>168.3002588771636</v>
      </c>
      <c r="C403" s="21">
        <v>169.99776690646286</v>
      </c>
      <c r="D403" s="21">
        <v>156.04778004865312</v>
      </c>
      <c r="E403" s="21">
        <v>143.80299952927044</v>
      </c>
      <c r="F403" s="21">
        <v>146.20625689175736</v>
      </c>
      <c r="G403" s="21">
        <v>115.3989163142779</v>
      </c>
      <c r="H403" s="21">
        <v>174.34728896873349</v>
      </c>
      <c r="I403" s="21">
        <v>138.26451040078521</v>
      </c>
      <c r="J403" s="21">
        <v>100.79810752133699</v>
      </c>
      <c r="K403" s="21">
        <v>177.25754996921737</v>
      </c>
      <c r="L403" s="21">
        <v>203.58140227549606</v>
      </c>
      <c r="M403" s="21">
        <v>151.80755394331902</v>
      </c>
      <c r="N403" s="21">
        <v>196.63334280281066</v>
      </c>
      <c r="O403" s="21">
        <v>224.87964693274404</v>
      </c>
      <c r="P403" s="21">
        <v>186.02315507198685</v>
      </c>
      <c r="Q403" s="21">
        <v>185.08696213633209</v>
      </c>
      <c r="R403" s="21">
        <v>197.48576055830503</v>
      </c>
      <c r="S403" s="21">
        <v>242.69308679305212</v>
      </c>
    </row>
    <row r="404" spans="1:19">
      <c r="A404" s="9">
        <f t="shared" si="6"/>
        <v>45017</v>
      </c>
      <c r="B404" s="21">
        <v>170.76465537112372</v>
      </c>
      <c r="C404" s="21">
        <v>171.96140590109445</v>
      </c>
      <c r="D404" s="21">
        <v>155.82912087628907</v>
      </c>
      <c r="E404" s="21">
        <v>144.18686374715494</v>
      </c>
      <c r="F404" s="21">
        <v>146.14215798709841</v>
      </c>
      <c r="G404" s="21">
        <v>121.07725377859197</v>
      </c>
      <c r="H404" s="21">
        <v>168.36079088479636</v>
      </c>
      <c r="I404" s="21">
        <v>138.4968901473114</v>
      </c>
      <c r="J404" s="21">
        <v>100.00573519157912</v>
      </c>
      <c r="K404" s="21">
        <v>177.22845827435231</v>
      </c>
      <c r="L404" s="21">
        <v>195.53035829398357</v>
      </c>
      <c r="M404" s="21">
        <v>159.53411485734014</v>
      </c>
      <c r="N404" s="21">
        <v>191.00885562541959</v>
      </c>
      <c r="O404" s="21">
        <v>214.23549885166048</v>
      </c>
      <c r="P404" s="21">
        <v>192.36852273306704</v>
      </c>
      <c r="Q404" s="21">
        <v>195.46287923136205</v>
      </c>
      <c r="R404" s="21">
        <v>187.26690148745726</v>
      </c>
      <c r="S404" s="21">
        <v>242.19822795228052</v>
      </c>
    </row>
    <row r="405" spans="1:19">
      <c r="A405" s="9">
        <f t="shared" si="6"/>
        <v>45047</v>
      </c>
      <c r="B405" s="21">
        <v>157.13401197111421</v>
      </c>
      <c r="C405" s="21">
        <v>156.87791003814294</v>
      </c>
      <c r="D405" s="21">
        <v>148.77444306370609</v>
      </c>
      <c r="E405" s="21">
        <v>137.38359343594109</v>
      </c>
      <c r="F405" s="21">
        <v>138.65719276484884</v>
      </c>
      <c r="G405" s="21">
        <v>122.33093120944518</v>
      </c>
      <c r="H405" s="21">
        <v>156.68402908118074</v>
      </c>
      <c r="I405" s="21">
        <v>132.90290283179357</v>
      </c>
      <c r="J405" s="21">
        <v>102.59222505331022</v>
      </c>
      <c r="K405" s="21">
        <v>168.1831627517181</v>
      </c>
      <c r="L405" s="21">
        <v>178.1842809779194</v>
      </c>
      <c r="M405" s="21">
        <v>158.51404532354232</v>
      </c>
      <c r="N405" s="21">
        <v>175.28701385303683</v>
      </c>
      <c r="O405" s="21">
        <v>204.49160016112822</v>
      </c>
      <c r="P405" s="21">
        <v>169.22591386730184</v>
      </c>
      <c r="Q405" s="21">
        <v>177.50003401852871</v>
      </c>
      <c r="R405" s="21">
        <v>150.93660590535674</v>
      </c>
      <c r="S405" s="21">
        <v>212.39775222255653</v>
      </c>
    </row>
    <row r="406" spans="1:19">
      <c r="A406" s="9">
        <f t="shared" si="6"/>
        <v>45078</v>
      </c>
      <c r="B406" s="21">
        <v>154.06916932419671</v>
      </c>
      <c r="C406" s="21">
        <v>153.87504246564589</v>
      </c>
      <c r="D406" s="21">
        <v>145.9433742283629</v>
      </c>
      <c r="E406" s="21">
        <v>135.24765132645663</v>
      </c>
      <c r="F406" s="21">
        <v>136.07342315428542</v>
      </c>
      <c r="G406" s="21">
        <v>125.48785943717961</v>
      </c>
      <c r="H406" s="21">
        <v>156.43436361204215</v>
      </c>
      <c r="I406" s="21">
        <v>130.67245309237916</v>
      </c>
      <c r="J406" s="21">
        <v>99.722456384853217</v>
      </c>
      <c r="K406" s="21">
        <v>166.36395268499848</v>
      </c>
      <c r="L406" s="21">
        <v>178.97604645739125</v>
      </c>
      <c r="M406" s="21">
        <v>154.17053461491244</v>
      </c>
      <c r="N406" s="21">
        <v>174.91798832160893</v>
      </c>
      <c r="O406" s="21">
        <v>178.71716959957175</v>
      </c>
      <c r="P406" s="21">
        <v>165.822923401189</v>
      </c>
      <c r="Q406" s="21">
        <v>176.755460259747</v>
      </c>
      <c r="R406" s="21">
        <v>156.48057468256778</v>
      </c>
      <c r="S406" s="21">
        <v>176.46114478853841</v>
      </c>
    </row>
    <row r="407" spans="1:19">
      <c r="A407" s="9">
        <f t="shared" si="6"/>
        <v>45108</v>
      </c>
      <c r="B407" s="21">
        <v>157.9089764613019</v>
      </c>
      <c r="C407" s="21">
        <v>158.09903036416705</v>
      </c>
      <c r="D407" s="21">
        <v>146.10910980409028</v>
      </c>
      <c r="E407" s="21">
        <v>135.64890629244948</v>
      </c>
      <c r="F407" s="21">
        <v>136.67460774206242</v>
      </c>
      <c r="G407" s="21">
        <v>123.52614749711381</v>
      </c>
      <c r="H407" s="21">
        <v>157.40657607584558</v>
      </c>
      <c r="I407" s="21">
        <v>131.16823439994823</v>
      </c>
      <c r="J407" s="21">
        <v>100.85768320076481</v>
      </c>
      <c r="K407" s="21">
        <v>166.8928259836778</v>
      </c>
      <c r="L407" s="21">
        <v>179.88346445378693</v>
      </c>
      <c r="M407" s="21">
        <v>154.33342952485097</v>
      </c>
      <c r="N407" s="21">
        <v>175.5155722468046</v>
      </c>
      <c r="O407" s="21">
        <v>168.57659428960048</v>
      </c>
      <c r="P407" s="21">
        <v>174.97718076555208</v>
      </c>
      <c r="Q407" s="21">
        <v>188.44598326613581</v>
      </c>
      <c r="R407" s="21">
        <v>156.87727763900133</v>
      </c>
      <c r="S407" s="21">
        <v>173.82607827974223</v>
      </c>
    </row>
    <row r="408" spans="1:19">
      <c r="A408" s="9">
        <f t="shared" si="6"/>
        <v>45139</v>
      </c>
      <c r="B408" s="21">
        <v>161.27162342386376</v>
      </c>
      <c r="C408" s="21">
        <v>162.12274017100759</v>
      </c>
      <c r="D408" s="21">
        <v>142.6398950068774</v>
      </c>
      <c r="E408" s="21">
        <v>130.64607057064384</v>
      </c>
      <c r="F408" s="21">
        <v>131.29973838247486</v>
      </c>
      <c r="G408" s="21">
        <v>122.92037493270443</v>
      </c>
      <c r="H408" s="21">
        <v>154.70061111725263</v>
      </c>
      <c r="I408" s="21">
        <v>126.7725937606607</v>
      </c>
      <c r="J408" s="21">
        <v>100.56955546983367</v>
      </c>
      <c r="K408" s="21">
        <v>163.80491895437135</v>
      </c>
      <c r="L408" s="21">
        <v>176.21646463280976</v>
      </c>
      <c r="M408" s="21">
        <v>151.80539150997168</v>
      </c>
      <c r="N408" s="21">
        <v>171.93669381130607</v>
      </c>
      <c r="O408" s="21">
        <v>177.32648646425309</v>
      </c>
      <c r="P408" s="21">
        <v>188.22194044020699</v>
      </c>
      <c r="Q408" s="21">
        <v>203.15107209149269</v>
      </c>
      <c r="R408" s="21">
        <v>169.30792222391543</v>
      </c>
      <c r="S408" s="21">
        <v>197.22956869031501</v>
      </c>
    </row>
    <row r="409" spans="1:19">
      <c r="A409" s="9">
        <f t="shared" si="6"/>
        <v>45170</v>
      </c>
      <c r="B409" s="21">
        <v>168.60709644448113</v>
      </c>
      <c r="C409" s="21">
        <v>170.32312704118684</v>
      </c>
      <c r="D409" s="21">
        <v>143.75672271500321</v>
      </c>
      <c r="E409" s="21">
        <v>130.59419148396617</v>
      </c>
      <c r="F409" s="21">
        <v>131.09481780242706</v>
      </c>
      <c r="G409" s="21">
        <v>124.67729226578847</v>
      </c>
      <c r="H409" s="21">
        <v>159.82304857846273</v>
      </c>
      <c r="I409" s="21">
        <v>126.93675155087371</v>
      </c>
      <c r="J409" s="21">
        <v>102.1951451557553</v>
      </c>
      <c r="K409" s="21">
        <v>166.80657848770227</v>
      </c>
      <c r="L409" s="21">
        <v>182.72881890978212</v>
      </c>
      <c r="M409" s="21">
        <v>151.41289861324569</v>
      </c>
      <c r="N409" s="21">
        <v>177.61600155282196</v>
      </c>
      <c r="O409" s="21">
        <v>173.19943088491505</v>
      </c>
      <c r="P409" s="21">
        <v>204.55252431865799</v>
      </c>
      <c r="Q409" s="21">
        <v>223.54314921521913</v>
      </c>
      <c r="R409" s="21">
        <v>181.69670902477174</v>
      </c>
      <c r="S409" s="21">
        <v>217.23810345591107</v>
      </c>
    </row>
    <row r="410" spans="1:19">
      <c r="A410" s="9">
        <f t="shared" si="6"/>
        <v>45200</v>
      </c>
      <c r="B410" s="21">
        <v>167.90933796259199</v>
      </c>
      <c r="C410" s="21">
        <v>169.55957335431907</v>
      </c>
      <c r="D410" s="21">
        <v>143.72515574394714</v>
      </c>
      <c r="E410" s="21">
        <v>131.74929390408369</v>
      </c>
      <c r="F410" s="21">
        <v>132.45255520611062</v>
      </c>
      <c r="G410" s="21">
        <v>123.43745312645419</v>
      </c>
      <c r="H410" s="21">
        <v>157.57578648057276</v>
      </c>
      <c r="I410" s="21">
        <v>127.75009757531983</v>
      </c>
      <c r="J410" s="21">
        <v>100.69660024572299</v>
      </c>
      <c r="K410" s="21">
        <v>165.08022426921247</v>
      </c>
      <c r="L410" s="21">
        <v>180.18395889613279</v>
      </c>
      <c r="M410" s="21">
        <v>150.4778787705765</v>
      </c>
      <c r="N410" s="21">
        <v>174.58765433048427</v>
      </c>
      <c r="O410" s="21">
        <v>178.09479879010314</v>
      </c>
      <c r="P410" s="21">
        <v>202.89113691256347</v>
      </c>
      <c r="Q410" s="21">
        <v>215.04443863182985</v>
      </c>
      <c r="R410" s="21">
        <v>212.39261405441511</v>
      </c>
      <c r="S410" s="21">
        <v>208.03280239511983</v>
      </c>
    </row>
    <row r="411" spans="1:19">
      <c r="A411" s="9">
        <f t="shared" si="6"/>
        <v>45231</v>
      </c>
      <c r="B411" s="21">
        <v>165.13826172349187</v>
      </c>
      <c r="C411" s="21">
        <v>165.82438038242429</v>
      </c>
      <c r="D411" s="21">
        <v>148.08746250237039</v>
      </c>
      <c r="E411" s="21">
        <v>135.51867916204591</v>
      </c>
      <c r="F411" s="21">
        <v>135.84773602944747</v>
      </c>
      <c r="G411" s="21">
        <v>131.62955817565816</v>
      </c>
      <c r="H411" s="21">
        <v>163.05523108146343</v>
      </c>
      <c r="I411" s="21">
        <v>130.8781259130667</v>
      </c>
      <c r="J411" s="21">
        <v>99.486019947637416</v>
      </c>
      <c r="K411" s="21">
        <v>171.66958555255084</v>
      </c>
      <c r="L411" s="21">
        <v>188.32253500702689</v>
      </c>
      <c r="M411" s="21">
        <v>155.56945353141771</v>
      </c>
      <c r="N411" s="21">
        <v>181.85484125375189</v>
      </c>
      <c r="O411" s="21">
        <v>178.22741322603488</v>
      </c>
      <c r="P411" s="21">
        <v>189.8018052287899</v>
      </c>
      <c r="Q411" s="21">
        <v>196.29311629017187</v>
      </c>
      <c r="R411" s="21">
        <v>213.97592541202755</v>
      </c>
      <c r="S411" s="21">
        <v>181.48495892283174</v>
      </c>
    </row>
    <row r="412" spans="1:19">
      <c r="A412" s="9">
        <f t="shared" si="6"/>
        <v>45261</v>
      </c>
      <c r="B412" s="21">
        <v>159.53836322780305</v>
      </c>
      <c r="C412" s="21">
        <v>159.14756724001009</v>
      </c>
      <c r="D412" s="21">
        <v>148.72190113036945</v>
      </c>
      <c r="E412" s="21">
        <v>134.33996163991861</v>
      </c>
      <c r="F412" s="21">
        <v>133.90000607705801</v>
      </c>
      <c r="G412" s="21">
        <v>139.53979359027636</v>
      </c>
      <c r="H412" s="21">
        <v>165.39534407958246</v>
      </c>
      <c r="I412" s="21">
        <v>130.03049823590919</v>
      </c>
      <c r="J412" s="21">
        <v>100.87812683222768</v>
      </c>
      <c r="K412" s="21">
        <v>175.0234535719411</v>
      </c>
      <c r="L412" s="21">
        <v>191.03945869960927</v>
      </c>
      <c r="M412" s="21">
        <v>159.53912163953993</v>
      </c>
      <c r="N412" s="21">
        <v>184.75147832141752</v>
      </c>
      <c r="O412" s="21">
        <v>173.2427836634954</v>
      </c>
      <c r="P412" s="21">
        <v>175.18409807306455</v>
      </c>
      <c r="Q412" s="21">
        <v>182.45892348499626</v>
      </c>
      <c r="R412" s="21">
        <v>178.07780776630494</v>
      </c>
      <c r="S412" s="21">
        <v>183.90715133627208</v>
      </c>
    </row>
    <row r="413" spans="1:19">
      <c r="A413" s="9">
        <v>45292</v>
      </c>
      <c r="B413" s="21">
        <v>159.32760730000001</v>
      </c>
      <c r="C413" s="21">
        <v>158.91929590000001</v>
      </c>
      <c r="D413" s="21">
        <v>149.41632659999999</v>
      </c>
      <c r="E413" s="21">
        <v>136.29808030000001</v>
      </c>
      <c r="F413" s="21">
        <v>135.59868420000001</v>
      </c>
      <c r="G413" s="21">
        <v>144.56423849999999</v>
      </c>
      <c r="H413" s="21">
        <v>165.60316080000001</v>
      </c>
      <c r="I413" s="21">
        <v>132.22042519999999</v>
      </c>
      <c r="J413" s="21">
        <v>104.63617499999999</v>
      </c>
      <c r="K413" s="21">
        <v>173.98542280000001</v>
      </c>
      <c r="L413" s="21">
        <v>189.83613980000001</v>
      </c>
      <c r="M413" s="21">
        <v>158.66089199999999</v>
      </c>
      <c r="N413" s="21">
        <v>182.9193214</v>
      </c>
      <c r="O413" s="21">
        <v>167.53787700000001</v>
      </c>
      <c r="P413" s="21">
        <v>173.66402049999999</v>
      </c>
      <c r="Q413" s="21">
        <v>187.00428220000001</v>
      </c>
      <c r="R413" s="21">
        <v>153.38822300000001</v>
      </c>
      <c r="S413" s="21">
        <v>173.55860659999999</v>
      </c>
    </row>
    <row r="414" spans="1:19">
      <c r="A414" s="9">
        <v>45323</v>
      </c>
      <c r="B414" s="21">
        <v>158.63591439999999</v>
      </c>
      <c r="C414" s="21">
        <v>158.23598770000001</v>
      </c>
      <c r="D414" s="21">
        <v>148.544883</v>
      </c>
      <c r="E414" s="21">
        <v>136.34375439999999</v>
      </c>
      <c r="F414" s="21">
        <v>134.3899753</v>
      </c>
      <c r="G414" s="21">
        <v>159.43545760000001</v>
      </c>
      <c r="H414" s="21">
        <v>162.53236860000001</v>
      </c>
      <c r="I414" s="21">
        <v>132.57586259999999</v>
      </c>
      <c r="J414" s="21">
        <v>107.08707889999999</v>
      </c>
      <c r="K414" s="21">
        <v>170.82833729999999</v>
      </c>
      <c r="L414" s="21">
        <v>184.57060000000001</v>
      </c>
      <c r="M414" s="21">
        <v>157.5422677</v>
      </c>
      <c r="N414" s="21">
        <v>177.82865029999999</v>
      </c>
      <c r="O414" s="21">
        <v>171.72900369999999</v>
      </c>
      <c r="P414" s="21">
        <v>173.23233239999999</v>
      </c>
      <c r="Q414" s="21">
        <v>195.52689599999999</v>
      </c>
      <c r="R414" s="21">
        <v>124.9564982</v>
      </c>
      <c r="S414" s="21">
        <v>163.51337749999999</v>
      </c>
    </row>
    <row r="415" spans="1:19">
      <c r="A415" s="9">
        <v>45352</v>
      </c>
      <c r="B415" s="21">
        <v>163.06996380000001</v>
      </c>
      <c r="C415" s="21">
        <v>161.92194860000001</v>
      </c>
      <c r="D415" s="21">
        <v>151.49312430000001</v>
      </c>
      <c r="E415" s="21">
        <v>139.13719950000001</v>
      </c>
      <c r="F415" s="21">
        <v>135.6505434</v>
      </c>
      <c r="G415" s="21">
        <v>180.34596550000001</v>
      </c>
      <c r="H415" s="21">
        <v>160.3392274</v>
      </c>
      <c r="I415" s="21">
        <v>135.72826800000001</v>
      </c>
      <c r="J415" s="21">
        <v>112.66775509999999</v>
      </c>
      <c r="K415" s="21">
        <v>173.65582509999999</v>
      </c>
      <c r="L415" s="21">
        <v>179.28754470000001</v>
      </c>
      <c r="M415" s="21">
        <v>168.21105800000001</v>
      </c>
      <c r="N415" s="21">
        <v>174.01011370000001</v>
      </c>
      <c r="O415" s="21">
        <v>172.42253059999999</v>
      </c>
      <c r="P415" s="21">
        <v>179.81556509999999</v>
      </c>
      <c r="Q415" s="21">
        <v>203.98704889999999</v>
      </c>
      <c r="R415" s="21">
        <v>128.280743</v>
      </c>
      <c r="S415" s="21">
        <v>174.3200314</v>
      </c>
    </row>
    <row r="416" spans="1:19">
      <c r="A416" s="9">
        <v>45383</v>
      </c>
      <c r="B416" s="21">
        <v>170.3973436</v>
      </c>
      <c r="C416" s="21">
        <v>168.52674479999999</v>
      </c>
      <c r="D416" s="21">
        <v>157.86050689999999</v>
      </c>
      <c r="E416" s="21">
        <v>144.23149559999999</v>
      </c>
      <c r="F416" s="21">
        <v>137.8600131</v>
      </c>
      <c r="G416" s="21">
        <v>219.53600639999999</v>
      </c>
      <c r="H416" s="21">
        <v>165.7419008</v>
      </c>
      <c r="I416" s="21">
        <v>139.4162091</v>
      </c>
      <c r="J416" s="21">
        <v>106.8420792</v>
      </c>
      <c r="K416" s="21">
        <v>185.21466050000001</v>
      </c>
      <c r="L416" s="21">
        <v>189.15322939999999</v>
      </c>
      <c r="M416" s="21">
        <v>181.40683780000001</v>
      </c>
      <c r="N416" s="21">
        <v>183.8258395</v>
      </c>
      <c r="O416" s="21">
        <v>165.35056489999999</v>
      </c>
      <c r="P416" s="21">
        <v>188.53155620000001</v>
      </c>
      <c r="Q416" s="21">
        <v>215.40371730000001</v>
      </c>
      <c r="R416" s="21">
        <v>137.1230223</v>
      </c>
      <c r="S416" s="21">
        <v>180.7323355</v>
      </c>
    </row>
    <row r="417" spans="1:19">
      <c r="A417" s="9">
        <v>45413</v>
      </c>
      <c r="B417" s="21">
        <v>168.6761041</v>
      </c>
      <c r="C417" s="21">
        <v>166.45630120000001</v>
      </c>
      <c r="D417" s="21">
        <v>158.85715669999999</v>
      </c>
      <c r="E417" s="21">
        <v>142.20207690000001</v>
      </c>
      <c r="F417" s="21">
        <v>137.7810977</v>
      </c>
      <c r="G417" s="21">
        <v>194.45360199999999</v>
      </c>
      <c r="H417" s="21">
        <v>172.44890520000001</v>
      </c>
      <c r="I417" s="21">
        <v>137.30468379999999</v>
      </c>
      <c r="J417" s="21">
        <v>104.1751247</v>
      </c>
      <c r="K417" s="21">
        <v>191.33202439999999</v>
      </c>
      <c r="L417" s="21">
        <v>199.58616760000001</v>
      </c>
      <c r="M417" s="21">
        <v>183.35188869999999</v>
      </c>
      <c r="N417" s="21">
        <v>193.78555979999999</v>
      </c>
      <c r="O417" s="21">
        <v>161.5119267</v>
      </c>
      <c r="P417" s="21">
        <v>182.8789596</v>
      </c>
      <c r="Q417" s="21">
        <v>200.77430100000001</v>
      </c>
      <c r="R417" s="21">
        <v>157.60251210000001</v>
      </c>
      <c r="S417" s="21">
        <v>189.3698703</v>
      </c>
    </row>
    <row r="418" spans="1:19">
      <c r="A418" s="9">
        <v>45444</v>
      </c>
      <c r="B418" s="21">
        <v>166.7472617</v>
      </c>
      <c r="C418" s="21">
        <v>164.51164929999999</v>
      </c>
      <c r="D418" s="21">
        <v>153.4081644</v>
      </c>
      <c r="E418" s="21">
        <v>136.48970220000001</v>
      </c>
      <c r="F418" s="21">
        <v>130.2988699</v>
      </c>
      <c r="G418" s="21">
        <v>209.65910909999999</v>
      </c>
      <c r="H418" s="21">
        <v>163.90938499999999</v>
      </c>
      <c r="I418" s="21">
        <v>132.27517119999999</v>
      </c>
      <c r="J418" s="21">
        <v>103.7649919</v>
      </c>
      <c r="K418" s="21">
        <v>184.62774870000001</v>
      </c>
      <c r="L418" s="21">
        <v>187.81540229999999</v>
      </c>
      <c r="M418" s="21">
        <v>181.54591360000001</v>
      </c>
      <c r="N418" s="21">
        <v>183.10687290000001</v>
      </c>
      <c r="O418" s="21">
        <v>163.4466678</v>
      </c>
      <c r="P418" s="21">
        <v>186.04192370000001</v>
      </c>
      <c r="Q418" s="21">
        <v>200.57307359999999</v>
      </c>
      <c r="R418" s="21">
        <v>174.98298639999999</v>
      </c>
      <c r="S418" s="21">
        <v>185.91868779999999</v>
      </c>
    </row>
    <row r="419" spans="1:19">
      <c r="A419" s="9">
        <v>45474</v>
      </c>
      <c r="B419" s="21">
        <v>166.1229822</v>
      </c>
      <c r="C419" s="21">
        <v>163.22134349999999</v>
      </c>
      <c r="D419" s="21">
        <v>152.42654390000001</v>
      </c>
      <c r="E419" s="21">
        <v>134.6132293</v>
      </c>
      <c r="F419" s="21">
        <v>128.76023259999999</v>
      </c>
      <c r="G419" s="21">
        <v>203.7897596</v>
      </c>
      <c r="H419" s="21">
        <v>159.90893790000001</v>
      </c>
      <c r="I419" s="21">
        <v>130.24829460000001</v>
      </c>
      <c r="J419" s="21">
        <v>100.7206748</v>
      </c>
      <c r="K419" s="21">
        <v>184.92286340000001</v>
      </c>
      <c r="L419" s="21">
        <v>183.43491539999999</v>
      </c>
      <c r="M419" s="21">
        <v>186.36141689999999</v>
      </c>
      <c r="N419" s="21">
        <v>179.3849888</v>
      </c>
      <c r="O419" s="21">
        <v>166.15196399999999</v>
      </c>
      <c r="P419" s="21">
        <v>185.93452880000001</v>
      </c>
      <c r="Q419" s="21">
        <v>203.3153982</v>
      </c>
      <c r="R419" s="21">
        <v>161.0803645</v>
      </c>
      <c r="S419" s="21">
        <v>185.60699529999999</v>
      </c>
    </row>
    <row r="420" spans="1:19">
      <c r="A420" s="9">
        <v>45505</v>
      </c>
      <c r="B420" s="21">
        <v>164.14839839999999</v>
      </c>
      <c r="C420" s="21">
        <v>160.3494302</v>
      </c>
      <c r="D420" s="21">
        <v>152.01077129999999</v>
      </c>
      <c r="E420" s="21">
        <v>134.0157217</v>
      </c>
      <c r="F420" s="21">
        <v>128.27017050000001</v>
      </c>
      <c r="G420" s="21">
        <v>201.92235400000001</v>
      </c>
      <c r="H420" s="21">
        <v>155.94511410000001</v>
      </c>
      <c r="I420" s="21">
        <v>130.06828039999999</v>
      </c>
      <c r="J420" s="21">
        <v>103.3648924</v>
      </c>
      <c r="K420" s="21">
        <v>184.0122465</v>
      </c>
      <c r="L420" s="21">
        <v>176.8445467</v>
      </c>
      <c r="M420" s="21">
        <v>190.94200470000001</v>
      </c>
      <c r="N420" s="21">
        <v>172.9210368</v>
      </c>
      <c r="O420" s="21">
        <v>167.37276249999999</v>
      </c>
      <c r="P420" s="21">
        <v>181.7051645</v>
      </c>
      <c r="Q420" s="21">
        <v>188.5882307</v>
      </c>
      <c r="R420" s="21">
        <v>179.9302241</v>
      </c>
      <c r="S420" s="21">
        <v>197.06615310000001</v>
      </c>
    </row>
    <row r="421" spans="1:19">
      <c r="A421" s="9">
        <v>45536</v>
      </c>
      <c r="B421" s="21">
        <v>161.4486</v>
      </c>
      <c r="C421" s="21">
        <v>156.43142660000001</v>
      </c>
      <c r="D421" s="21">
        <v>155.2301435</v>
      </c>
      <c r="E421" s="21">
        <v>137.07635619999999</v>
      </c>
      <c r="F421" s="21">
        <v>130.69465769999999</v>
      </c>
      <c r="G421" s="21">
        <v>212.50160959999999</v>
      </c>
      <c r="H421" s="21">
        <v>158.07558929999999</v>
      </c>
      <c r="I421" s="21">
        <v>133.5699975</v>
      </c>
      <c r="J421" s="21">
        <v>109.8504155</v>
      </c>
      <c r="K421" s="21">
        <v>188.2863849</v>
      </c>
      <c r="L421" s="21">
        <v>177.24399020000001</v>
      </c>
      <c r="M421" s="21">
        <v>198.96221220000001</v>
      </c>
      <c r="N421" s="21">
        <v>174.12718129999999</v>
      </c>
      <c r="O421" s="21">
        <v>152.897639</v>
      </c>
      <c r="P421" s="21">
        <v>170.4434378</v>
      </c>
      <c r="Q421" s="21">
        <v>172.49697080000001</v>
      </c>
      <c r="R421" s="21">
        <v>179.98208750000001</v>
      </c>
      <c r="S421" s="21">
        <v>189.13280850000001</v>
      </c>
    </row>
    <row r="422" spans="1:19">
      <c r="A422" s="9">
        <v>45566</v>
      </c>
      <c r="B422" s="21">
        <v>166.52141589999999</v>
      </c>
      <c r="C422" s="21">
        <v>160.98991430000001</v>
      </c>
      <c r="D422" s="21">
        <v>159.26069749999999</v>
      </c>
      <c r="E422" s="21">
        <v>138.42505130000001</v>
      </c>
      <c r="F422" s="21">
        <v>132.73526899999999</v>
      </c>
      <c r="G422" s="21">
        <v>205.67255220000001</v>
      </c>
      <c r="H422" s="21">
        <v>164.1150518</v>
      </c>
      <c r="I422" s="21">
        <v>134.33019239999999</v>
      </c>
      <c r="J422" s="21">
        <v>106.6295631</v>
      </c>
      <c r="K422" s="21">
        <v>197.94852059999999</v>
      </c>
      <c r="L422" s="21">
        <v>186.96421559999999</v>
      </c>
      <c r="M422" s="21">
        <v>208.56818659999999</v>
      </c>
      <c r="N422" s="21">
        <v>183.82408079999999</v>
      </c>
      <c r="O422" s="21">
        <v>148.9334642</v>
      </c>
      <c r="P422" s="21">
        <v>177.02385870000001</v>
      </c>
      <c r="Q422" s="21">
        <v>179.2799492</v>
      </c>
      <c r="R422" s="21">
        <v>190.0441529</v>
      </c>
      <c r="S422" s="21">
        <v>194.9329367</v>
      </c>
    </row>
    <row r="423" spans="1:19">
      <c r="A423" s="9">
        <v>45597</v>
      </c>
      <c r="B423" s="21">
        <v>166.2314131</v>
      </c>
      <c r="C423" s="21">
        <v>161.00177289999999</v>
      </c>
      <c r="D423" s="21">
        <v>158.5495779</v>
      </c>
      <c r="E423" s="21">
        <v>140.62477620000001</v>
      </c>
      <c r="F423" s="21">
        <v>133.40190530000001</v>
      </c>
      <c r="G423" s="21">
        <v>225.99184099999999</v>
      </c>
      <c r="H423" s="21">
        <v>159.83739059999999</v>
      </c>
      <c r="I423" s="21">
        <v>135.73143709999999</v>
      </c>
      <c r="J423" s="21">
        <v>102.629302</v>
      </c>
      <c r="K423" s="21">
        <v>194.05331390000001</v>
      </c>
      <c r="L423" s="21">
        <v>182.57629410000001</v>
      </c>
      <c r="M423" s="21">
        <v>205.14933830000001</v>
      </c>
      <c r="N423" s="21">
        <v>179.17126060000001</v>
      </c>
      <c r="O423" s="21">
        <v>147.97665240000001</v>
      </c>
      <c r="P423" s="21">
        <v>177.34299050000001</v>
      </c>
      <c r="Q423" s="21">
        <v>176.80990159999999</v>
      </c>
      <c r="R423" s="21">
        <v>207.66962219999999</v>
      </c>
      <c r="S423" s="21">
        <v>193.822574</v>
      </c>
    </row>
    <row r="424" spans="1:19">
      <c r="A424" s="9">
        <v>45627</v>
      </c>
      <c r="B424" s="21">
        <v>166.62893510000001</v>
      </c>
      <c r="C424" s="21">
        <v>161.5493376</v>
      </c>
      <c r="D424" s="21">
        <v>159.16180410000001</v>
      </c>
      <c r="E424" s="21">
        <v>142.22374600000001</v>
      </c>
      <c r="F424" s="21">
        <v>132.2044683</v>
      </c>
      <c r="G424" s="21">
        <v>260.641524</v>
      </c>
      <c r="H424" s="21">
        <v>160.13774069999999</v>
      </c>
      <c r="I424" s="21">
        <v>137.42105280000001</v>
      </c>
      <c r="J424" s="21">
        <v>104.9321132</v>
      </c>
      <c r="K424" s="21">
        <v>193.08871329999999</v>
      </c>
      <c r="L424" s="21">
        <v>182.08071190000001</v>
      </c>
      <c r="M424" s="21">
        <v>203.731289</v>
      </c>
      <c r="N424" s="21">
        <v>178.17767810000001</v>
      </c>
      <c r="O424" s="21">
        <v>147.9006353</v>
      </c>
      <c r="P424" s="21">
        <v>177.42994830000001</v>
      </c>
      <c r="Q424" s="21">
        <v>177.5628868</v>
      </c>
      <c r="R424" s="21">
        <v>214.14001970000001</v>
      </c>
      <c r="S424" s="21">
        <v>182.43790509999999</v>
      </c>
    </row>
    <row r="425" spans="1:19">
      <c r="A425" s="9">
        <v>45658</v>
      </c>
      <c r="B425" s="21">
        <v>172.77731499999999</v>
      </c>
      <c r="C425" s="21">
        <v>167.78735230000001</v>
      </c>
      <c r="D425" s="21">
        <v>161.8227765</v>
      </c>
      <c r="E425" s="21">
        <v>145.9686385</v>
      </c>
      <c r="F425" s="21">
        <v>135.6311599</v>
      </c>
      <c r="G425" s="21">
        <v>268.14723099999998</v>
      </c>
      <c r="H425" s="21">
        <v>159.05371629999999</v>
      </c>
      <c r="I425" s="21">
        <v>140.47996910000001</v>
      </c>
      <c r="J425" s="21">
        <v>103.3505838</v>
      </c>
      <c r="K425" s="21">
        <v>195.05990700000001</v>
      </c>
      <c r="L425" s="21">
        <v>181.19443430000001</v>
      </c>
      <c r="M425" s="21">
        <v>208.46509649999999</v>
      </c>
      <c r="N425" s="21">
        <v>177.4118656</v>
      </c>
      <c r="O425" s="21">
        <v>151.5883043</v>
      </c>
      <c r="P425" s="21">
        <v>188.62277370000001</v>
      </c>
      <c r="Q425" s="21">
        <v>193.25787879999999</v>
      </c>
      <c r="R425" s="21">
        <v>225.0196416</v>
      </c>
      <c r="S425" s="21">
        <v>165.79266569999999</v>
      </c>
    </row>
    <row r="426" spans="1:19">
      <c r="A426" s="9">
        <v>45689</v>
      </c>
      <c r="B426" s="21">
        <v>172.02974140000001</v>
      </c>
      <c r="C426" s="21">
        <v>165.26131549999999</v>
      </c>
      <c r="D426" s="21">
        <v>164.35171990000001</v>
      </c>
      <c r="E426" s="21">
        <v>143.2863423</v>
      </c>
      <c r="F426" s="21">
        <v>132.0191083</v>
      </c>
      <c r="G426" s="21">
        <v>276.45370830000002</v>
      </c>
      <c r="H426" s="21">
        <v>163.2377467</v>
      </c>
      <c r="I426" s="21">
        <v>138.38649280000001</v>
      </c>
      <c r="J426" s="21">
        <v>105.2403169</v>
      </c>
      <c r="K426" s="21">
        <v>204.68274410000001</v>
      </c>
      <c r="L426" s="21">
        <v>186.2903953</v>
      </c>
      <c r="M426" s="21">
        <v>222.4645337</v>
      </c>
      <c r="N426" s="21">
        <v>182.70865380000001</v>
      </c>
      <c r="O426" s="21">
        <v>153.14855789999999</v>
      </c>
      <c r="P426" s="21">
        <v>183.13580239999999</v>
      </c>
      <c r="Q426" s="21">
        <v>182.7841646</v>
      </c>
      <c r="R426" s="21">
        <v>232.61551560000001</v>
      </c>
      <c r="S426" s="21">
        <v>154.0001177</v>
      </c>
    </row>
    <row r="427" spans="1:19">
      <c r="A427" s="9">
        <v>45717</v>
      </c>
      <c r="B427" s="21">
        <v>167.38499999999999</v>
      </c>
      <c r="C427" s="21">
        <v>159.25899999999999</v>
      </c>
      <c r="D427" s="21">
        <v>163.66800000000001</v>
      </c>
      <c r="E427" s="21">
        <v>138.828</v>
      </c>
      <c r="F427" s="21">
        <v>128.82900000000001</v>
      </c>
      <c r="G427" s="21">
        <v>257.00700000000001</v>
      </c>
      <c r="H427" s="21">
        <v>164.05199999999999</v>
      </c>
      <c r="I427" s="21">
        <v>134.541</v>
      </c>
      <c r="J427" s="21">
        <v>105.538</v>
      </c>
      <c r="K427" s="21">
        <v>208.619</v>
      </c>
      <c r="L427" s="21">
        <v>187.309</v>
      </c>
      <c r="M427" s="21">
        <v>229.22</v>
      </c>
      <c r="N427" s="21">
        <v>183.876</v>
      </c>
      <c r="O427" s="21">
        <v>154.572</v>
      </c>
      <c r="P427" s="21">
        <v>172.76300000000001</v>
      </c>
      <c r="Q427" s="21">
        <v>171.834</v>
      </c>
      <c r="R427" s="21">
        <v>213.51400000000001</v>
      </c>
      <c r="S427" s="21">
        <v>142.52600000000001</v>
      </c>
    </row>
    <row r="428" spans="1:19">
      <c r="A428" s="9">
        <v>45748</v>
      </c>
      <c r="B428" s="21">
        <v>162.447</v>
      </c>
      <c r="C428" s="21">
        <v>151.625</v>
      </c>
      <c r="D428" s="21">
        <v>164.512</v>
      </c>
      <c r="E428" s="21">
        <v>138.726</v>
      </c>
      <c r="F428" s="21">
        <v>129.21199999999999</v>
      </c>
      <c r="G428" s="21">
        <v>251.16399999999999</v>
      </c>
      <c r="H428" s="21">
        <v>155.39599999999999</v>
      </c>
      <c r="I428" s="21">
        <v>134.22800000000001</v>
      </c>
      <c r="J428" s="21">
        <v>103.803</v>
      </c>
      <c r="K428" s="21">
        <v>211.226</v>
      </c>
      <c r="L428" s="21">
        <v>175.904</v>
      </c>
      <c r="M428" s="21">
        <v>245.375</v>
      </c>
      <c r="N428" s="21">
        <v>173.32</v>
      </c>
      <c r="O428" s="21">
        <v>155.333</v>
      </c>
      <c r="P428" s="21">
        <v>159.46</v>
      </c>
      <c r="Q428" s="21">
        <v>158.24199999999999</v>
      </c>
      <c r="R428" s="21">
        <v>184.89099999999999</v>
      </c>
      <c r="S428" s="21">
        <v>140.464</v>
      </c>
    </row>
    <row r="429" spans="1:19">
      <c r="A429" s="9">
        <v>45778</v>
      </c>
      <c r="B429" s="21">
        <v>160.696</v>
      </c>
      <c r="C429" s="21">
        <v>149.078</v>
      </c>
      <c r="D429" s="21">
        <v>165.17</v>
      </c>
      <c r="E429" s="21">
        <v>136.405</v>
      </c>
      <c r="F429" s="21">
        <v>126.199</v>
      </c>
      <c r="G429" s="21">
        <v>257.02499999999998</v>
      </c>
      <c r="H429" s="21">
        <v>158.042</v>
      </c>
      <c r="I429" s="21">
        <v>132.35499999999999</v>
      </c>
      <c r="J429" s="21">
        <v>104.96</v>
      </c>
      <c r="K429" s="21">
        <v>215.44300000000001</v>
      </c>
      <c r="L429" s="21">
        <v>179.14099999999999</v>
      </c>
      <c r="M429" s="21">
        <v>250.54</v>
      </c>
      <c r="N429" s="21">
        <v>176.673</v>
      </c>
      <c r="O429" s="21">
        <v>159.345</v>
      </c>
      <c r="P429" s="21">
        <v>154.22300000000001</v>
      </c>
      <c r="Q429" s="21">
        <v>150.37</v>
      </c>
      <c r="R429" s="21">
        <v>186.477</v>
      </c>
      <c r="S429" s="21">
        <v>143.214</v>
      </c>
    </row>
    <row r="430" spans="1:19">
      <c r="A430" s="9">
        <v>45809</v>
      </c>
      <c r="B430" s="21">
        <v>165.96100000000001</v>
      </c>
      <c r="C430" s="21">
        <v>154.36000000000001</v>
      </c>
      <c r="D430" s="21">
        <v>165.20599999999999</v>
      </c>
      <c r="E430" s="21">
        <v>133.01</v>
      </c>
      <c r="F430" s="21">
        <v>124.839</v>
      </c>
      <c r="G430" s="21">
        <v>229.583</v>
      </c>
      <c r="H430" s="21">
        <v>159.27699999999999</v>
      </c>
      <c r="I430" s="21">
        <v>129.47300000000001</v>
      </c>
      <c r="J430" s="21">
        <v>105.55</v>
      </c>
      <c r="K430" s="21">
        <v>219.608</v>
      </c>
      <c r="L430" s="21">
        <v>180.63200000000001</v>
      </c>
      <c r="M430" s="21">
        <v>257.28899999999999</v>
      </c>
      <c r="N430" s="21">
        <v>180.06899999999999</v>
      </c>
      <c r="O430" s="21">
        <v>162.92500000000001</v>
      </c>
      <c r="P430" s="21">
        <v>167.053</v>
      </c>
      <c r="Q430" s="21">
        <v>163.11799999999999</v>
      </c>
      <c r="R430" s="21">
        <v>200.28800000000001</v>
      </c>
      <c r="S430" s="21">
        <v>149.65299999999999</v>
      </c>
    </row>
    <row r="431" spans="1:19">
      <c r="A431" s="9">
        <v>45839</v>
      </c>
      <c r="B431" s="21">
        <v>165.40199999999999</v>
      </c>
      <c r="C431" s="21">
        <v>153.83099999999999</v>
      </c>
      <c r="D431" s="21">
        <v>165.62100000000001</v>
      </c>
      <c r="E431" s="21">
        <v>131.59800000000001</v>
      </c>
      <c r="F431" s="21">
        <v>125.774</v>
      </c>
      <c r="G431" s="21">
        <v>200.42400000000001</v>
      </c>
      <c r="H431" s="21">
        <v>162.07499999999999</v>
      </c>
      <c r="I431" s="21">
        <v>128.333</v>
      </c>
      <c r="J431" s="21">
        <v>106.249</v>
      </c>
      <c r="K431" s="21">
        <v>221.92099999999999</v>
      </c>
      <c r="L431" s="21">
        <v>184.26400000000001</v>
      </c>
      <c r="M431" s="21">
        <v>258.32799999999997</v>
      </c>
      <c r="N431" s="21">
        <v>184.91499999999999</v>
      </c>
      <c r="O431" s="21">
        <v>168.828</v>
      </c>
      <c r="P431" s="21">
        <v>165.08699999999999</v>
      </c>
      <c r="Q431" s="21">
        <v>163.673</v>
      </c>
      <c r="R431" s="21">
        <v>185.99299999999999</v>
      </c>
      <c r="S431" s="21">
        <v>155.40899999999999</v>
      </c>
    </row>
    <row r="432" spans="1:19">
      <c r="A432" s="9">
        <v>45870</v>
      </c>
      <c r="B432" s="21">
        <v>162.94999999999999</v>
      </c>
      <c r="C432" s="21">
        <v>150.869</v>
      </c>
      <c r="D432" s="21">
        <v>166.19900000000001</v>
      </c>
      <c r="E432" s="21">
        <v>131.90199999999999</v>
      </c>
      <c r="F432" s="21">
        <v>124.16200000000001</v>
      </c>
      <c r="G432" s="21">
        <v>223.38200000000001</v>
      </c>
      <c r="H432" s="21">
        <v>162.10300000000001</v>
      </c>
      <c r="I432" s="21">
        <v>128.459</v>
      </c>
      <c r="J432" s="21">
        <v>105.16800000000001</v>
      </c>
      <c r="K432" s="21">
        <v>222.87</v>
      </c>
      <c r="L432" s="21">
        <v>184.733</v>
      </c>
      <c r="M432" s="21">
        <v>259.74200000000002</v>
      </c>
      <c r="N432" s="21">
        <v>184.97300000000001</v>
      </c>
      <c r="O432" s="21">
        <v>173.16</v>
      </c>
      <c r="P432" s="21">
        <v>158.251</v>
      </c>
      <c r="Q432" s="21">
        <v>158.131</v>
      </c>
      <c r="R432" s="21">
        <v>173.44900000000001</v>
      </c>
      <c r="S432" s="21">
        <v>154.15</v>
      </c>
    </row>
    <row r="433" spans="1:19">
      <c r="A433" s="9">
        <v>45901</v>
      </c>
      <c r="B433" s="21">
        <v>166.83099999999999</v>
      </c>
      <c r="C433" s="21">
        <v>152.47674230000001</v>
      </c>
      <c r="D433" s="21">
        <v>173.01348350000001</v>
      </c>
      <c r="E433" s="21">
        <v>133.49552890000001</v>
      </c>
      <c r="F433" s="21">
        <v>125.3875729</v>
      </c>
      <c r="G433" s="21">
        <v>229.3234085</v>
      </c>
      <c r="H433" s="21">
        <v>167.82819190000001</v>
      </c>
      <c r="I433" s="21">
        <v>129.89873879999999</v>
      </c>
      <c r="J433" s="21">
        <v>105.5674126</v>
      </c>
      <c r="K433" s="21">
        <v>238.51335349999999</v>
      </c>
      <c r="L433" s="21">
        <v>192.57542419999999</v>
      </c>
      <c r="M433" s="21">
        <v>282.9263105</v>
      </c>
      <c r="N433" s="21">
        <v>193.8798745</v>
      </c>
      <c r="O433" s="21">
        <v>171.9369227</v>
      </c>
      <c r="P433" s="21">
        <v>157.88782889999999</v>
      </c>
      <c r="Q433" s="21">
        <v>157.5450285</v>
      </c>
      <c r="R433" s="21">
        <v>174.30856009999999</v>
      </c>
      <c r="S433" s="21">
        <v>145.08425650000001</v>
      </c>
    </row>
  </sheetData>
  <hyperlinks>
    <hyperlink ref="B1" r:id="rId1" display="https://www.imf.org/en/Research/commodity-prices" xr:uid="{F2BC0D4A-299A-446D-BF61-5D2FBB5151AF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7FF1B-1CC1-4ACA-BCC0-7CBC77AD7658}">
  <dimension ref="A1:J315"/>
  <sheetViews>
    <sheetView showGridLines="0" workbookViewId="0">
      <pane xSplit="3" ySplit="4" topLeftCell="D5" activePane="bottomRight" state="frozen"/>
      <selection activeCell="G394" sqref="G394"/>
      <selection pane="topRight" activeCell="G394" sqref="G394"/>
      <selection pane="bottomLeft" activeCell="G394" sqref="G394"/>
      <selection pane="bottomRight" activeCell="J5" sqref="J5"/>
    </sheetView>
  </sheetViews>
  <sheetFormatPr baseColWidth="10" defaultRowHeight="14.5"/>
  <cols>
    <col min="2" max="2" width="8.453125" customWidth="1"/>
    <col min="3" max="3" width="5.453125" customWidth="1"/>
    <col min="4" max="4" width="10.08984375" bestFit="1" customWidth="1"/>
  </cols>
  <sheetData>
    <row r="1" spans="1:10">
      <c r="A1" t="s">
        <v>19</v>
      </c>
      <c r="B1" s="6" t="s">
        <v>20</v>
      </c>
    </row>
    <row r="2" spans="1:10">
      <c r="D2" s="10"/>
      <c r="E2" s="10"/>
      <c r="F2" s="10"/>
      <c r="G2" s="10"/>
      <c r="H2" s="10"/>
      <c r="I2" s="10"/>
      <c r="J2" s="10"/>
    </row>
    <row r="3" spans="1:10"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52</v>
      </c>
    </row>
    <row r="4" spans="1:10">
      <c r="A4" s="11" t="s">
        <v>17</v>
      </c>
      <c r="B4" s="11" t="s">
        <v>53</v>
      </c>
      <c r="C4" s="11" t="s">
        <v>54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55</v>
      </c>
      <c r="I4" s="12" t="s">
        <v>56</v>
      </c>
      <c r="J4" s="12" t="s">
        <v>52</v>
      </c>
    </row>
    <row r="5" spans="1:10">
      <c r="A5" s="13">
        <v>36526</v>
      </c>
      <c r="B5" s="14">
        <f t="shared" ref="B5:B68" si="0">+YEAR(A5)</f>
        <v>2000</v>
      </c>
      <c r="C5" s="14">
        <f t="shared" ref="C5:C68" si="1">+MONTH(A5)</f>
        <v>1</v>
      </c>
      <c r="D5" s="15">
        <v>1926.8965517241379</v>
      </c>
      <c r="E5" s="15">
        <v>0.99971448275862074</v>
      </c>
      <c r="F5" s="15">
        <v>1.8013793103448279</v>
      </c>
      <c r="G5" s="15">
        <v>519.13793103448256</v>
      </c>
      <c r="H5" s="15">
        <v>3.4963620689655177</v>
      </c>
      <c r="I5" s="15">
        <v>9.4862413793103464</v>
      </c>
      <c r="J5" s="15">
        <v>101.71285714285716</v>
      </c>
    </row>
    <row r="6" spans="1:10">
      <c r="A6" s="13">
        <v>36557</v>
      </c>
      <c r="B6" s="14">
        <f t="shared" si="0"/>
        <v>2000</v>
      </c>
      <c r="C6" s="14">
        <f t="shared" si="1"/>
        <v>2</v>
      </c>
      <c r="D6" s="15">
        <v>1946.2620689655173</v>
      </c>
      <c r="E6" s="15">
        <v>0.99961724137931018</v>
      </c>
      <c r="F6" s="15">
        <v>1.7738965517241383</v>
      </c>
      <c r="G6" s="15">
        <v>511.84137931034491</v>
      </c>
      <c r="H6" s="15">
        <v>3.4536379310344834</v>
      </c>
      <c r="I6" s="15">
        <v>9.4103793103448261</v>
      </c>
      <c r="J6" s="15">
        <v>104.43333333333332</v>
      </c>
    </row>
    <row r="7" spans="1:10">
      <c r="A7" s="13">
        <v>36586</v>
      </c>
      <c r="B7" s="14">
        <f t="shared" si="0"/>
        <v>2000</v>
      </c>
      <c r="C7" s="14">
        <f t="shared" si="1"/>
        <v>3</v>
      </c>
      <c r="D7" s="15">
        <v>1955.7741935483871</v>
      </c>
      <c r="E7" s="15">
        <v>0.9996932258064517</v>
      </c>
      <c r="F7" s="15">
        <v>1.740354838709677</v>
      </c>
      <c r="G7" s="15">
        <v>504.38225806451612</v>
      </c>
      <c r="H7" s="15">
        <v>3.44358064516129</v>
      </c>
      <c r="I7" s="15">
        <v>9.2840967741935483</v>
      </c>
      <c r="J7" s="15">
        <v>105.54347826086956</v>
      </c>
    </row>
    <row r="8" spans="1:10">
      <c r="A8" s="13">
        <v>36617</v>
      </c>
      <c r="B8" s="14">
        <f t="shared" si="0"/>
        <v>2000</v>
      </c>
      <c r="C8" s="14">
        <f t="shared" si="1"/>
        <v>4</v>
      </c>
      <c r="D8" s="15">
        <v>1989.7333333333333</v>
      </c>
      <c r="E8" s="15">
        <v>0.99954833333333337</v>
      </c>
      <c r="F8" s="15">
        <v>1.768700000000001</v>
      </c>
      <c r="G8" s="15">
        <v>508.76333333333343</v>
      </c>
      <c r="H8" s="15">
        <v>3.4770666666666665</v>
      </c>
      <c r="I8" s="15">
        <v>9.3835666666666686</v>
      </c>
      <c r="J8" s="15">
        <v>106.79900000000002</v>
      </c>
    </row>
    <row r="9" spans="1:10">
      <c r="A9" s="13">
        <v>36647</v>
      </c>
      <c r="B9" s="14">
        <f t="shared" si="0"/>
        <v>2000</v>
      </c>
      <c r="C9" s="14">
        <f t="shared" si="1"/>
        <v>5</v>
      </c>
      <c r="D9" s="15">
        <v>2061.3032258064513</v>
      </c>
      <c r="E9" s="15">
        <v>0.99962967741935449</v>
      </c>
      <c r="F9" s="15">
        <v>1.8258064516129031</v>
      </c>
      <c r="G9" s="15">
        <v>521.64677419354825</v>
      </c>
      <c r="H9" s="15">
        <v>3.5030483870967748</v>
      </c>
      <c r="I9" s="15">
        <v>9.5062580645161283</v>
      </c>
      <c r="J9" s="15">
        <v>110.71347826086954</v>
      </c>
    </row>
    <row r="10" spans="1:10">
      <c r="A10" s="13">
        <v>36678</v>
      </c>
      <c r="B10" s="14">
        <f t="shared" si="0"/>
        <v>2000</v>
      </c>
      <c r="C10" s="14">
        <f t="shared" si="1"/>
        <v>6</v>
      </c>
      <c r="D10" s="15">
        <v>2120.75</v>
      </c>
      <c r="E10" s="15">
        <v>0.99964599999999981</v>
      </c>
      <c r="F10" s="15">
        <v>1.8076333333333332</v>
      </c>
      <c r="G10" s="15">
        <v>530.22333333333347</v>
      </c>
      <c r="H10" s="15">
        <v>3.4842166666666663</v>
      </c>
      <c r="I10" s="15">
        <v>9.8236333333333334</v>
      </c>
      <c r="J10" s="15">
        <v>107.10590909090909</v>
      </c>
    </row>
    <row r="11" spans="1:10">
      <c r="A11" s="13">
        <v>36708</v>
      </c>
      <c r="B11" s="14">
        <f t="shared" si="0"/>
        <v>2000</v>
      </c>
      <c r="C11" s="14">
        <f t="shared" si="1"/>
        <v>7</v>
      </c>
      <c r="D11" s="15">
        <v>2160.3387096774195</v>
      </c>
      <c r="E11" s="15">
        <v>0.99963096774193549</v>
      </c>
      <c r="F11" s="15">
        <v>1.7959677419354836</v>
      </c>
      <c r="G11" s="15">
        <v>543.78064516129018</v>
      </c>
      <c r="H11" s="15">
        <v>3.4788387096774183</v>
      </c>
      <c r="I11" s="15">
        <v>9.4302580645161296</v>
      </c>
      <c r="J11" s="15">
        <v>108.22304347826088</v>
      </c>
    </row>
    <row r="12" spans="1:10">
      <c r="A12" s="13">
        <v>36739</v>
      </c>
      <c r="B12" s="14">
        <f t="shared" si="0"/>
        <v>2000</v>
      </c>
      <c r="C12" s="14">
        <f t="shared" si="1"/>
        <v>8</v>
      </c>
      <c r="D12" s="15">
        <v>2187.9064516129033</v>
      </c>
      <c r="E12" s="15">
        <v>0.99964161290322606</v>
      </c>
      <c r="F12" s="15">
        <v>1.8081290322580652</v>
      </c>
      <c r="G12" s="15">
        <v>550.09516129032249</v>
      </c>
      <c r="H12" s="15">
        <v>3.4773612903225799</v>
      </c>
      <c r="I12" s="15">
        <v>9.2629677419354834</v>
      </c>
      <c r="J12" s="15">
        <v>111.16695652173912</v>
      </c>
    </row>
    <row r="13" spans="1:10">
      <c r="A13" s="13">
        <v>36770</v>
      </c>
      <c r="B13" s="14">
        <f t="shared" si="0"/>
        <v>2000</v>
      </c>
      <c r="C13" s="14">
        <f t="shared" si="1"/>
        <v>9</v>
      </c>
      <c r="D13" s="15">
        <v>2212.9666666666667</v>
      </c>
      <c r="E13" s="15">
        <v>0.99956533333333353</v>
      </c>
      <c r="F13" s="15">
        <v>1.8352666666666668</v>
      </c>
      <c r="G13" s="15">
        <v>565.28999999999985</v>
      </c>
      <c r="H13" s="15">
        <v>3.4823366666666669</v>
      </c>
      <c r="I13" s="15">
        <v>9.3494333333333337</v>
      </c>
      <c r="J13" s="15">
        <v>114.21809523809523</v>
      </c>
    </row>
    <row r="14" spans="1:10">
      <c r="A14" s="13">
        <v>36800</v>
      </c>
      <c r="B14" s="14">
        <f t="shared" si="0"/>
        <v>2000</v>
      </c>
      <c r="C14" s="14">
        <f t="shared" si="1"/>
        <v>10</v>
      </c>
      <c r="D14" s="15">
        <v>2170.9354838709678</v>
      </c>
      <c r="E14" s="15">
        <v>0.99955451612903257</v>
      </c>
      <c r="F14" s="15">
        <v>1.8776774193548385</v>
      </c>
      <c r="G14" s="15">
        <v>567.91612903225814</v>
      </c>
      <c r="H14" s="15">
        <v>3.4988870967741943</v>
      </c>
      <c r="I14" s="15">
        <v>9.5298387096774224</v>
      </c>
      <c r="J14" s="15">
        <v>116.05136363636365</v>
      </c>
    </row>
    <row r="15" spans="1:10">
      <c r="A15" s="13">
        <v>36831</v>
      </c>
      <c r="B15" s="14">
        <f t="shared" si="0"/>
        <v>2000</v>
      </c>
      <c r="C15" s="14">
        <f t="shared" si="1"/>
        <v>11</v>
      </c>
      <c r="D15" s="15">
        <v>2133.8833333333332</v>
      </c>
      <c r="E15" s="15">
        <v>0.99948533333333345</v>
      </c>
      <c r="F15" s="15">
        <v>1.9497333333333333</v>
      </c>
      <c r="G15" s="15">
        <v>574.46500000000003</v>
      </c>
      <c r="H15" s="15">
        <v>3.5260366666666672</v>
      </c>
      <c r="I15" s="15">
        <v>9.4978666666666651</v>
      </c>
      <c r="J15" s="15">
        <v>116.47590909090906</v>
      </c>
    </row>
    <row r="16" spans="1:10">
      <c r="A16" s="13">
        <v>36861</v>
      </c>
      <c r="B16" s="14">
        <f t="shared" si="0"/>
        <v>2000</v>
      </c>
      <c r="C16" s="14">
        <f t="shared" si="1"/>
        <v>12</v>
      </c>
      <c r="D16" s="15">
        <v>2189.7967741935481</v>
      </c>
      <c r="E16" s="15">
        <v>0.99911677419354861</v>
      </c>
      <c r="F16" s="15">
        <v>1.9614193548387098</v>
      </c>
      <c r="G16" s="15">
        <v>574.52096774193546</v>
      </c>
      <c r="H16" s="15">
        <v>3.5177903225806451</v>
      </c>
      <c r="I16" s="15">
        <v>9.4809999999999981</v>
      </c>
      <c r="J16" s="15">
        <v>112.6342857142857</v>
      </c>
    </row>
    <row r="17" spans="1:10">
      <c r="A17" s="13">
        <v>36892</v>
      </c>
      <c r="B17" s="14">
        <f t="shared" si="0"/>
        <v>2001</v>
      </c>
      <c r="C17" s="14">
        <f t="shared" si="1"/>
        <v>1</v>
      </c>
      <c r="D17" s="15">
        <v>2241.1129032258063</v>
      </c>
      <c r="E17" s="15">
        <v>0.99958290322580612</v>
      </c>
      <c r="F17" s="15">
        <v>1.9555193548387095</v>
      </c>
      <c r="G17" s="15">
        <v>570.40096774193546</v>
      </c>
      <c r="H17" s="15">
        <v>3.5221935483870981</v>
      </c>
      <c r="I17" s="15">
        <v>9.7642903225806421</v>
      </c>
      <c r="J17" s="15">
        <v>110.10130434782609</v>
      </c>
    </row>
    <row r="18" spans="1:10">
      <c r="A18" s="13">
        <v>36923</v>
      </c>
      <c r="B18" s="14">
        <f t="shared" si="0"/>
        <v>2001</v>
      </c>
      <c r="C18" s="14">
        <f t="shared" si="1"/>
        <v>2</v>
      </c>
      <c r="D18" s="15">
        <v>2244.1785714285716</v>
      </c>
      <c r="E18" s="15">
        <v>0.99971249999999989</v>
      </c>
      <c r="F18" s="15">
        <v>2.0059642857142856</v>
      </c>
      <c r="G18" s="15">
        <v>563.95142857142855</v>
      </c>
      <c r="H18" s="15">
        <v>3.5271785714285722</v>
      </c>
      <c r="I18" s="15">
        <v>9.7052857142857114</v>
      </c>
      <c r="J18" s="15">
        <v>111.80550000000001</v>
      </c>
    </row>
    <row r="19" spans="1:10">
      <c r="A19" s="13">
        <v>36951</v>
      </c>
      <c r="B19" s="14">
        <f t="shared" si="0"/>
        <v>2001</v>
      </c>
      <c r="C19" s="14">
        <f t="shared" si="1"/>
        <v>3</v>
      </c>
      <c r="D19" s="15">
        <v>2280.7032258064514</v>
      </c>
      <c r="E19" s="15">
        <v>0.99962677419354817</v>
      </c>
      <c r="F19" s="15">
        <v>2.0937258064516127</v>
      </c>
      <c r="G19" s="15">
        <v>588.90483870967751</v>
      </c>
      <c r="H19" s="15">
        <v>3.5193999999999992</v>
      </c>
      <c r="I19" s="15">
        <v>9.5830645161290295</v>
      </c>
      <c r="J19" s="15">
        <v>113.93181818181819</v>
      </c>
    </row>
    <row r="20" spans="1:10">
      <c r="A20" s="13">
        <v>36982</v>
      </c>
      <c r="B20" s="14">
        <f t="shared" si="0"/>
        <v>2001</v>
      </c>
      <c r="C20" s="14">
        <f t="shared" si="1"/>
        <v>4</v>
      </c>
      <c r="D20" s="15">
        <v>2322.6</v>
      </c>
      <c r="E20" s="15">
        <v>0.99937966666666689</v>
      </c>
      <c r="F20" s="15">
        <v>2.1901000000000002</v>
      </c>
      <c r="G20" s="15">
        <v>598.6633333333333</v>
      </c>
      <c r="H20" s="15">
        <v>3.5567766666666665</v>
      </c>
      <c r="I20" s="15">
        <v>9.3286333333333324</v>
      </c>
      <c r="J20" s="15">
        <v>115.5095238095238</v>
      </c>
    </row>
    <row r="21" spans="1:10">
      <c r="A21" s="13">
        <v>37012</v>
      </c>
      <c r="B21" s="14">
        <f t="shared" si="0"/>
        <v>2001</v>
      </c>
      <c r="C21" s="14">
        <f t="shared" si="1"/>
        <v>5</v>
      </c>
      <c r="D21" s="15">
        <v>2344.2958064516129</v>
      </c>
      <c r="E21" s="15">
        <v>0.9995541935483877</v>
      </c>
      <c r="F21" s="15">
        <v>2.2896774193548377</v>
      </c>
      <c r="G21" s="15">
        <v>604.91451612903222</v>
      </c>
      <c r="H21" s="15">
        <v>3.5989193548387091</v>
      </c>
      <c r="I21" s="15">
        <v>9.1417419354838714</v>
      </c>
      <c r="J21" s="15">
        <v>116.81565217391301</v>
      </c>
    </row>
    <row r="22" spans="1:10">
      <c r="A22" s="13">
        <v>37043</v>
      </c>
      <c r="B22" s="14">
        <f t="shared" si="0"/>
        <v>2001</v>
      </c>
      <c r="C22" s="14">
        <f t="shared" si="1"/>
        <v>6</v>
      </c>
      <c r="D22" s="15">
        <v>2301.393333333333</v>
      </c>
      <c r="E22" s="15">
        <v>0.99963399999999969</v>
      </c>
      <c r="F22" s="15">
        <v>2.3707666666666674</v>
      </c>
      <c r="G22" s="15">
        <v>616.48333333333323</v>
      </c>
      <c r="H22" s="15">
        <v>3.5296000000000003</v>
      </c>
      <c r="I22" s="15">
        <v>9.0698333333333299</v>
      </c>
      <c r="J22" s="15">
        <v>118.95000000000002</v>
      </c>
    </row>
    <row r="23" spans="1:10">
      <c r="A23" s="13">
        <v>37073</v>
      </c>
      <c r="B23" s="14">
        <f t="shared" si="0"/>
        <v>2001</v>
      </c>
      <c r="C23" s="14">
        <f t="shared" si="1"/>
        <v>7</v>
      </c>
      <c r="D23" s="15">
        <v>2302.9387096774194</v>
      </c>
      <c r="E23" s="15">
        <v>0.99919290322580656</v>
      </c>
      <c r="F23" s="15">
        <v>2.465032258064515</v>
      </c>
      <c r="G23" s="15">
        <v>657.17096774193544</v>
      </c>
      <c r="H23" s="15">
        <v>3.5010806451612915</v>
      </c>
      <c r="I23" s="15">
        <v>9.1642903225806478</v>
      </c>
      <c r="J23" s="15">
        <v>118.44772727272722</v>
      </c>
    </row>
    <row r="24" spans="1:10">
      <c r="A24" s="13">
        <v>37104</v>
      </c>
      <c r="B24" s="14">
        <f t="shared" si="0"/>
        <v>2001</v>
      </c>
      <c r="C24" s="14">
        <f t="shared" si="1"/>
        <v>8</v>
      </c>
      <c r="D24" s="15">
        <v>2287.6854838709678</v>
      </c>
      <c r="E24" s="15">
        <v>0.9991332258064517</v>
      </c>
      <c r="F24" s="15">
        <v>2.5102903225806452</v>
      </c>
      <c r="G24" s="15">
        <v>674.31935483870961</v>
      </c>
      <c r="H24" s="15">
        <v>3.4913870967741927</v>
      </c>
      <c r="I24" s="15">
        <v>9.1255161290322544</v>
      </c>
      <c r="J24" s="15">
        <v>114.38999999999999</v>
      </c>
    </row>
    <row r="25" spans="1:10">
      <c r="A25" s="13">
        <v>37135</v>
      </c>
      <c r="B25" s="14">
        <f t="shared" si="0"/>
        <v>2001</v>
      </c>
      <c r="C25" s="14">
        <f t="shared" si="1"/>
        <v>9</v>
      </c>
      <c r="D25" s="15">
        <v>2328.3200000000002</v>
      </c>
      <c r="E25" s="15">
        <v>0.99945366666666657</v>
      </c>
      <c r="F25" s="15">
        <v>2.6648999999999998</v>
      </c>
      <c r="G25" s="15">
        <v>682.45666666666659</v>
      </c>
      <c r="H25" s="15">
        <v>3.4891666666666676</v>
      </c>
      <c r="I25" s="15">
        <v>9.4091333333333314</v>
      </c>
      <c r="J25" s="15">
        <v>113.55699999999997</v>
      </c>
    </row>
    <row r="26" spans="1:10">
      <c r="A26" s="13">
        <v>37165</v>
      </c>
      <c r="B26" s="14">
        <f t="shared" si="0"/>
        <v>2001</v>
      </c>
      <c r="C26" s="14">
        <f t="shared" si="1"/>
        <v>10</v>
      </c>
      <c r="D26" s="15">
        <v>2316.8419354838711</v>
      </c>
      <c r="E26" s="15">
        <v>0.99934903225806448</v>
      </c>
      <c r="F26" s="15">
        <v>2.7419032258064515</v>
      </c>
      <c r="G26" s="15">
        <v>710.14516129032268</v>
      </c>
      <c r="H26" s="15">
        <v>3.4588306451612891</v>
      </c>
      <c r="I26" s="15">
        <v>9.3338548387096765</v>
      </c>
      <c r="J26" s="15">
        <v>114.21000000000002</v>
      </c>
    </row>
    <row r="27" spans="1:10">
      <c r="A27" s="13">
        <v>37196</v>
      </c>
      <c r="B27" s="14">
        <f t="shared" si="0"/>
        <v>2001</v>
      </c>
      <c r="C27" s="14">
        <f t="shared" si="1"/>
        <v>11</v>
      </c>
      <c r="D27" s="15">
        <v>2307.7350000000001</v>
      </c>
      <c r="E27" s="15">
        <v>0.99739166666666645</v>
      </c>
      <c r="F27" s="15">
        <v>2.5469333333333326</v>
      </c>
      <c r="G27" s="15">
        <v>689.5716666666666</v>
      </c>
      <c r="H27" s="15">
        <v>3.4385500000000002</v>
      </c>
      <c r="I27" s="15">
        <v>9.2138499999999972</v>
      </c>
      <c r="J27" s="15">
        <v>116.00772727272729</v>
      </c>
    </row>
    <row r="28" spans="1:10">
      <c r="A28" s="13">
        <v>37226</v>
      </c>
      <c r="B28" s="14">
        <f t="shared" si="0"/>
        <v>2001</v>
      </c>
      <c r="C28" s="14">
        <f t="shared" si="1"/>
        <v>12</v>
      </c>
      <c r="D28" s="15">
        <v>2300.7838709677421</v>
      </c>
      <c r="E28" s="15">
        <v>1.0358580645161286</v>
      </c>
      <c r="F28" s="15">
        <v>2.366322580645162</v>
      </c>
      <c r="G28" s="15">
        <v>668.05161290322576</v>
      </c>
      <c r="H28" s="15">
        <v>3.4353548387096771</v>
      </c>
      <c r="I28" s="15">
        <v>9.1535161290322566</v>
      </c>
      <c r="J28" s="15">
        <v>116.28761904761909</v>
      </c>
    </row>
    <row r="29" spans="1:10">
      <c r="A29" s="13">
        <v>37257</v>
      </c>
      <c r="B29" s="14">
        <f t="shared" si="0"/>
        <v>2002</v>
      </c>
      <c r="C29" s="14">
        <f t="shared" si="1"/>
        <v>1</v>
      </c>
      <c r="D29" s="15">
        <v>2275.8419354838711</v>
      </c>
      <c r="E29" s="15">
        <v>1.5422580645161288</v>
      </c>
      <c r="F29" s="15">
        <v>2.3754838709677424</v>
      </c>
      <c r="G29" s="15">
        <v>668.05645161290317</v>
      </c>
      <c r="H29" s="15">
        <v>3.459774193548387</v>
      </c>
      <c r="I29" s="15">
        <v>9.1604483870967766</v>
      </c>
      <c r="J29" s="15">
        <v>117.71956521739129</v>
      </c>
    </row>
    <row r="30" spans="1:10">
      <c r="A30" s="13">
        <v>37288</v>
      </c>
      <c r="B30" s="14">
        <f t="shared" si="0"/>
        <v>2002</v>
      </c>
      <c r="C30" s="14">
        <f t="shared" si="1"/>
        <v>2</v>
      </c>
      <c r="D30" s="15">
        <v>2289.1071428571427</v>
      </c>
      <c r="E30" s="15">
        <v>1.9978571428571426</v>
      </c>
      <c r="F30" s="15">
        <v>2.4224999999999999</v>
      </c>
      <c r="G30" s="15">
        <v>678.48928571428564</v>
      </c>
      <c r="H30" s="15">
        <v>3.4771607142857137</v>
      </c>
      <c r="I30" s="15">
        <v>9.0936249999999994</v>
      </c>
      <c r="J30" s="15">
        <v>118.96650000000002</v>
      </c>
    </row>
    <row r="31" spans="1:10">
      <c r="A31" s="13">
        <v>37316</v>
      </c>
      <c r="B31" s="14">
        <f t="shared" si="0"/>
        <v>2002</v>
      </c>
      <c r="C31" s="14">
        <f t="shared" si="1"/>
        <v>3</v>
      </c>
      <c r="D31" s="15">
        <v>2277.9903225806452</v>
      </c>
      <c r="E31" s="15">
        <v>2.4641935483870965</v>
      </c>
      <c r="F31" s="15">
        <v>2.3437741935483865</v>
      </c>
      <c r="G31" s="15">
        <v>661.83225806451594</v>
      </c>
      <c r="H31" s="15">
        <v>3.4530967741935483</v>
      </c>
      <c r="I31" s="15">
        <v>9.0553612903225815</v>
      </c>
      <c r="J31" s="15">
        <v>117.96857142857141</v>
      </c>
    </row>
    <row r="32" spans="1:10">
      <c r="A32" s="13">
        <v>37347</v>
      </c>
      <c r="B32" s="14">
        <f t="shared" si="0"/>
        <v>2002</v>
      </c>
      <c r="C32" s="14">
        <f t="shared" si="1"/>
        <v>4</v>
      </c>
      <c r="D32" s="15">
        <v>2263.6766666666667</v>
      </c>
      <c r="E32" s="15">
        <v>2.9230000000000005</v>
      </c>
      <c r="F32" s="15">
        <v>2.3188333333333331</v>
      </c>
      <c r="G32" s="15">
        <v>649.20000000000016</v>
      </c>
      <c r="H32" s="15">
        <v>3.4371500000000013</v>
      </c>
      <c r="I32" s="15">
        <v>9.1725200000000005</v>
      </c>
      <c r="J32" s="15">
        <v>116.88272727272725</v>
      </c>
    </row>
    <row r="33" spans="1:10">
      <c r="A33" s="13">
        <v>37377</v>
      </c>
      <c r="B33" s="14">
        <f t="shared" si="0"/>
        <v>2002</v>
      </c>
      <c r="C33" s="14">
        <f t="shared" si="1"/>
        <v>5</v>
      </c>
      <c r="D33" s="15">
        <v>2310.7677419354845</v>
      </c>
      <c r="E33" s="15">
        <v>3.2938709677419351</v>
      </c>
      <c r="F33" s="15">
        <v>2.4736451612903227</v>
      </c>
      <c r="G33" s="15">
        <v>653.91935483870975</v>
      </c>
      <c r="H33" s="15">
        <v>3.4495322580645165</v>
      </c>
      <c r="I33" s="15">
        <v>9.5116451612903212</v>
      </c>
      <c r="J33" s="15">
        <v>113.37217391304345</v>
      </c>
    </row>
    <row r="34" spans="1:10">
      <c r="A34" s="13">
        <v>37408</v>
      </c>
      <c r="B34" s="14">
        <f t="shared" si="0"/>
        <v>2002</v>
      </c>
      <c r="C34" s="14">
        <f t="shared" si="1"/>
        <v>6</v>
      </c>
      <c r="D34" s="15">
        <v>2364.1933333333336</v>
      </c>
      <c r="E34" s="15">
        <v>3.6243333333333325</v>
      </c>
      <c r="F34" s="15">
        <v>2.7124666666666664</v>
      </c>
      <c r="G34" s="15">
        <v>675.11</v>
      </c>
      <c r="H34" s="15">
        <v>3.4817799999999992</v>
      </c>
      <c r="I34" s="15">
        <v>9.7709666666666699</v>
      </c>
      <c r="J34" s="15">
        <v>109.65050000000001</v>
      </c>
    </row>
    <row r="35" spans="1:10">
      <c r="A35" s="13">
        <v>37438</v>
      </c>
      <c r="B35" s="14">
        <f t="shared" si="0"/>
        <v>2002</v>
      </c>
      <c r="C35" s="14">
        <f t="shared" si="1"/>
        <v>7</v>
      </c>
      <c r="D35" s="15">
        <v>2515.5741935483866</v>
      </c>
      <c r="E35" s="15">
        <v>3.601916129032257</v>
      </c>
      <c r="F35" s="15">
        <v>2.9294516129032262</v>
      </c>
      <c r="G35" s="15">
        <v>696.0612903225807</v>
      </c>
      <c r="H35" s="15">
        <v>3.5334870967741945</v>
      </c>
      <c r="I35" s="15">
        <v>9.7715000000000014</v>
      </c>
      <c r="J35" s="15">
        <v>105.95739130434785</v>
      </c>
    </row>
    <row r="36" spans="1:10">
      <c r="A36" s="13">
        <v>37469</v>
      </c>
      <c r="B36" s="14">
        <f t="shared" si="0"/>
        <v>2002</v>
      </c>
      <c r="C36" s="14">
        <f t="shared" si="1"/>
        <v>8</v>
      </c>
      <c r="D36" s="15">
        <v>2643.748387096774</v>
      </c>
      <c r="E36" s="15">
        <v>3.6167741935483861</v>
      </c>
      <c r="F36" s="15">
        <v>3.0807741935483857</v>
      </c>
      <c r="G36" s="15">
        <v>702.39516129032256</v>
      </c>
      <c r="H36" s="15">
        <v>3.5734129032258064</v>
      </c>
      <c r="I36" s="15">
        <v>9.8331290322580642</v>
      </c>
      <c r="J36" s="15">
        <v>107.39</v>
      </c>
    </row>
    <row r="37" spans="1:10">
      <c r="A37" s="13">
        <v>37500</v>
      </c>
      <c r="B37" s="14">
        <f t="shared" si="0"/>
        <v>2002</v>
      </c>
      <c r="C37" s="14">
        <f t="shared" si="1"/>
        <v>9</v>
      </c>
      <c r="D37" s="15">
        <v>2757.900000000001</v>
      </c>
      <c r="E37" s="15">
        <v>3.6429999999999998</v>
      </c>
      <c r="F37" s="15">
        <v>3.3466</v>
      </c>
      <c r="G37" s="15">
        <v>728.49333333333323</v>
      </c>
      <c r="H37" s="15">
        <v>3.6180333333333325</v>
      </c>
      <c r="I37" s="15">
        <v>10.070633333333335</v>
      </c>
      <c r="J37" s="15">
        <v>107.28761904761905</v>
      </c>
    </row>
    <row r="38" spans="1:10">
      <c r="A38" s="13">
        <v>37530</v>
      </c>
      <c r="B38" s="14">
        <f t="shared" si="0"/>
        <v>2002</v>
      </c>
      <c r="C38" s="14">
        <f t="shared" si="1"/>
        <v>10</v>
      </c>
      <c r="D38" s="15">
        <v>2819.7129032258067</v>
      </c>
      <c r="E38" s="15">
        <v>3.6490322580645147</v>
      </c>
      <c r="F38" s="15">
        <v>3.7799677419354833</v>
      </c>
      <c r="G38" s="15">
        <v>741.34516129032261</v>
      </c>
      <c r="H38" s="15">
        <v>3.6117451612903215</v>
      </c>
      <c r="I38" s="15">
        <v>10.080951612903226</v>
      </c>
      <c r="J38" s="15">
        <v>107.53043478260871</v>
      </c>
    </row>
    <row r="39" spans="1:10">
      <c r="A39" s="13">
        <v>37561</v>
      </c>
      <c r="B39" s="14">
        <f t="shared" si="0"/>
        <v>2002</v>
      </c>
      <c r="C39" s="14">
        <f t="shared" si="1"/>
        <v>11</v>
      </c>
      <c r="D39" s="15">
        <v>2731.8466666666664</v>
      </c>
      <c r="E39" s="15">
        <v>3.5256666666666656</v>
      </c>
      <c r="F39" s="15">
        <v>3.5891333333333337</v>
      </c>
      <c r="G39" s="15">
        <v>709.88166666666666</v>
      </c>
      <c r="H39" s="15">
        <v>3.582433333333332</v>
      </c>
      <c r="I39" s="15">
        <v>10.192799999999997</v>
      </c>
      <c r="J39" s="15">
        <v>105.67523809523809</v>
      </c>
    </row>
    <row r="40" spans="1:10">
      <c r="A40" s="13">
        <v>37591</v>
      </c>
      <c r="B40" s="14">
        <f t="shared" si="0"/>
        <v>2002</v>
      </c>
      <c r="C40" s="14">
        <f t="shared" si="1"/>
        <v>12</v>
      </c>
      <c r="D40" s="15">
        <v>2817.574193548387</v>
      </c>
      <c r="E40" s="15">
        <v>3.4796774193548381</v>
      </c>
      <c r="F40" s="15">
        <v>3.6242258064516126</v>
      </c>
      <c r="G40" s="15">
        <v>703.69354838709671</v>
      </c>
      <c r="H40" s="15">
        <v>3.5126774193548389</v>
      </c>
      <c r="I40" s="15">
        <v>10.218661290322579</v>
      </c>
      <c r="J40" s="15">
        <v>104.18818181818182</v>
      </c>
    </row>
    <row r="41" spans="1:10">
      <c r="A41" s="13">
        <v>37622</v>
      </c>
      <c r="B41" s="14">
        <f t="shared" si="0"/>
        <v>2003</v>
      </c>
      <c r="C41" s="14">
        <f t="shared" si="1"/>
        <v>1</v>
      </c>
      <c r="D41" s="15">
        <v>2907.0838709677423</v>
      </c>
      <c r="E41" s="15">
        <v>3.2574193548387087</v>
      </c>
      <c r="F41" s="15">
        <v>3.4358387096774203</v>
      </c>
      <c r="G41" s="15">
        <v>722.69677419354844</v>
      </c>
      <c r="H41" s="15">
        <v>3.4936451612903223</v>
      </c>
      <c r="I41" s="15">
        <v>10.61840322580645</v>
      </c>
      <c r="J41" s="15">
        <v>100.85999999999999</v>
      </c>
    </row>
    <row r="42" spans="1:10">
      <c r="A42" s="13">
        <v>37653</v>
      </c>
      <c r="B42" s="14">
        <f t="shared" si="0"/>
        <v>2003</v>
      </c>
      <c r="C42" s="14">
        <f t="shared" si="1"/>
        <v>2</v>
      </c>
      <c r="D42" s="15">
        <v>2948.0750000000003</v>
      </c>
      <c r="E42" s="15">
        <v>3.162500000000001</v>
      </c>
      <c r="F42" s="15">
        <v>3.5905714285714287</v>
      </c>
      <c r="G42" s="15">
        <v>745.19642857142867</v>
      </c>
      <c r="H42" s="15">
        <v>3.4836785714285718</v>
      </c>
      <c r="I42" s="15">
        <v>10.92576785714286</v>
      </c>
      <c r="J42" s="15">
        <v>99.867999999999981</v>
      </c>
    </row>
    <row r="43" spans="1:10">
      <c r="A43" s="13">
        <v>37681</v>
      </c>
      <c r="B43" s="14">
        <f t="shared" si="0"/>
        <v>2003</v>
      </c>
      <c r="C43" s="14">
        <f t="shared" si="1"/>
        <v>3</v>
      </c>
      <c r="D43" s="15">
        <v>2957.9451612903222</v>
      </c>
      <c r="E43" s="15">
        <v>3.0685483870967736</v>
      </c>
      <c r="F43" s="15">
        <v>3.4477419354838723</v>
      </c>
      <c r="G43" s="15">
        <v>740.51935483870977</v>
      </c>
      <c r="H43" s="15">
        <v>3.478645161290324</v>
      </c>
      <c r="I43" s="15">
        <v>10.889854838709676</v>
      </c>
      <c r="J43" s="15">
        <v>99.750952380952384</v>
      </c>
    </row>
    <row r="44" spans="1:10">
      <c r="A44" s="13">
        <v>37712</v>
      </c>
      <c r="B44" s="14">
        <f t="shared" si="0"/>
        <v>2003</v>
      </c>
      <c r="C44" s="14">
        <f t="shared" si="1"/>
        <v>4</v>
      </c>
      <c r="D44" s="15">
        <v>2920.3333333333335</v>
      </c>
      <c r="E44" s="15">
        <v>2.8916666666666666</v>
      </c>
      <c r="F44" s="15">
        <v>3.1023333333333336</v>
      </c>
      <c r="G44" s="15">
        <v>716.53666666666663</v>
      </c>
      <c r="H44" s="15">
        <v>3.4638200000000006</v>
      </c>
      <c r="I44" s="15">
        <v>10.568933333333337</v>
      </c>
      <c r="J44" s="15">
        <v>99.399999999999991</v>
      </c>
    </row>
    <row r="45" spans="1:10">
      <c r="A45" s="13">
        <v>37742</v>
      </c>
      <c r="B45" s="14">
        <f t="shared" si="0"/>
        <v>2003</v>
      </c>
      <c r="C45" s="14">
        <f t="shared" si="1"/>
        <v>5</v>
      </c>
      <c r="D45" s="15">
        <v>2854.293548387097</v>
      </c>
      <c r="E45" s="15">
        <v>2.830806451612903</v>
      </c>
      <c r="F45" s="15">
        <v>2.9506451612903222</v>
      </c>
      <c r="G45" s="15">
        <v>703.67096774193544</v>
      </c>
      <c r="H45" s="15">
        <v>3.4800903225806454</v>
      </c>
      <c r="I45" s="15">
        <v>10.24770322580645</v>
      </c>
      <c r="J45" s="15">
        <v>94.372727272727261</v>
      </c>
    </row>
    <row r="46" spans="1:10">
      <c r="A46" s="13">
        <v>37773</v>
      </c>
      <c r="B46" s="14">
        <f t="shared" si="0"/>
        <v>2003</v>
      </c>
      <c r="C46" s="14">
        <f t="shared" si="1"/>
        <v>6</v>
      </c>
      <c r="D46" s="15">
        <v>2821.96</v>
      </c>
      <c r="E46" s="15">
        <v>2.8093333333333335</v>
      </c>
      <c r="F46" s="15">
        <v>2.8780999999999994</v>
      </c>
      <c r="G46" s="15">
        <v>707.57999999999993</v>
      </c>
      <c r="H46" s="15">
        <v>3.4773233333333335</v>
      </c>
      <c r="I46" s="15">
        <v>10.50999666666667</v>
      </c>
      <c r="J46" s="15">
        <v>93.541428571428582</v>
      </c>
    </row>
    <row r="47" spans="1:10">
      <c r="A47" s="13">
        <v>37803</v>
      </c>
      <c r="B47" s="14">
        <f t="shared" si="0"/>
        <v>2003</v>
      </c>
      <c r="C47" s="14">
        <f t="shared" si="1"/>
        <v>7</v>
      </c>
      <c r="D47" s="15">
        <v>2863.0258064516133</v>
      </c>
      <c r="E47" s="15">
        <v>2.7962096774193546</v>
      </c>
      <c r="F47" s="15">
        <v>2.8780322580645175</v>
      </c>
      <c r="G47" s="15">
        <v>701.30483870967748</v>
      </c>
      <c r="H47" s="15">
        <v>3.4714903225806455</v>
      </c>
      <c r="I47" s="15">
        <v>10.446564516129026</v>
      </c>
      <c r="J47" s="15">
        <v>95.636956521739094</v>
      </c>
    </row>
    <row r="48" spans="1:10">
      <c r="A48" s="13">
        <v>37834</v>
      </c>
      <c r="B48" s="14">
        <f t="shared" si="0"/>
        <v>2003</v>
      </c>
      <c r="C48" s="14">
        <f t="shared" si="1"/>
        <v>8</v>
      </c>
      <c r="D48" s="15">
        <v>2862.4806451612899</v>
      </c>
      <c r="E48" s="15">
        <v>2.9236129032258065</v>
      </c>
      <c r="F48" s="15">
        <v>2.996870967741935</v>
      </c>
      <c r="G48" s="15">
        <v>702.71290322580637</v>
      </c>
      <c r="H48" s="15">
        <v>3.4801258064516132</v>
      </c>
      <c r="I48" s="15">
        <v>10.783735483870966</v>
      </c>
      <c r="J48" s="15">
        <v>97.228571428571399</v>
      </c>
    </row>
    <row r="49" spans="1:10">
      <c r="A49" s="13">
        <v>37865</v>
      </c>
      <c r="B49" s="14">
        <f t="shared" si="0"/>
        <v>2003</v>
      </c>
      <c r="C49" s="14">
        <f t="shared" si="1"/>
        <v>9</v>
      </c>
      <c r="D49" s="15">
        <v>2844.6116666666658</v>
      </c>
      <c r="E49" s="15">
        <v>2.9150666666666671</v>
      </c>
      <c r="F49" s="15">
        <v>2.9169499999999999</v>
      </c>
      <c r="G49" s="15">
        <v>672.13833333333343</v>
      </c>
      <c r="H49" s="15">
        <v>3.4806600000000003</v>
      </c>
      <c r="I49" s="15">
        <v>10.923086666666665</v>
      </c>
      <c r="J49" s="15">
        <v>95.819090909090903</v>
      </c>
    </row>
    <row r="50" spans="1:10">
      <c r="A50" s="13">
        <v>37895</v>
      </c>
      <c r="B50" s="14">
        <f t="shared" si="0"/>
        <v>2003</v>
      </c>
      <c r="C50" s="14">
        <f t="shared" si="1"/>
        <v>10</v>
      </c>
      <c r="D50" s="15">
        <v>2871.8758064516132</v>
      </c>
      <c r="E50" s="15">
        <v>2.8508064516129021</v>
      </c>
      <c r="F50" s="15">
        <v>2.8565483870967752</v>
      </c>
      <c r="G50" s="15">
        <v>644.54677419354834</v>
      </c>
      <c r="H50" s="15">
        <v>3.4784516129032257</v>
      </c>
      <c r="I50" s="15">
        <v>11.173593548387098</v>
      </c>
      <c r="J50" s="15">
        <v>92.076086956521721</v>
      </c>
    </row>
    <row r="51" spans="1:10">
      <c r="A51" s="13">
        <v>37926</v>
      </c>
      <c r="B51" s="14">
        <f t="shared" si="0"/>
        <v>2003</v>
      </c>
      <c r="C51" s="14">
        <f t="shared" si="1"/>
        <v>11</v>
      </c>
      <c r="D51" s="15">
        <v>2843.1216666666664</v>
      </c>
      <c r="E51" s="15">
        <v>2.883816666666668</v>
      </c>
      <c r="F51" s="15">
        <v>2.9102999999999994</v>
      </c>
      <c r="G51" s="15">
        <v>623.58333333333326</v>
      </c>
      <c r="H51" s="15">
        <v>3.4772800000000013</v>
      </c>
      <c r="I51" s="15">
        <v>11.142883333333332</v>
      </c>
      <c r="J51" s="15">
        <v>91.870999999999981</v>
      </c>
    </row>
    <row r="52" spans="1:10">
      <c r="A52" s="13">
        <v>37956</v>
      </c>
      <c r="B52" s="14">
        <f t="shared" si="0"/>
        <v>2003</v>
      </c>
      <c r="C52" s="14">
        <f t="shared" si="1"/>
        <v>12</v>
      </c>
      <c r="D52" s="15">
        <v>2802.4854838709671</v>
      </c>
      <c r="E52" s="15">
        <v>2.9555000000000002</v>
      </c>
      <c r="F52" s="15">
        <v>2.9212258064516132</v>
      </c>
      <c r="G52" s="15">
        <v>599.89677419354837</v>
      </c>
      <c r="H52" s="15">
        <v>3.4709483870967746</v>
      </c>
      <c r="I52" s="15">
        <v>11.238696774193549</v>
      </c>
      <c r="J52" s="15">
        <v>88.366956521739127</v>
      </c>
    </row>
    <row r="53" spans="1:10">
      <c r="A53" s="13">
        <v>37987</v>
      </c>
      <c r="B53" s="14">
        <f t="shared" si="0"/>
        <v>2004</v>
      </c>
      <c r="C53" s="14">
        <f t="shared" si="1"/>
        <v>1</v>
      </c>
      <c r="D53" s="15">
        <v>2753.085483870967</v>
      </c>
      <c r="E53" s="15">
        <v>2.8930967741935478</v>
      </c>
      <c r="F53" s="15">
        <v>2.8524645161290318</v>
      </c>
      <c r="G53" s="15">
        <v>574.09354838709669</v>
      </c>
      <c r="H53" s="15">
        <v>3.4673774193548392</v>
      </c>
      <c r="I53" s="15">
        <v>10.931564516129031</v>
      </c>
      <c r="J53" s="15">
        <v>86.463181818181809</v>
      </c>
    </row>
    <row r="54" spans="1:10">
      <c r="A54" s="13">
        <v>38018</v>
      </c>
      <c r="B54" s="14">
        <f t="shared" si="0"/>
        <v>2004</v>
      </c>
      <c r="C54" s="14">
        <f t="shared" si="1"/>
        <v>2</v>
      </c>
      <c r="D54" s="15">
        <v>2714.0258620689656</v>
      </c>
      <c r="E54" s="15">
        <v>2.9251482758620684</v>
      </c>
      <c r="F54" s="15">
        <v>2.9272413793103449</v>
      </c>
      <c r="G54" s="15">
        <v>584.41206896551716</v>
      </c>
      <c r="H54" s="15">
        <v>3.4830620689655167</v>
      </c>
      <c r="I54" s="15">
        <v>11.030541379310348</v>
      </c>
      <c r="J54" s="15">
        <v>86.347500000000011</v>
      </c>
    </row>
    <row r="55" spans="1:10">
      <c r="A55" s="13">
        <v>38047</v>
      </c>
      <c r="B55" s="14">
        <f t="shared" si="0"/>
        <v>2004</v>
      </c>
      <c r="C55" s="14">
        <f t="shared" si="1"/>
        <v>3</v>
      </c>
      <c r="D55" s="15">
        <v>2670.3903225806448</v>
      </c>
      <c r="E55" s="15">
        <v>2.8968387096774197</v>
      </c>
      <c r="F55" s="15">
        <v>2.9020322580645153</v>
      </c>
      <c r="G55" s="15">
        <v>604.98709677419345</v>
      </c>
      <c r="H55" s="15">
        <v>3.4641419354838709</v>
      </c>
      <c r="I55" s="15">
        <v>11.004661290322582</v>
      </c>
      <c r="J55" s="15">
        <v>88.45782608695653</v>
      </c>
    </row>
    <row r="56" spans="1:10">
      <c r="A56" s="13">
        <v>38078</v>
      </c>
      <c r="B56" s="14">
        <f t="shared" si="0"/>
        <v>2004</v>
      </c>
      <c r="C56" s="14">
        <f t="shared" si="1"/>
        <v>4</v>
      </c>
      <c r="D56" s="15">
        <v>2639.8633333333332</v>
      </c>
      <c r="E56" s="15">
        <v>2.831466666666667</v>
      </c>
      <c r="F56" s="15">
        <v>2.9027666666666669</v>
      </c>
      <c r="G56" s="15">
        <v>606.85</v>
      </c>
      <c r="H56" s="15">
        <v>3.4683499999999996</v>
      </c>
      <c r="I56" s="15">
        <v>11.260460933333331</v>
      </c>
      <c r="J56" s="15">
        <v>89.799090909090921</v>
      </c>
    </row>
    <row r="57" spans="1:10">
      <c r="A57" s="13">
        <v>38108</v>
      </c>
      <c r="B57" s="14">
        <f t="shared" si="0"/>
        <v>2004</v>
      </c>
      <c r="C57" s="14">
        <f t="shared" si="1"/>
        <v>5</v>
      </c>
      <c r="D57" s="15">
        <v>2722.2887096774198</v>
      </c>
      <c r="E57" s="15">
        <v>2.9105322580645154</v>
      </c>
      <c r="F57" s="15">
        <v>3.0939354838709692</v>
      </c>
      <c r="G57" s="15">
        <v>636.08870967741939</v>
      </c>
      <c r="H57" s="15">
        <v>3.4866290322580649</v>
      </c>
      <c r="I57" s="15">
        <v>11.505774193548389</v>
      </c>
      <c r="J57" s="15">
        <v>90.472857142857151</v>
      </c>
    </row>
    <row r="58" spans="1:10">
      <c r="A58" s="13">
        <v>38139</v>
      </c>
      <c r="B58" s="14">
        <f t="shared" si="0"/>
        <v>2004</v>
      </c>
      <c r="C58" s="14">
        <f t="shared" si="1"/>
        <v>6</v>
      </c>
      <c r="D58" s="15">
        <v>2712.9649999999997</v>
      </c>
      <c r="E58" s="15">
        <v>2.9602666666666662</v>
      </c>
      <c r="F58" s="15">
        <v>3.1265599999999996</v>
      </c>
      <c r="G58" s="15">
        <v>642.31833333333327</v>
      </c>
      <c r="H58" s="15">
        <v>3.4757333333333329</v>
      </c>
      <c r="I58" s="15">
        <v>11.378550000000001</v>
      </c>
      <c r="J58" s="15">
        <v>89.155000000000001</v>
      </c>
    </row>
    <row r="59" spans="1:10">
      <c r="A59" s="13">
        <v>38169</v>
      </c>
      <c r="B59" s="14">
        <f t="shared" si="0"/>
        <v>2004</v>
      </c>
      <c r="C59" s="14">
        <f t="shared" si="1"/>
        <v>7</v>
      </c>
      <c r="D59" s="15">
        <v>2646.2903225806449</v>
      </c>
      <c r="E59" s="15">
        <v>2.9533225806451617</v>
      </c>
      <c r="F59" s="15">
        <v>3.0364354838709677</v>
      </c>
      <c r="G59" s="15">
        <v>632.31290322580639</v>
      </c>
      <c r="H59" s="15">
        <v>3.4375612903225816</v>
      </c>
      <c r="I59" s="15">
        <v>11.450048387096773</v>
      </c>
      <c r="J59" s="15">
        <v>88.336363636363629</v>
      </c>
    </row>
    <row r="60" spans="1:10">
      <c r="A60" s="13">
        <v>38200</v>
      </c>
      <c r="B60" s="14">
        <f t="shared" si="0"/>
        <v>2004</v>
      </c>
      <c r="C60" s="14">
        <f t="shared" si="1"/>
        <v>8</v>
      </c>
      <c r="D60" s="15">
        <v>2593.9225806451614</v>
      </c>
      <c r="E60" s="15">
        <v>3.0028709677419356</v>
      </c>
      <c r="F60" s="15">
        <v>2.9985774193548393</v>
      </c>
      <c r="G60" s="15">
        <v>635.06290322580639</v>
      </c>
      <c r="H60" s="15">
        <v>3.3925322580645161</v>
      </c>
      <c r="I60" s="15">
        <v>11.379209677419354</v>
      </c>
      <c r="J60" s="15">
        <v>88.875909090909104</v>
      </c>
    </row>
    <row r="61" spans="1:10">
      <c r="A61" s="13">
        <v>38231</v>
      </c>
      <c r="B61" s="14">
        <f t="shared" si="0"/>
        <v>2004</v>
      </c>
      <c r="C61" s="14">
        <f t="shared" si="1"/>
        <v>9</v>
      </c>
      <c r="D61" s="15">
        <v>2557.0433333333335</v>
      </c>
      <c r="E61" s="15">
        <v>2.9936999999999996</v>
      </c>
      <c r="F61" s="15">
        <v>2.8901166666666662</v>
      </c>
      <c r="G61" s="15">
        <v>614.97333333333336</v>
      </c>
      <c r="H61" s="15">
        <v>3.3585199999999995</v>
      </c>
      <c r="I61" s="15">
        <v>11.480583333333334</v>
      </c>
      <c r="J61" s="15">
        <v>88.655454545454532</v>
      </c>
    </row>
    <row r="62" spans="1:10">
      <c r="A62" s="13">
        <v>38261</v>
      </c>
      <c r="B62" s="14">
        <f t="shared" si="0"/>
        <v>2004</v>
      </c>
      <c r="C62" s="14">
        <f t="shared" si="1"/>
        <v>10</v>
      </c>
      <c r="D62" s="15">
        <v>2573.8483870967739</v>
      </c>
      <c r="E62" s="15">
        <v>2.9687419354838704</v>
      </c>
      <c r="F62" s="15">
        <v>2.8504274193548387</v>
      </c>
      <c r="G62" s="15">
        <v>606.29838709677415</v>
      </c>
      <c r="H62" s="15">
        <v>3.3223548387096771</v>
      </c>
      <c r="I62" s="15">
        <v>11.396661290322578</v>
      </c>
      <c r="J62" s="15">
        <v>86.878095238095227</v>
      </c>
    </row>
    <row r="63" spans="1:10">
      <c r="A63" s="13">
        <v>38292</v>
      </c>
      <c r="B63" s="14">
        <f t="shared" si="0"/>
        <v>2004</v>
      </c>
      <c r="C63" s="14">
        <f t="shared" si="1"/>
        <v>11</v>
      </c>
      <c r="D63" s="15">
        <v>2522.8900000000008</v>
      </c>
      <c r="E63" s="15">
        <v>2.9529833333333317</v>
      </c>
      <c r="F63" s="15">
        <v>2.7869666666666668</v>
      </c>
      <c r="G63" s="15">
        <v>595.03333333333342</v>
      </c>
      <c r="H63" s="15">
        <v>3.3089333333333335</v>
      </c>
      <c r="I63" s="15">
        <v>11.356166666666667</v>
      </c>
      <c r="J63" s="15">
        <v>83.598181818181828</v>
      </c>
    </row>
    <row r="64" spans="1:10">
      <c r="A64" s="13">
        <v>38322</v>
      </c>
      <c r="B64" s="14">
        <f t="shared" si="0"/>
        <v>2004</v>
      </c>
      <c r="C64" s="14">
        <f t="shared" si="1"/>
        <v>12</v>
      </c>
      <c r="D64" s="15">
        <v>2401.4129032258065</v>
      </c>
      <c r="E64" s="15">
        <v>2.9688709677419363</v>
      </c>
      <c r="F64" s="15">
        <v>2.7162467741935483</v>
      </c>
      <c r="G64" s="15">
        <v>574.13225806451612</v>
      </c>
      <c r="H64" s="15">
        <v>3.281322580645162</v>
      </c>
      <c r="I64" s="15">
        <v>11.192141935483869</v>
      </c>
      <c r="J64" s="15">
        <v>81.569130434782608</v>
      </c>
    </row>
    <row r="65" spans="1:10">
      <c r="A65" s="13">
        <v>38353</v>
      </c>
      <c r="B65" s="14">
        <f t="shared" si="0"/>
        <v>2005</v>
      </c>
      <c r="C65" s="14">
        <f t="shared" si="1"/>
        <v>1</v>
      </c>
      <c r="D65" s="15">
        <v>2364.266129032258</v>
      </c>
      <c r="E65" s="15">
        <v>2.9440483870967737</v>
      </c>
      <c r="F65" s="15">
        <v>2.6881516129032259</v>
      </c>
      <c r="G65" s="15">
        <v>574.91290322580653</v>
      </c>
      <c r="H65" s="15">
        <v>3.2677483870967743</v>
      </c>
      <c r="I65" s="15">
        <v>11.243725806451613</v>
      </c>
      <c r="J65" s="15">
        <v>83.111904761904754</v>
      </c>
    </row>
    <row r="66" spans="1:10">
      <c r="A66" s="13">
        <v>38384</v>
      </c>
      <c r="B66" s="14">
        <f t="shared" si="0"/>
        <v>2005</v>
      </c>
      <c r="C66" s="14">
        <f t="shared" si="1"/>
        <v>2</v>
      </c>
      <c r="D66" s="15">
        <v>2336.0035714285714</v>
      </c>
      <c r="E66" s="15">
        <v>2.9165071428571423</v>
      </c>
      <c r="F66" s="15">
        <v>2.5986107142857144</v>
      </c>
      <c r="G66" s="15">
        <v>572.77857142857158</v>
      </c>
      <c r="H66" s="15">
        <v>3.2580357142857155</v>
      </c>
      <c r="I66" s="15">
        <v>11.12555357142857</v>
      </c>
      <c r="J66" s="15">
        <v>83.723500000000016</v>
      </c>
    </row>
    <row r="67" spans="1:10">
      <c r="A67" s="13">
        <v>38412</v>
      </c>
      <c r="B67" s="14">
        <f t="shared" si="0"/>
        <v>2005</v>
      </c>
      <c r="C67" s="14">
        <f t="shared" si="1"/>
        <v>3</v>
      </c>
      <c r="D67" s="15">
        <v>2358.0170967741933</v>
      </c>
      <c r="E67" s="15">
        <v>2.9221258064516129</v>
      </c>
      <c r="F67" s="15">
        <v>2.7075064516129044</v>
      </c>
      <c r="G67" s="15">
        <v>587.0322580645161</v>
      </c>
      <c r="H67" s="15">
        <v>3.2583387096774188</v>
      </c>
      <c r="I67" s="15">
        <v>11.149400000000002</v>
      </c>
      <c r="J67" s="15">
        <v>82.892608695652171</v>
      </c>
    </row>
    <row r="68" spans="1:10">
      <c r="A68" s="13">
        <v>38443</v>
      </c>
      <c r="B68" s="14">
        <f t="shared" si="0"/>
        <v>2005</v>
      </c>
      <c r="C68" s="14">
        <f t="shared" si="1"/>
        <v>4</v>
      </c>
      <c r="D68" s="15">
        <v>2350.2399999999998</v>
      </c>
      <c r="E68" s="15">
        <v>2.8997166666666661</v>
      </c>
      <c r="F68" s="15">
        <v>2.5797766666666666</v>
      </c>
      <c r="G68" s="15">
        <v>580.22500000000002</v>
      </c>
      <c r="H68" s="15">
        <v>3.2575500000000002</v>
      </c>
      <c r="I68" s="15">
        <v>11.110450000000002</v>
      </c>
      <c r="J68" s="15">
        <v>84.267142857142858</v>
      </c>
    </row>
    <row r="69" spans="1:10">
      <c r="A69" s="13">
        <v>38473</v>
      </c>
      <c r="B69" s="14">
        <f t="shared" ref="B69:B132" si="2">+YEAR(A69)</f>
        <v>2005</v>
      </c>
      <c r="C69" s="14">
        <f t="shared" ref="C69:C132" si="3">+MONTH(A69)</f>
        <v>5</v>
      </c>
      <c r="D69" s="15">
        <v>2338.0777419354836</v>
      </c>
      <c r="E69" s="15">
        <v>2.8891129032258052</v>
      </c>
      <c r="F69" s="15">
        <v>2.4463580645161294</v>
      </c>
      <c r="G69" s="15">
        <v>578.58225806451605</v>
      </c>
      <c r="H69" s="15">
        <v>3.2542419354838708</v>
      </c>
      <c r="I69" s="15">
        <v>10.95893548387097</v>
      </c>
      <c r="J69" s="15">
        <v>85.664090909090902</v>
      </c>
    </row>
    <row r="70" spans="1:10">
      <c r="A70" s="13">
        <v>38504</v>
      </c>
      <c r="B70" s="14">
        <f t="shared" si="2"/>
        <v>2005</v>
      </c>
      <c r="C70" s="14">
        <f t="shared" si="3"/>
        <v>6</v>
      </c>
      <c r="D70" s="15">
        <v>2329.9333333333334</v>
      </c>
      <c r="E70" s="15">
        <v>2.8814833333333327</v>
      </c>
      <c r="F70" s="15">
        <v>2.4106533333333333</v>
      </c>
      <c r="G70" s="15">
        <v>585.1433333333332</v>
      </c>
      <c r="H70" s="15">
        <v>3.2520833333333332</v>
      </c>
      <c r="I70" s="15">
        <v>10.812383333333335</v>
      </c>
      <c r="J70" s="15">
        <v>88.442272727272723</v>
      </c>
    </row>
    <row r="71" spans="1:10">
      <c r="A71" s="13">
        <v>38534</v>
      </c>
      <c r="B71" s="14">
        <f t="shared" si="2"/>
        <v>2005</v>
      </c>
      <c r="C71" s="14">
        <f t="shared" si="3"/>
        <v>7</v>
      </c>
      <c r="D71" s="15">
        <v>2321.3870967741937</v>
      </c>
      <c r="E71" s="15">
        <v>2.8675483870967731</v>
      </c>
      <c r="F71" s="15">
        <v>2.3719129032258066</v>
      </c>
      <c r="G71" s="15">
        <v>574.38709677419354</v>
      </c>
      <c r="H71" s="15">
        <v>3.2515483870967747</v>
      </c>
      <c r="I71" s="15">
        <v>10.671496774193546</v>
      </c>
      <c r="J71" s="15">
        <v>89.696666666666644</v>
      </c>
    </row>
    <row r="72" spans="1:10">
      <c r="A72" s="13">
        <v>38565</v>
      </c>
      <c r="B72" s="14">
        <f t="shared" si="2"/>
        <v>2005</v>
      </c>
      <c r="C72" s="14">
        <f t="shared" si="3"/>
        <v>8</v>
      </c>
      <c r="D72" s="15">
        <v>2305.014516129032</v>
      </c>
      <c r="E72" s="15">
        <v>2.886935483870968</v>
      </c>
      <c r="F72" s="15">
        <v>2.3659919354838705</v>
      </c>
      <c r="G72" s="15">
        <v>544.54354838709685</v>
      </c>
      <c r="H72" s="15">
        <v>3.2571774193548375</v>
      </c>
      <c r="I72" s="15">
        <v>10.695083870967746</v>
      </c>
      <c r="J72" s="15">
        <v>87.940869565217383</v>
      </c>
    </row>
    <row r="73" spans="1:10">
      <c r="A73" s="13">
        <v>38596</v>
      </c>
      <c r="B73" s="14">
        <f t="shared" si="2"/>
        <v>2005</v>
      </c>
      <c r="C73" s="14">
        <f t="shared" si="3"/>
        <v>9</v>
      </c>
      <c r="D73" s="15">
        <v>2293.4833333333331</v>
      </c>
      <c r="E73" s="15">
        <v>2.909666666666666</v>
      </c>
      <c r="F73" s="15">
        <v>2.2935666666666661</v>
      </c>
      <c r="G73" s="15">
        <v>535.4616666666667</v>
      </c>
      <c r="H73" s="15">
        <v>3.3038499999999993</v>
      </c>
      <c r="I73" s="15">
        <v>10.773383333333335</v>
      </c>
      <c r="J73" s="15">
        <v>87.999090909090896</v>
      </c>
    </row>
    <row r="74" spans="1:10">
      <c r="A74" s="13">
        <v>38626</v>
      </c>
      <c r="B74" s="14">
        <f t="shared" si="2"/>
        <v>2005</v>
      </c>
      <c r="C74" s="14">
        <f t="shared" si="3"/>
        <v>10</v>
      </c>
      <c r="D74" s="15">
        <v>2291.1774193548381</v>
      </c>
      <c r="E74" s="15">
        <v>2.9637096774193545</v>
      </c>
      <c r="F74" s="15">
        <v>2.2532419354838704</v>
      </c>
      <c r="G74" s="15">
        <v>535.95000000000016</v>
      </c>
      <c r="H74" s="15">
        <v>3.3774999999999995</v>
      </c>
      <c r="I74" s="15">
        <v>10.831583870967741</v>
      </c>
      <c r="J74" s="15">
        <v>89.721904761904753</v>
      </c>
    </row>
    <row r="75" spans="1:10">
      <c r="A75" s="13">
        <v>38657</v>
      </c>
      <c r="B75" s="14">
        <f t="shared" si="2"/>
        <v>2005</v>
      </c>
      <c r="C75" s="14">
        <f t="shared" si="3"/>
        <v>11</v>
      </c>
      <c r="D75" s="15">
        <v>2279.06</v>
      </c>
      <c r="E75" s="15">
        <v>2.9619800000000009</v>
      </c>
      <c r="F75" s="15">
        <v>2.2081833333333334</v>
      </c>
      <c r="G75" s="15">
        <v>529.11333333333323</v>
      </c>
      <c r="H75" s="15">
        <v>3.3752166666666668</v>
      </c>
      <c r="I75" s="15">
        <v>10.661686666666668</v>
      </c>
      <c r="J75" s="15">
        <v>91.492727272727265</v>
      </c>
    </row>
    <row r="76" spans="1:10">
      <c r="A76" s="13">
        <v>38687</v>
      </c>
      <c r="B76" s="14">
        <f t="shared" si="2"/>
        <v>2005</v>
      </c>
      <c r="C76" s="14">
        <f t="shared" si="3"/>
        <v>12</v>
      </c>
      <c r="D76" s="15">
        <v>2278.3651612903227</v>
      </c>
      <c r="E76" s="15">
        <v>3.0124870967741932</v>
      </c>
      <c r="F76" s="15">
        <v>2.2836000000000003</v>
      </c>
      <c r="G76" s="15">
        <v>513.94032258064499</v>
      </c>
      <c r="H76" s="15">
        <v>3.4193709677419362</v>
      </c>
      <c r="I76" s="15">
        <v>10.62775161290323</v>
      </c>
      <c r="J76" s="15">
        <v>90.912727272727281</v>
      </c>
    </row>
    <row r="77" spans="1:10">
      <c r="A77" s="13">
        <v>38718</v>
      </c>
      <c r="B77" s="14">
        <f t="shared" si="2"/>
        <v>2006</v>
      </c>
      <c r="C77" s="14">
        <f t="shared" si="3"/>
        <v>1</v>
      </c>
      <c r="D77" s="15">
        <v>2272.2600000000002</v>
      </c>
      <c r="E77" s="15">
        <v>3.0453322580645166</v>
      </c>
      <c r="F77" s="15">
        <v>2.2677548387096773</v>
      </c>
      <c r="G77" s="15">
        <v>525.05645161290306</v>
      </c>
      <c r="H77" s="15">
        <v>3.3919225806451609</v>
      </c>
      <c r="I77" s="15">
        <v>10.544525806451619</v>
      </c>
      <c r="J77" s="15">
        <v>89.121818181818185</v>
      </c>
    </row>
    <row r="78" spans="1:10">
      <c r="A78" s="13">
        <v>38749</v>
      </c>
      <c r="B78" s="14">
        <f t="shared" si="2"/>
        <v>2006</v>
      </c>
      <c r="C78" s="14">
        <f t="shared" si="3"/>
        <v>2</v>
      </c>
      <c r="D78" s="15">
        <v>2253.6499999999996</v>
      </c>
      <c r="E78" s="15">
        <v>3.0681785714285716</v>
      </c>
      <c r="F78" s="15">
        <v>2.1576178571428568</v>
      </c>
      <c r="G78" s="15">
        <v>524.90357142857135</v>
      </c>
      <c r="H78" s="15">
        <v>3.286910714285713</v>
      </c>
      <c r="I78" s="15">
        <v>10.484221428571431</v>
      </c>
      <c r="J78" s="15">
        <v>90.36699999999999</v>
      </c>
    </row>
    <row r="79" spans="1:10">
      <c r="A79" s="13">
        <v>38777</v>
      </c>
      <c r="B79" s="14">
        <f t="shared" si="2"/>
        <v>2006</v>
      </c>
      <c r="C79" s="14">
        <f t="shared" si="3"/>
        <v>3</v>
      </c>
      <c r="D79" s="15">
        <v>2263.016129032258</v>
      </c>
      <c r="E79" s="15">
        <v>3.0756064516129031</v>
      </c>
      <c r="F79" s="15">
        <v>2.1461580645161287</v>
      </c>
      <c r="G79" s="15">
        <v>528.91806451612899</v>
      </c>
      <c r="H79" s="15">
        <v>3.3380806451612903</v>
      </c>
      <c r="I79" s="15">
        <v>10.742303225806451</v>
      </c>
      <c r="J79" s="15">
        <v>89.966956521739135</v>
      </c>
    </row>
    <row r="80" spans="1:10">
      <c r="A80" s="13">
        <v>38808</v>
      </c>
      <c r="B80" s="14">
        <f t="shared" si="2"/>
        <v>2006</v>
      </c>
      <c r="C80" s="14">
        <f t="shared" si="3"/>
        <v>4</v>
      </c>
      <c r="D80" s="15">
        <v>2339.11</v>
      </c>
      <c r="E80" s="15">
        <v>3.0664099999999999</v>
      </c>
      <c r="F80" s="15">
        <v>2.1279633333333337</v>
      </c>
      <c r="G80" s="15">
        <v>517.05133333333333</v>
      </c>
      <c r="H80" s="15">
        <v>3.3295166666666653</v>
      </c>
      <c r="I80" s="15">
        <v>11.044566666666668</v>
      </c>
      <c r="J80" s="15">
        <v>88.47</v>
      </c>
    </row>
    <row r="81" spans="1:10">
      <c r="A81" s="13">
        <v>38838</v>
      </c>
      <c r="B81" s="14">
        <f t="shared" si="2"/>
        <v>2006</v>
      </c>
      <c r="C81" s="14">
        <f t="shared" si="3"/>
        <v>5</v>
      </c>
      <c r="D81" s="15">
        <v>2422.4612903225807</v>
      </c>
      <c r="E81" s="15">
        <v>3.0548064516129037</v>
      </c>
      <c r="F81" s="15">
        <v>2.1714000000000007</v>
      </c>
      <c r="G81" s="15">
        <v>520.86129032258054</v>
      </c>
      <c r="H81" s="15">
        <v>3.2765000000000004</v>
      </c>
      <c r="I81" s="15">
        <v>11.093838709677421</v>
      </c>
      <c r="J81" s="15">
        <v>84.874782608695654</v>
      </c>
    </row>
    <row r="82" spans="1:10">
      <c r="A82" s="13">
        <v>38869</v>
      </c>
      <c r="B82" s="14">
        <f t="shared" si="2"/>
        <v>2006</v>
      </c>
      <c r="C82" s="14">
        <f t="shared" si="3"/>
        <v>6</v>
      </c>
      <c r="D82" s="15">
        <v>2545.7266666666674</v>
      </c>
      <c r="E82" s="15">
        <v>3.0795433333333331</v>
      </c>
      <c r="F82" s="15">
        <v>2.24715</v>
      </c>
      <c r="G82" s="15">
        <v>543.07600000000002</v>
      </c>
      <c r="H82" s="15">
        <v>3.2631666666666663</v>
      </c>
      <c r="I82" s="15">
        <v>11.386616666666665</v>
      </c>
      <c r="J82" s="15">
        <v>85.765909090909091</v>
      </c>
    </row>
    <row r="83" spans="1:10">
      <c r="A83" s="13">
        <v>38899</v>
      </c>
      <c r="B83" s="14">
        <f t="shared" si="2"/>
        <v>2006</v>
      </c>
      <c r="C83" s="14">
        <f t="shared" si="3"/>
        <v>7</v>
      </c>
      <c r="D83" s="15">
        <v>2506.4967741935488</v>
      </c>
      <c r="E83" s="15">
        <v>3.0803064516129024</v>
      </c>
      <c r="F83" s="15">
        <v>2.1879612903225807</v>
      </c>
      <c r="G83" s="15">
        <v>540.43870967741918</v>
      </c>
      <c r="H83" s="15">
        <v>3.2435967741935472</v>
      </c>
      <c r="I83" s="15">
        <v>10.991832258064516</v>
      </c>
      <c r="J83" s="15">
        <v>85.859047619047629</v>
      </c>
    </row>
    <row r="84" spans="1:10">
      <c r="A84" s="13">
        <v>38930</v>
      </c>
      <c r="B84" s="14">
        <f t="shared" si="2"/>
        <v>2006</v>
      </c>
      <c r="C84" s="14">
        <f t="shared" si="3"/>
        <v>8</v>
      </c>
      <c r="D84" s="15">
        <v>2386.5032258064516</v>
      </c>
      <c r="E84" s="15">
        <v>3.0779838709677412</v>
      </c>
      <c r="F84" s="15">
        <v>2.1566193548387096</v>
      </c>
      <c r="G84" s="15">
        <v>538.48709677419367</v>
      </c>
      <c r="H84" s="15">
        <v>3.233612903225807</v>
      </c>
      <c r="I84" s="15">
        <v>10.869841935483869</v>
      </c>
      <c r="J84" s="15">
        <v>85.045217391304334</v>
      </c>
    </row>
    <row r="85" spans="1:10">
      <c r="A85" s="13">
        <v>38961</v>
      </c>
      <c r="B85" s="14">
        <f t="shared" si="2"/>
        <v>2006</v>
      </c>
      <c r="C85" s="14">
        <f t="shared" si="3"/>
        <v>9</v>
      </c>
      <c r="D85" s="15">
        <v>2397.4700000000003</v>
      </c>
      <c r="E85" s="15">
        <v>3.0986966666666667</v>
      </c>
      <c r="F85" s="15">
        <v>2.1654116666666665</v>
      </c>
      <c r="G85" s="15">
        <v>537.68933333333348</v>
      </c>
      <c r="H85" s="15">
        <v>3.247116666666666</v>
      </c>
      <c r="I85" s="15">
        <v>10.971206666666664</v>
      </c>
      <c r="J85" s="15">
        <v>85.572857142857146</v>
      </c>
    </row>
    <row r="86" spans="1:10">
      <c r="A86" s="13">
        <v>38991</v>
      </c>
      <c r="B86" s="14">
        <f t="shared" si="2"/>
        <v>2006</v>
      </c>
      <c r="C86" s="14">
        <f t="shared" si="3"/>
        <v>10</v>
      </c>
      <c r="D86" s="15">
        <v>2357.3887096774192</v>
      </c>
      <c r="E86" s="15">
        <v>3.096567741935484</v>
      </c>
      <c r="F86" s="15">
        <v>2.1471145161290321</v>
      </c>
      <c r="G86" s="15">
        <v>530.03709677419363</v>
      </c>
      <c r="H86" s="15">
        <v>3.2352741935483862</v>
      </c>
      <c r="I86" s="15">
        <v>10.886709677419354</v>
      </c>
      <c r="J86" s="15">
        <v>86.342727272727259</v>
      </c>
    </row>
    <row r="87" spans="1:10">
      <c r="A87" s="13">
        <v>39022</v>
      </c>
      <c r="B87" s="14">
        <f t="shared" si="2"/>
        <v>2006</v>
      </c>
      <c r="C87" s="14">
        <f t="shared" si="3"/>
        <v>11</v>
      </c>
      <c r="D87" s="15">
        <v>2290.1466666666665</v>
      </c>
      <c r="E87" s="15">
        <v>3.0742200000000008</v>
      </c>
      <c r="F87" s="15">
        <v>2.1553933333333331</v>
      </c>
      <c r="G87" s="15">
        <v>527.3216666666666</v>
      </c>
      <c r="H87" s="15">
        <v>3.2211833333333333</v>
      </c>
      <c r="I87" s="15">
        <v>10.91672</v>
      </c>
      <c r="J87" s="15">
        <v>84.844545454545468</v>
      </c>
    </row>
    <row r="88" spans="1:10">
      <c r="A88" s="13">
        <v>39052</v>
      </c>
      <c r="B88" s="14">
        <f t="shared" si="2"/>
        <v>2006</v>
      </c>
      <c r="C88" s="14">
        <f t="shared" si="3"/>
        <v>12</v>
      </c>
      <c r="D88" s="15">
        <v>2257.8209677419354</v>
      </c>
      <c r="E88" s="15">
        <v>3.0564806451612894</v>
      </c>
      <c r="F88" s="15">
        <v>2.1470064516129042</v>
      </c>
      <c r="G88" s="15">
        <v>527.76612903225805</v>
      </c>
      <c r="H88" s="15">
        <v>3.2033322580645169</v>
      </c>
      <c r="I88" s="15">
        <v>10.854032258064519</v>
      </c>
      <c r="J88" s="15">
        <v>83.38333333333334</v>
      </c>
    </row>
    <row r="89" spans="1:10">
      <c r="A89" s="13">
        <v>39083</v>
      </c>
      <c r="B89" s="14">
        <f t="shared" si="2"/>
        <v>2007</v>
      </c>
      <c r="C89" s="14">
        <f t="shared" si="3"/>
        <v>1</v>
      </c>
      <c r="D89" s="15">
        <v>2235.4387096774185</v>
      </c>
      <c r="E89" s="15">
        <v>3.0843483870967749</v>
      </c>
      <c r="F89" s="15">
        <v>2.1376193548387095</v>
      </c>
      <c r="G89" s="15">
        <v>540.66322580645169</v>
      </c>
      <c r="H89" s="15">
        <v>3.191583870967742</v>
      </c>
      <c r="I89" s="15">
        <v>10.949706451612901</v>
      </c>
      <c r="J89" s="15">
        <v>84.745217391304337</v>
      </c>
    </row>
    <row r="90" spans="1:10">
      <c r="A90" s="13">
        <v>39114</v>
      </c>
      <c r="B90" s="14">
        <f t="shared" si="2"/>
        <v>2007</v>
      </c>
      <c r="C90" s="14">
        <f t="shared" si="3"/>
        <v>2</v>
      </c>
      <c r="D90" s="15">
        <v>2224.610714285714</v>
      </c>
      <c r="E90" s="15">
        <v>3.1013928571428582</v>
      </c>
      <c r="F90" s="15">
        <v>2.0964000000000005</v>
      </c>
      <c r="G90" s="15">
        <v>542.14857142857147</v>
      </c>
      <c r="H90" s="15">
        <v>3.1893535714285726</v>
      </c>
      <c r="I90" s="15">
        <v>10.998689285714288</v>
      </c>
      <c r="J90" s="15">
        <v>84.390500000000003</v>
      </c>
    </row>
    <row r="91" spans="1:10">
      <c r="A91" s="13">
        <v>39142</v>
      </c>
      <c r="B91" s="14">
        <f t="shared" si="2"/>
        <v>2007</v>
      </c>
      <c r="C91" s="14">
        <f t="shared" si="3"/>
        <v>3</v>
      </c>
      <c r="D91" s="15">
        <v>2199.4274193548385</v>
      </c>
      <c r="E91" s="15">
        <v>3.0999258064516124</v>
      </c>
      <c r="F91" s="15">
        <v>2.0884935483870959</v>
      </c>
      <c r="G91" s="15">
        <v>538.19032258064522</v>
      </c>
      <c r="H91" s="15">
        <v>3.1849677419354832</v>
      </c>
      <c r="I91" s="15">
        <v>11.114341935483871</v>
      </c>
      <c r="J91" s="15">
        <v>83.484090909090909</v>
      </c>
    </row>
    <row r="92" spans="1:10">
      <c r="A92" s="13">
        <v>39173</v>
      </c>
      <c r="B92" s="14">
        <f t="shared" si="2"/>
        <v>2007</v>
      </c>
      <c r="C92" s="14">
        <f t="shared" si="3"/>
        <v>4</v>
      </c>
      <c r="D92" s="15">
        <v>2141.14</v>
      </c>
      <c r="E92" s="15">
        <v>3.0898566666666665</v>
      </c>
      <c r="F92" s="15">
        <v>2.03057</v>
      </c>
      <c r="G92" s="15">
        <v>531.4463333333332</v>
      </c>
      <c r="H92" s="15">
        <v>3.1778466666666674</v>
      </c>
      <c r="I92" s="15">
        <v>10.977269999999999</v>
      </c>
      <c r="J92" s="15">
        <v>82.190142857142874</v>
      </c>
    </row>
    <row r="93" spans="1:10">
      <c r="A93" s="13">
        <v>39203</v>
      </c>
      <c r="B93" s="14">
        <f t="shared" si="2"/>
        <v>2007</v>
      </c>
      <c r="C93" s="14">
        <f t="shared" si="3"/>
        <v>5</v>
      </c>
      <c r="D93" s="15">
        <v>1998.2935483870972</v>
      </c>
      <c r="E93" s="15">
        <v>3.0791129032258064</v>
      </c>
      <c r="F93" s="15">
        <v>1.9830258064516133</v>
      </c>
      <c r="G93" s="15">
        <v>521.5548387096776</v>
      </c>
      <c r="H93" s="15">
        <v>3.1668580645161293</v>
      </c>
      <c r="I93" s="15">
        <v>10.813796774193552</v>
      </c>
      <c r="J93" s="15">
        <v>82.118913043478244</v>
      </c>
    </row>
    <row r="94" spans="1:10">
      <c r="A94" s="13">
        <v>39234</v>
      </c>
      <c r="B94" s="14">
        <f t="shared" si="2"/>
        <v>2007</v>
      </c>
      <c r="C94" s="14">
        <f t="shared" si="3"/>
        <v>6</v>
      </c>
      <c r="D94" s="15">
        <v>1925.6333333333334</v>
      </c>
      <c r="E94" s="15">
        <v>3.0775000000000001</v>
      </c>
      <c r="F94" s="15">
        <v>1.9321533333333332</v>
      </c>
      <c r="G94" s="15">
        <v>526.51666666666665</v>
      </c>
      <c r="H94" s="15">
        <v>3.1690833333333339</v>
      </c>
      <c r="I94" s="15">
        <v>10.830056666666669</v>
      </c>
      <c r="J94" s="15">
        <v>82.466761904761924</v>
      </c>
    </row>
    <row r="95" spans="1:10">
      <c r="A95" s="13">
        <v>39264</v>
      </c>
      <c r="B95" s="14">
        <f t="shared" si="2"/>
        <v>2007</v>
      </c>
      <c r="C95" s="14">
        <f t="shared" si="3"/>
        <v>7</v>
      </c>
      <c r="D95" s="15">
        <v>1952.1645161290319</v>
      </c>
      <c r="E95" s="15">
        <v>3.1110000000000007</v>
      </c>
      <c r="F95" s="15">
        <v>1.8821225806451609</v>
      </c>
      <c r="G95" s="15">
        <v>519.55161290322576</v>
      </c>
      <c r="H95" s="15">
        <v>3.1607096774193542</v>
      </c>
      <c r="I95" s="15">
        <v>10.817019354838706</v>
      </c>
      <c r="J95" s="15">
        <v>80.808909090909097</v>
      </c>
    </row>
    <row r="96" spans="1:10">
      <c r="A96" s="13">
        <v>39295</v>
      </c>
      <c r="B96" s="14">
        <f t="shared" si="2"/>
        <v>2007</v>
      </c>
      <c r="C96" s="14">
        <f t="shared" si="3"/>
        <v>8</v>
      </c>
      <c r="D96" s="15">
        <v>2059.3387096774195</v>
      </c>
      <c r="E96" s="15">
        <v>3.1517354838709686</v>
      </c>
      <c r="F96" s="15">
        <v>1.9606387096774192</v>
      </c>
      <c r="G96" s="15">
        <v>522.72419354838723</v>
      </c>
      <c r="H96" s="15">
        <v>3.1561709677419372</v>
      </c>
      <c r="I96" s="15">
        <v>11.038132258064513</v>
      </c>
      <c r="J96" s="15">
        <v>80.935173913043485</v>
      </c>
    </row>
    <row r="97" spans="1:10">
      <c r="A97" s="13">
        <v>39326</v>
      </c>
      <c r="B97" s="14">
        <f t="shared" si="2"/>
        <v>2007</v>
      </c>
      <c r="C97" s="14">
        <f t="shared" si="3"/>
        <v>9</v>
      </c>
      <c r="D97" s="15">
        <v>2107.2796666666668</v>
      </c>
      <c r="E97" s="15">
        <v>3.1463733333333344</v>
      </c>
      <c r="F97" s="15">
        <v>1.9025366666666663</v>
      </c>
      <c r="G97" s="15">
        <v>515.7166666666667</v>
      </c>
      <c r="H97" s="15">
        <v>3.1331333333333338</v>
      </c>
      <c r="I97" s="15">
        <v>11.024806666666665</v>
      </c>
      <c r="J97" s="15">
        <v>79.37684999999999</v>
      </c>
    </row>
    <row r="98" spans="1:10">
      <c r="A98" s="13">
        <v>39356</v>
      </c>
      <c r="B98" s="14">
        <f t="shared" si="2"/>
        <v>2007</v>
      </c>
      <c r="C98" s="14">
        <f t="shared" si="3"/>
        <v>10</v>
      </c>
      <c r="D98" s="15">
        <v>1995.7270967741943</v>
      </c>
      <c r="E98" s="15">
        <v>3.1575032258064519</v>
      </c>
      <c r="F98" s="15">
        <v>1.7964774193548383</v>
      </c>
      <c r="G98" s="15">
        <v>499.77064516129042</v>
      </c>
      <c r="H98" s="15">
        <v>3.0182451612903232</v>
      </c>
      <c r="I98" s="15">
        <v>10.805141935483869</v>
      </c>
      <c r="J98" s="15">
        <v>77.847347826086946</v>
      </c>
    </row>
    <row r="99" spans="1:10">
      <c r="A99" s="13">
        <v>39387</v>
      </c>
      <c r="B99" s="14">
        <f t="shared" si="2"/>
        <v>2007</v>
      </c>
      <c r="C99" s="14">
        <f t="shared" si="3"/>
        <v>11</v>
      </c>
      <c r="D99" s="15">
        <v>2046.3983333333333</v>
      </c>
      <c r="E99" s="15">
        <v>3.1339999999999999</v>
      </c>
      <c r="F99" s="15">
        <v>1.7683266666666668</v>
      </c>
      <c r="G99" s="15">
        <v>506.55933333333343</v>
      </c>
      <c r="H99" s="15">
        <v>2.9983799999999983</v>
      </c>
      <c r="I99" s="15">
        <v>10.879006666666669</v>
      </c>
      <c r="J99" s="15">
        <v>75.641227272727264</v>
      </c>
    </row>
    <row r="100" spans="1:10">
      <c r="A100" s="13">
        <v>39417</v>
      </c>
      <c r="B100" s="14">
        <f t="shared" si="2"/>
        <v>2007</v>
      </c>
      <c r="C100" s="14">
        <f t="shared" si="3"/>
        <v>12</v>
      </c>
      <c r="D100" s="15">
        <v>2012.4387096774196</v>
      </c>
      <c r="E100" s="15">
        <v>3.1401774193548389</v>
      </c>
      <c r="F100" s="15">
        <v>1.7854064516129031</v>
      </c>
      <c r="G100" s="15">
        <v>498.63709677419365</v>
      </c>
      <c r="H100" s="15">
        <v>2.9820064516129028</v>
      </c>
      <c r="I100" s="15">
        <v>10.849812903225811</v>
      </c>
      <c r="J100" s="15">
        <v>76.803238095238115</v>
      </c>
    </row>
    <row r="101" spans="1:10">
      <c r="A101" s="13">
        <v>39448</v>
      </c>
      <c r="B101" s="14">
        <f t="shared" si="2"/>
        <v>2008</v>
      </c>
      <c r="C101" s="14">
        <f t="shared" si="3"/>
        <v>1</v>
      </c>
      <c r="D101" s="15">
        <v>1979.3258064516133</v>
      </c>
      <c r="E101" s="15">
        <v>3.1438387096774196</v>
      </c>
      <c r="F101" s="15">
        <v>1.7727258064516129</v>
      </c>
      <c r="G101" s="15">
        <v>479.43064516129027</v>
      </c>
      <c r="H101" s="15">
        <v>2.9474483870967743</v>
      </c>
      <c r="I101" s="15">
        <v>10.910425806451613</v>
      </c>
      <c r="J101" s="15">
        <v>75.981695652173897</v>
      </c>
    </row>
    <row r="102" spans="1:10">
      <c r="A102" s="13">
        <v>39479</v>
      </c>
      <c r="B102" s="14">
        <f t="shared" si="2"/>
        <v>2008</v>
      </c>
      <c r="C102" s="14">
        <f t="shared" si="3"/>
        <v>2</v>
      </c>
      <c r="D102" s="15">
        <v>1900.4999999999995</v>
      </c>
      <c r="E102" s="15">
        <v>3.1575172413793102</v>
      </c>
      <c r="F102" s="15">
        <v>1.7324137931034487</v>
      </c>
      <c r="G102" s="15">
        <v>466.72068965517246</v>
      </c>
      <c r="H102" s="15">
        <v>2.9063206896551717</v>
      </c>
      <c r="I102" s="15">
        <v>10.761341379310341</v>
      </c>
      <c r="J102" s="15">
        <v>75.698380952380944</v>
      </c>
    </row>
    <row r="103" spans="1:10">
      <c r="A103" s="13">
        <v>39508</v>
      </c>
      <c r="B103" s="14">
        <f t="shared" si="2"/>
        <v>2008</v>
      </c>
      <c r="C103" s="14">
        <f t="shared" si="3"/>
        <v>3</v>
      </c>
      <c r="D103" s="15">
        <v>1842.6854838709683</v>
      </c>
      <c r="E103" s="15">
        <v>3.1548806451612901</v>
      </c>
      <c r="F103" s="15">
        <v>1.7102935483870967</v>
      </c>
      <c r="G103" s="15">
        <v>443.10483870967738</v>
      </c>
      <c r="H103" s="15">
        <v>2.8097387096774198</v>
      </c>
      <c r="I103" s="15">
        <v>10.73389032258064</v>
      </c>
      <c r="J103" s="15">
        <v>72.467476190476205</v>
      </c>
    </row>
    <row r="104" spans="1:10">
      <c r="A104" s="13">
        <v>39539</v>
      </c>
      <c r="B104" s="14">
        <f t="shared" si="2"/>
        <v>2008</v>
      </c>
      <c r="C104" s="14">
        <f t="shared" si="3"/>
        <v>4</v>
      </c>
      <c r="D104" s="15">
        <v>1791.8396666666667</v>
      </c>
      <c r="E104" s="15">
        <v>3.1652666666666662</v>
      </c>
      <c r="F104" s="15">
        <v>1.6846933333333332</v>
      </c>
      <c r="G104" s="15">
        <v>447.41166666666669</v>
      </c>
      <c r="H104" s="15">
        <v>2.7468300000000005</v>
      </c>
      <c r="I104" s="15">
        <v>10.508266666666668</v>
      </c>
      <c r="J104" s="15">
        <v>72.116545454545445</v>
      </c>
    </row>
    <row r="105" spans="1:10">
      <c r="A105" s="13">
        <v>39569</v>
      </c>
      <c r="B105" s="14">
        <f t="shared" si="2"/>
        <v>2008</v>
      </c>
      <c r="C105" s="14">
        <f t="shared" si="3"/>
        <v>5</v>
      </c>
      <c r="D105" s="15">
        <v>1773.366129032258</v>
      </c>
      <c r="E105" s="15">
        <v>3.1494161290322573</v>
      </c>
      <c r="F105" s="15">
        <v>1.6570290322580645</v>
      </c>
      <c r="G105" s="15">
        <v>470.37096774193566</v>
      </c>
      <c r="H105" s="15">
        <v>2.7972032258064519</v>
      </c>
      <c r="I105" s="15">
        <v>10.43253870967742</v>
      </c>
      <c r="J105" s="15">
        <v>72.86572727272727</v>
      </c>
    </row>
    <row r="106" spans="1:10">
      <c r="A106" s="13">
        <v>39600</v>
      </c>
      <c r="B106" s="14">
        <f t="shared" si="2"/>
        <v>2008</v>
      </c>
      <c r="C106" s="14">
        <f t="shared" si="3"/>
        <v>6</v>
      </c>
      <c r="D106" s="15">
        <v>1735.8350000000003</v>
      </c>
      <c r="E106" s="15">
        <v>3.0449633333333326</v>
      </c>
      <c r="F106" s="15">
        <v>1.6178866666666665</v>
      </c>
      <c r="G106" s="15">
        <v>496.4933333333334</v>
      </c>
      <c r="H106" s="15">
        <v>2.8890133333333337</v>
      </c>
      <c r="I106" s="15">
        <v>10.323230000000002</v>
      </c>
      <c r="J106" s="15">
        <v>73.179999999999993</v>
      </c>
    </row>
    <row r="107" spans="1:10">
      <c r="A107" s="13">
        <v>39630</v>
      </c>
      <c r="B107" s="14">
        <f t="shared" si="2"/>
        <v>2008</v>
      </c>
      <c r="C107" s="14">
        <f t="shared" si="3"/>
        <v>7</v>
      </c>
      <c r="D107" s="15">
        <v>1774.7622580645161</v>
      </c>
      <c r="E107" s="15">
        <v>3.0213000000000001</v>
      </c>
      <c r="F107" s="15">
        <v>1.5908774193548385</v>
      </c>
      <c r="G107" s="15">
        <v>500.43064516129022</v>
      </c>
      <c r="H107" s="15">
        <v>2.8431419354838714</v>
      </c>
      <c r="I107" s="15">
        <v>10.205674193548386</v>
      </c>
      <c r="J107" s="15">
        <v>72.545695652173876</v>
      </c>
    </row>
    <row r="108" spans="1:10">
      <c r="A108" s="13">
        <v>39661</v>
      </c>
      <c r="B108" s="14">
        <f t="shared" si="2"/>
        <v>2008</v>
      </c>
      <c r="C108" s="14">
        <f t="shared" si="3"/>
        <v>8</v>
      </c>
      <c r="D108" s="15">
        <v>1848.1696774193545</v>
      </c>
      <c r="E108" s="15">
        <v>3.0322193548387104</v>
      </c>
      <c r="F108" s="15">
        <v>1.6120516129032256</v>
      </c>
      <c r="G108" s="15">
        <v>515.66935483870964</v>
      </c>
      <c r="H108" s="15">
        <v>2.8952322580645169</v>
      </c>
      <c r="I108" s="15">
        <v>10.114080645161287</v>
      </c>
      <c r="J108" s="15">
        <v>76.060904761904766</v>
      </c>
    </row>
    <row r="109" spans="1:10">
      <c r="A109" s="13">
        <v>39692</v>
      </c>
      <c r="B109" s="14">
        <f t="shared" si="2"/>
        <v>2008</v>
      </c>
      <c r="C109" s="14">
        <f t="shared" si="3"/>
        <v>9</v>
      </c>
      <c r="D109" s="15">
        <v>2070.6369999999997</v>
      </c>
      <c r="E109" s="15">
        <v>3.0825399999999989</v>
      </c>
      <c r="F109" s="15">
        <v>1.7970899999999999</v>
      </c>
      <c r="G109" s="15">
        <v>534.14833333333331</v>
      </c>
      <c r="H109" s="15">
        <v>2.9642666666666675</v>
      </c>
      <c r="I109" s="15">
        <v>10.637693333333338</v>
      </c>
      <c r="J109" s="15">
        <v>78.223090909090914</v>
      </c>
    </row>
    <row r="110" spans="1:10">
      <c r="A110" s="13">
        <v>39722</v>
      </c>
      <c r="B110" s="14">
        <f t="shared" si="2"/>
        <v>2008</v>
      </c>
      <c r="C110" s="14">
        <f t="shared" si="3"/>
        <v>10</v>
      </c>
      <c r="D110" s="15">
        <v>2291.5667741935486</v>
      </c>
      <c r="E110" s="15">
        <v>3.2325161290322586</v>
      </c>
      <c r="F110" s="15">
        <v>2.1848580645161291</v>
      </c>
      <c r="G110" s="15">
        <v>624.95322580645166</v>
      </c>
      <c r="H110" s="15">
        <v>3.057770967741936</v>
      </c>
      <c r="I110" s="15">
        <v>12.655580645161288</v>
      </c>
      <c r="J110" s="15">
        <v>83.111956521739117</v>
      </c>
    </row>
    <row r="111" spans="1:10">
      <c r="A111" s="13">
        <v>39753</v>
      </c>
      <c r="B111" s="14">
        <f t="shared" si="2"/>
        <v>2008</v>
      </c>
      <c r="C111" s="14">
        <f t="shared" si="3"/>
        <v>11</v>
      </c>
      <c r="D111" s="15">
        <v>2327.5483333333336</v>
      </c>
      <c r="E111" s="15">
        <v>3.3301333333333338</v>
      </c>
      <c r="F111" s="15">
        <v>2.2657900000000004</v>
      </c>
      <c r="G111" s="15">
        <v>652.47666666666669</v>
      </c>
      <c r="H111" s="15">
        <v>3.0946333333333329</v>
      </c>
      <c r="I111" s="15">
        <v>13.127296666666668</v>
      </c>
      <c r="J111" s="15">
        <v>86.391449999999992</v>
      </c>
    </row>
    <row r="112" spans="1:10">
      <c r="A112" s="13">
        <v>39783</v>
      </c>
      <c r="B112" s="14">
        <f t="shared" si="2"/>
        <v>2008</v>
      </c>
      <c r="C112" s="14">
        <f t="shared" si="3"/>
        <v>12</v>
      </c>
      <c r="D112" s="15">
        <v>2249.4487096774196</v>
      </c>
      <c r="E112" s="15">
        <v>3.4296419354838714</v>
      </c>
      <c r="F112" s="15">
        <v>2.3953387096774192</v>
      </c>
      <c r="G112" s="15">
        <v>647.30806451612909</v>
      </c>
      <c r="H112" s="15">
        <v>3.1149354838709677</v>
      </c>
      <c r="I112" s="15">
        <v>13.39882258064516</v>
      </c>
      <c r="J112" s="15">
        <v>82.973434782608706</v>
      </c>
    </row>
    <row r="113" spans="1:10">
      <c r="A113" s="13">
        <v>39814</v>
      </c>
      <c r="B113" s="14">
        <f t="shared" si="2"/>
        <v>2009</v>
      </c>
      <c r="C113" s="14">
        <f t="shared" si="3"/>
        <v>1</v>
      </c>
      <c r="D113" s="15">
        <v>2263.6951612903235</v>
      </c>
      <c r="E113" s="15">
        <v>3.4606483870967746</v>
      </c>
      <c r="F113" s="15">
        <v>2.309922580645162</v>
      </c>
      <c r="G113" s="15">
        <v>622.82741935483887</v>
      </c>
      <c r="H113" s="15">
        <v>3.1450322580645169</v>
      </c>
      <c r="I113" s="15">
        <v>13.86564193548387</v>
      </c>
      <c r="J113" s="15">
        <v>83.964500000000001</v>
      </c>
    </row>
    <row r="114" spans="1:10">
      <c r="A114" s="13">
        <v>39845</v>
      </c>
      <c r="B114" s="14">
        <f t="shared" si="2"/>
        <v>2009</v>
      </c>
      <c r="C114" s="14">
        <f t="shared" si="3"/>
        <v>2</v>
      </c>
      <c r="D114" s="15">
        <v>2512.3782142857149</v>
      </c>
      <c r="E114" s="15">
        <v>3.506696428571427</v>
      </c>
      <c r="F114" s="15">
        <v>2.3189964285714288</v>
      </c>
      <c r="G114" s="15">
        <v>605.44464285714275</v>
      </c>
      <c r="H114" s="15">
        <v>3.2347892857142844</v>
      </c>
      <c r="I114" s="15">
        <v>14.603121428571431</v>
      </c>
      <c r="J114" s="15">
        <v>86.540400000000005</v>
      </c>
    </row>
    <row r="115" spans="1:10">
      <c r="A115" s="13">
        <v>39873</v>
      </c>
      <c r="B115" s="14">
        <f t="shared" si="2"/>
        <v>2009</v>
      </c>
      <c r="C115" s="14">
        <f t="shared" si="3"/>
        <v>3</v>
      </c>
      <c r="D115" s="15">
        <v>2471.671935483871</v>
      </c>
      <c r="E115" s="15">
        <v>3.6527741935483875</v>
      </c>
      <c r="F115" s="15">
        <v>2.314948387096774</v>
      </c>
      <c r="G115" s="15">
        <v>591.31451612903243</v>
      </c>
      <c r="H115" s="15">
        <v>3.1690387096774186</v>
      </c>
      <c r="I115" s="15">
        <v>14.639874193548383</v>
      </c>
      <c r="J115" s="15">
        <v>86.410636363636343</v>
      </c>
    </row>
    <row r="116" spans="1:10">
      <c r="A116" s="13">
        <v>39904</v>
      </c>
      <c r="B116" s="14">
        <f t="shared" si="2"/>
        <v>2009</v>
      </c>
      <c r="C116" s="14">
        <f t="shared" si="3"/>
        <v>4</v>
      </c>
      <c r="D116" s="15">
        <v>2367.2903333333338</v>
      </c>
      <c r="E116" s="15">
        <v>3.6869799999999997</v>
      </c>
      <c r="F116" s="15">
        <v>2.1991200000000002</v>
      </c>
      <c r="G116" s="15">
        <v>582.27499999999998</v>
      </c>
      <c r="H116" s="15">
        <v>3.0818400000000001</v>
      </c>
      <c r="I116" s="15">
        <v>13.370949999999999</v>
      </c>
      <c r="J116" s="15">
        <v>85.254909090909095</v>
      </c>
    </row>
    <row r="117" spans="1:10">
      <c r="A117" s="13">
        <v>39934</v>
      </c>
      <c r="B117" s="14">
        <f t="shared" si="2"/>
        <v>2009</v>
      </c>
      <c r="C117" s="14">
        <f t="shared" si="3"/>
        <v>5</v>
      </c>
      <c r="D117" s="15">
        <v>2223.3383870967741</v>
      </c>
      <c r="E117" s="15">
        <v>3.7246129032258071</v>
      </c>
      <c r="F117" s="15">
        <v>2.0671806451612906</v>
      </c>
      <c r="G117" s="15">
        <v>565.69193548387091</v>
      </c>
      <c r="H117" s="15">
        <v>2.9972709677419358</v>
      </c>
      <c r="I117" s="15">
        <v>13.211245161290321</v>
      </c>
      <c r="J117" s="15">
        <v>82.035428571428582</v>
      </c>
    </row>
    <row r="118" spans="1:10">
      <c r="A118" s="13">
        <v>39965</v>
      </c>
      <c r="B118" s="14">
        <f t="shared" si="2"/>
        <v>2009</v>
      </c>
      <c r="C118" s="14">
        <f t="shared" si="3"/>
        <v>6</v>
      </c>
      <c r="D118" s="15">
        <v>2085.5326666666665</v>
      </c>
      <c r="E118" s="15">
        <v>3.764966666666667</v>
      </c>
      <c r="F118" s="15">
        <v>1.9548066666666657</v>
      </c>
      <c r="G118" s="15">
        <v>549.66333333333341</v>
      </c>
      <c r="H118" s="15">
        <v>2.9879800000000003</v>
      </c>
      <c r="I118" s="15">
        <v>13.330113333333333</v>
      </c>
      <c r="J118" s="15">
        <v>80.116636363636374</v>
      </c>
    </row>
    <row r="119" spans="1:10">
      <c r="A119" s="13">
        <v>39995</v>
      </c>
      <c r="B119" s="14">
        <f t="shared" si="2"/>
        <v>2009</v>
      </c>
      <c r="C119" s="14">
        <f t="shared" si="3"/>
        <v>7</v>
      </c>
      <c r="D119" s="15">
        <v>2040.9790322580648</v>
      </c>
      <c r="E119" s="15">
        <v>3.8049612903225793</v>
      </c>
      <c r="F119" s="15">
        <v>1.9324290322580642</v>
      </c>
      <c r="G119" s="15">
        <v>539.79032258064512</v>
      </c>
      <c r="H119" s="15">
        <v>3.0088516129032263</v>
      </c>
      <c r="I119" s="15">
        <v>13.358170967741934</v>
      </c>
      <c r="J119" s="15">
        <v>79.526347826086948</v>
      </c>
    </row>
    <row r="120" spans="1:10">
      <c r="A120" s="13">
        <v>40026</v>
      </c>
      <c r="B120" s="14">
        <f t="shared" si="2"/>
        <v>2009</v>
      </c>
      <c r="C120" s="14">
        <f t="shared" si="3"/>
        <v>8</v>
      </c>
      <c r="D120" s="15">
        <v>2016.682258064516</v>
      </c>
      <c r="E120" s="15">
        <v>3.8372064516129036</v>
      </c>
      <c r="F120" s="15">
        <v>1.8456580645161291</v>
      </c>
      <c r="G120" s="15">
        <v>546.89354838709687</v>
      </c>
      <c r="H120" s="15">
        <v>2.9487258064516131</v>
      </c>
      <c r="I120" s="15">
        <v>13.010245161290321</v>
      </c>
      <c r="J120" s="15">
        <v>78.447857142857146</v>
      </c>
    </row>
    <row r="121" spans="1:10">
      <c r="A121" s="13">
        <v>40057</v>
      </c>
      <c r="B121" s="14">
        <f t="shared" si="2"/>
        <v>2009</v>
      </c>
      <c r="C121" s="14">
        <f t="shared" si="3"/>
        <v>9</v>
      </c>
      <c r="D121" s="15">
        <v>1972.3243333333337</v>
      </c>
      <c r="E121" s="15">
        <v>3.8414499999999991</v>
      </c>
      <c r="F121" s="15">
        <v>1.8181499999999997</v>
      </c>
      <c r="G121" s="15">
        <v>548.30166666666673</v>
      </c>
      <c r="H121" s="15">
        <v>2.907116666666667</v>
      </c>
      <c r="I121" s="15">
        <v>13.405306666666663</v>
      </c>
      <c r="J121" s="15">
        <v>77.053090909090898</v>
      </c>
    </row>
    <row r="122" spans="1:10">
      <c r="A122" s="13">
        <v>40087</v>
      </c>
      <c r="B122" s="14">
        <f t="shared" si="2"/>
        <v>2009</v>
      </c>
      <c r="C122" s="14">
        <f t="shared" si="3"/>
        <v>10</v>
      </c>
      <c r="D122" s="15">
        <v>1898.6725806451618</v>
      </c>
      <c r="E122" s="15">
        <v>3.8242193548387098</v>
      </c>
      <c r="F122" s="15">
        <v>1.7388870967741932</v>
      </c>
      <c r="G122" s="15">
        <v>545.18870967741941</v>
      </c>
      <c r="H122" s="15">
        <v>2.8703451612903224</v>
      </c>
      <c r="I122" s="15">
        <v>13.23098064516129</v>
      </c>
      <c r="J122" s="15">
        <v>76.010772727272723</v>
      </c>
    </row>
    <row r="123" spans="1:10">
      <c r="A123" s="13">
        <v>40118</v>
      </c>
      <c r="B123" s="14">
        <f t="shared" si="2"/>
        <v>2009</v>
      </c>
      <c r="C123" s="14">
        <f t="shared" si="3"/>
        <v>11</v>
      </c>
      <c r="D123" s="15">
        <v>1971.9050000000002</v>
      </c>
      <c r="E123" s="15">
        <v>3.80741</v>
      </c>
      <c r="F123" s="15">
        <v>1.7287933333333336</v>
      </c>
      <c r="G123" s="15">
        <v>506.03333333333336</v>
      </c>
      <c r="H123" s="15">
        <v>2.8847233333333335</v>
      </c>
      <c r="I123" s="15">
        <v>13.099796666666668</v>
      </c>
      <c r="J123" s="15">
        <v>75.307619047619056</v>
      </c>
    </row>
    <row r="124" spans="1:10">
      <c r="A124" s="13">
        <v>40148</v>
      </c>
      <c r="B124" s="14">
        <f t="shared" si="2"/>
        <v>2009</v>
      </c>
      <c r="C124" s="14">
        <f t="shared" si="3"/>
        <v>12</v>
      </c>
      <c r="D124" s="15">
        <v>2016.4483870967742</v>
      </c>
      <c r="E124" s="15">
        <v>3.8017193548387098</v>
      </c>
      <c r="F124" s="15">
        <v>1.7528935483870967</v>
      </c>
      <c r="G124" s="15">
        <v>502.46612903225792</v>
      </c>
      <c r="H124" s="15">
        <v>2.876435483870968</v>
      </c>
      <c r="I124" s="15">
        <v>12.835616129032257</v>
      </c>
      <c r="J124" s="15">
        <v>76.827739130434765</v>
      </c>
    </row>
    <row r="125" spans="1:10">
      <c r="A125" s="13">
        <v>40179</v>
      </c>
      <c r="B125" s="14">
        <f t="shared" si="2"/>
        <v>2010</v>
      </c>
      <c r="C125" s="14">
        <f t="shared" si="3"/>
        <v>1</v>
      </c>
      <c r="D125" s="15">
        <v>1977.6370967741937</v>
      </c>
      <c r="E125" s="15">
        <v>3.8008806451612891</v>
      </c>
      <c r="F125" s="15">
        <v>1.7819967741935487</v>
      </c>
      <c r="G125" s="15">
        <v>502.23709677419362</v>
      </c>
      <c r="H125" s="15">
        <v>2.8580161290322574</v>
      </c>
      <c r="I125" s="15">
        <v>12.854732258064521</v>
      </c>
      <c r="J125" s="15">
        <v>77.804904761904751</v>
      </c>
    </row>
    <row r="126" spans="1:10">
      <c r="A126" s="13">
        <v>40210</v>
      </c>
      <c r="B126" s="14">
        <f t="shared" si="2"/>
        <v>2010</v>
      </c>
      <c r="C126" s="14">
        <f t="shared" si="3"/>
        <v>2</v>
      </c>
      <c r="D126" s="15">
        <v>1946.7303571428579</v>
      </c>
      <c r="E126" s="15">
        <v>3.8456607142857151</v>
      </c>
      <c r="F126" s="15">
        <v>1.8386107142857144</v>
      </c>
      <c r="G126" s="15">
        <v>531.44035714285724</v>
      </c>
      <c r="H126" s="15">
        <v>2.8533035714285711</v>
      </c>
      <c r="I126" s="15">
        <v>12.923539285714286</v>
      </c>
      <c r="J126" s="15">
        <v>80.164600000000007</v>
      </c>
    </row>
    <row r="127" spans="1:10">
      <c r="A127" s="13">
        <v>40238</v>
      </c>
      <c r="B127" s="14">
        <f t="shared" si="2"/>
        <v>2010</v>
      </c>
      <c r="C127" s="14">
        <f t="shared" si="3"/>
        <v>3</v>
      </c>
      <c r="D127" s="15">
        <v>1906.7935483870972</v>
      </c>
      <c r="E127" s="15">
        <v>3.8579354838709681</v>
      </c>
      <c r="F127" s="15">
        <v>1.78591935483871</v>
      </c>
      <c r="G127" s="15">
        <v>522.32741935483875</v>
      </c>
      <c r="H127" s="15">
        <v>2.8384290322580648</v>
      </c>
      <c r="I127" s="15">
        <v>12.562461290322581</v>
      </c>
      <c r="J127" s="15">
        <v>80.671608695652168</v>
      </c>
    </row>
    <row r="128" spans="1:10">
      <c r="A128" s="13">
        <v>40269</v>
      </c>
      <c r="B128" s="14">
        <f t="shared" si="2"/>
        <v>2010</v>
      </c>
      <c r="C128" s="14">
        <f t="shared" si="3"/>
        <v>4</v>
      </c>
      <c r="D128" s="15">
        <v>1936.3300000000002</v>
      </c>
      <c r="E128" s="15">
        <v>3.8706166666666659</v>
      </c>
      <c r="F128" s="15">
        <v>1.7568800000000002</v>
      </c>
      <c r="G128" s="15">
        <v>519.85166666666669</v>
      </c>
      <c r="H128" s="15">
        <v>2.8389166666666656</v>
      </c>
      <c r="I128" s="15">
        <v>12.228333333333335</v>
      </c>
      <c r="J128" s="15">
        <v>81.235954545454547</v>
      </c>
    </row>
    <row r="129" spans="1:10">
      <c r="A129" s="13">
        <v>40299</v>
      </c>
      <c r="B129" s="14">
        <f t="shared" si="2"/>
        <v>2010</v>
      </c>
      <c r="C129" s="14">
        <f t="shared" si="3"/>
        <v>5</v>
      </c>
      <c r="D129" s="15">
        <v>1982.5145161290329</v>
      </c>
      <c r="E129" s="15">
        <v>3.8952677419354829</v>
      </c>
      <c r="F129" s="15">
        <v>1.8116322580645163</v>
      </c>
      <c r="G129" s="15">
        <v>533.21451612903229</v>
      </c>
      <c r="H129" s="15">
        <v>2.8446612903225801</v>
      </c>
      <c r="I129" s="15">
        <v>12.748441935483873</v>
      </c>
      <c r="J129" s="15">
        <v>85.419095238095252</v>
      </c>
    </row>
    <row r="130" spans="1:10">
      <c r="A130" s="13">
        <v>40330</v>
      </c>
      <c r="B130" s="14">
        <f t="shared" si="2"/>
        <v>2010</v>
      </c>
      <c r="C130" s="14">
        <f t="shared" si="3"/>
        <v>6</v>
      </c>
      <c r="D130" s="15">
        <v>1923.2633333333331</v>
      </c>
      <c r="E130" s="15">
        <v>3.9214966666666675</v>
      </c>
      <c r="F130" s="15">
        <v>1.8070833333333332</v>
      </c>
      <c r="G130" s="15">
        <v>537.5533333333334</v>
      </c>
      <c r="H130" s="15">
        <v>2.8373100000000004</v>
      </c>
      <c r="I130" s="15">
        <v>12.726613333333336</v>
      </c>
      <c r="J130" s="15">
        <v>86.575454545454576</v>
      </c>
    </row>
    <row r="131" spans="1:10">
      <c r="A131" s="13">
        <v>40360</v>
      </c>
      <c r="B131" s="14">
        <f t="shared" si="2"/>
        <v>2010</v>
      </c>
      <c r="C131" s="14">
        <f t="shared" si="3"/>
        <v>7</v>
      </c>
      <c r="D131" s="15">
        <v>1870.9661290322579</v>
      </c>
      <c r="E131" s="15">
        <v>3.9306193548387092</v>
      </c>
      <c r="F131" s="15">
        <v>1.7684967741935482</v>
      </c>
      <c r="G131" s="15">
        <v>530.03548387096771</v>
      </c>
      <c r="H131" s="15">
        <v>2.8229032258064515</v>
      </c>
      <c r="I131" s="15">
        <v>12.823112903225807</v>
      </c>
      <c r="J131" s="15">
        <v>83.140045454545458</v>
      </c>
    </row>
    <row r="132" spans="1:10">
      <c r="A132" s="13">
        <v>40391</v>
      </c>
      <c r="B132" s="14">
        <f t="shared" si="2"/>
        <v>2010</v>
      </c>
      <c r="C132" s="14">
        <f t="shared" si="3"/>
        <v>8</v>
      </c>
      <c r="D132" s="15">
        <v>1818.0806451612905</v>
      </c>
      <c r="E132" s="15">
        <v>3.9337419354838721</v>
      </c>
      <c r="F132" s="15">
        <v>1.7581516129032257</v>
      </c>
      <c r="G132" s="15">
        <v>507.89516129032251</v>
      </c>
      <c r="H132" s="15">
        <v>2.8007741935483872</v>
      </c>
      <c r="I132" s="15">
        <v>12.772974193548389</v>
      </c>
      <c r="J132" s="15">
        <v>82.148863636363615</v>
      </c>
    </row>
    <row r="133" spans="1:10">
      <c r="A133" s="13">
        <v>40422</v>
      </c>
      <c r="B133" s="14">
        <f t="shared" ref="B133:B196" si="4">+YEAR(A133)</f>
        <v>2010</v>
      </c>
      <c r="C133" s="14">
        <f t="shared" ref="C133:C196" si="5">+MONTH(A133)</f>
        <v>9</v>
      </c>
      <c r="D133" s="15">
        <v>1802.4966666666671</v>
      </c>
      <c r="E133" s="15">
        <v>3.9487833333333326</v>
      </c>
      <c r="F133" s="15">
        <v>1.7188666666666665</v>
      </c>
      <c r="G133" s="15">
        <v>493.41666666666669</v>
      </c>
      <c r="H133" s="15">
        <v>2.7904233333333339</v>
      </c>
      <c r="I133" s="15">
        <v>12.795196666666669</v>
      </c>
      <c r="J133" s="15">
        <v>81.081818181818178</v>
      </c>
    </row>
    <row r="134" spans="1:10">
      <c r="A134" s="13">
        <v>40452</v>
      </c>
      <c r="B134" s="14">
        <f t="shared" si="4"/>
        <v>2010</v>
      </c>
      <c r="C134" s="14">
        <f t="shared" si="5"/>
        <v>10</v>
      </c>
      <c r="D134" s="15">
        <v>1810.2096774193551</v>
      </c>
      <c r="E134" s="15">
        <v>3.9535483870967729</v>
      </c>
      <c r="F134" s="15">
        <v>1.6836064516129028</v>
      </c>
      <c r="G134" s="15">
        <v>483.99516129032259</v>
      </c>
      <c r="H134" s="15">
        <v>2.7912741935483876</v>
      </c>
      <c r="I134" s="15">
        <v>12.422609677419354</v>
      </c>
      <c r="J134" s="15">
        <v>77.459952380952387</v>
      </c>
    </row>
    <row r="135" spans="1:10">
      <c r="A135" s="13">
        <v>40483</v>
      </c>
      <c r="B135" s="14">
        <f t="shared" si="4"/>
        <v>2010</v>
      </c>
      <c r="C135" s="14">
        <f t="shared" si="5"/>
        <v>11</v>
      </c>
      <c r="D135" s="15">
        <v>1867.416666666667</v>
      </c>
      <c r="E135" s="15">
        <v>3.9643333333333337</v>
      </c>
      <c r="F135" s="15">
        <v>1.7113333333333327</v>
      </c>
      <c r="G135" s="15">
        <v>481.99833333333333</v>
      </c>
      <c r="H135" s="15">
        <v>2.8046666666666669</v>
      </c>
      <c r="I135" s="15">
        <v>12.329103333333331</v>
      </c>
      <c r="J135" s="15">
        <v>78.443136363636356</v>
      </c>
    </row>
    <row r="136" spans="1:10">
      <c r="A136" s="13">
        <v>40513</v>
      </c>
      <c r="B136" s="14">
        <f t="shared" si="4"/>
        <v>2010</v>
      </c>
      <c r="C136" s="14">
        <f t="shared" si="5"/>
        <v>12</v>
      </c>
      <c r="D136" s="15">
        <v>1914.0612903225801</v>
      </c>
      <c r="E136" s="15">
        <v>3.9714032258064518</v>
      </c>
      <c r="F136" s="15">
        <v>1.6938258064516125</v>
      </c>
      <c r="G136" s="15">
        <v>473.79838709677432</v>
      </c>
      <c r="H136" s="15">
        <v>2.8128483870967749</v>
      </c>
      <c r="I136" s="15">
        <v>12.387848387096774</v>
      </c>
      <c r="J136" s="15">
        <v>80.067999999999998</v>
      </c>
    </row>
    <row r="137" spans="1:10">
      <c r="A137" s="13">
        <v>40544</v>
      </c>
      <c r="B137" s="14">
        <f t="shared" si="4"/>
        <v>2011</v>
      </c>
      <c r="C137" s="14">
        <f t="shared" si="5"/>
        <v>1</v>
      </c>
      <c r="D137" s="15">
        <v>1867.0000000000002</v>
      </c>
      <c r="E137" s="15">
        <v>3.9777741935483877</v>
      </c>
      <c r="F137" s="15">
        <v>1.6750032258064513</v>
      </c>
      <c r="G137" s="15">
        <v>488.80000000000007</v>
      </c>
      <c r="H137" s="15">
        <v>2.7856129032258079</v>
      </c>
      <c r="I137" s="15">
        <v>12.134567741935481</v>
      </c>
      <c r="J137" s="15">
        <v>79.155380952380966</v>
      </c>
    </row>
    <row r="138" spans="1:10">
      <c r="A138" s="13">
        <v>40575</v>
      </c>
      <c r="B138" s="14">
        <f t="shared" si="4"/>
        <v>2011</v>
      </c>
      <c r="C138" s="14">
        <f t="shared" si="5"/>
        <v>2</v>
      </c>
      <c r="D138" s="15">
        <v>1884.5785714285714</v>
      </c>
      <c r="E138" s="15">
        <v>4.0174642857142846</v>
      </c>
      <c r="F138" s="15">
        <v>1.6663178571428574</v>
      </c>
      <c r="G138" s="15">
        <v>474.42321428571421</v>
      </c>
      <c r="H138" s="15">
        <v>2.7697142857142856</v>
      </c>
      <c r="I138" s="15">
        <v>12.056364285714283</v>
      </c>
      <c r="J138" s="15">
        <v>77.777600000000007</v>
      </c>
    </row>
    <row r="139" spans="1:10">
      <c r="A139" s="13">
        <v>40603</v>
      </c>
      <c r="B139" s="14">
        <f t="shared" si="4"/>
        <v>2011</v>
      </c>
      <c r="C139" s="14">
        <f t="shared" si="5"/>
        <v>3</v>
      </c>
      <c r="D139" s="15">
        <v>1879.8096774193546</v>
      </c>
      <c r="E139" s="15">
        <v>4.032983870967743</v>
      </c>
      <c r="F139" s="15">
        <v>1.6584741935483869</v>
      </c>
      <c r="G139" s="15">
        <v>479.04677419354846</v>
      </c>
      <c r="H139" s="15">
        <v>2.7774419354838717</v>
      </c>
      <c r="I139" s="15">
        <v>11.994006451612901</v>
      </c>
      <c r="J139" s="15">
        <v>76.28765217391306</v>
      </c>
    </row>
    <row r="140" spans="1:10">
      <c r="A140" s="13">
        <v>40634</v>
      </c>
      <c r="B140" s="14">
        <f t="shared" si="4"/>
        <v>2011</v>
      </c>
      <c r="C140" s="14">
        <f t="shared" si="5"/>
        <v>4</v>
      </c>
      <c r="D140" s="15">
        <v>1804.0766666666664</v>
      </c>
      <c r="E140" s="15">
        <v>4.0629166666666672</v>
      </c>
      <c r="F140" s="15">
        <v>1.5826899999999999</v>
      </c>
      <c r="G140" s="15">
        <v>469.64999999999981</v>
      </c>
      <c r="H140" s="15">
        <v>2.814516666666667</v>
      </c>
      <c r="I140" s="15">
        <v>11.689463333333332</v>
      </c>
      <c r="J140" s="15">
        <v>74.689761904761909</v>
      </c>
    </row>
    <row r="141" spans="1:10">
      <c r="A141" s="13">
        <v>40664</v>
      </c>
      <c r="B141" s="14">
        <f t="shared" si="4"/>
        <v>2011</v>
      </c>
      <c r="C141" s="14">
        <f t="shared" si="5"/>
        <v>5</v>
      </c>
      <c r="D141" s="15">
        <v>1801.6370967741934</v>
      </c>
      <c r="E141" s="15">
        <v>4.0796322580645175</v>
      </c>
      <c r="F141" s="15">
        <v>1.6124322580645163</v>
      </c>
      <c r="G141" s="15">
        <v>467.42258064516147</v>
      </c>
      <c r="H141" s="15">
        <v>2.7739451612903223</v>
      </c>
      <c r="I141" s="15">
        <v>11.646387096774196</v>
      </c>
      <c r="J141" s="15">
        <v>74.943090909090913</v>
      </c>
    </row>
    <row r="142" spans="1:10">
      <c r="A142" s="13">
        <v>40695</v>
      </c>
      <c r="B142" s="14">
        <f t="shared" si="4"/>
        <v>2011</v>
      </c>
      <c r="C142" s="14">
        <f t="shared" si="5"/>
        <v>6</v>
      </c>
      <c r="D142" s="15">
        <v>1781.37</v>
      </c>
      <c r="E142" s="15">
        <v>4.0916166666666651</v>
      </c>
      <c r="F142" s="15">
        <v>1.5880100000000001</v>
      </c>
      <c r="G142" s="15">
        <v>469.71833333333331</v>
      </c>
      <c r="H142" s="15">
        <v>2.7612999999999999</v>
      </c>
      <c r="I142" s="15">
        <v>11.819846666666667</v>
      </c>
      <c r="J142" s="15">
        <v>74.694636363636349</v>
      </c>
    </row>
    <row r="143" spans="1:10">
      <c r="A143" s="13">
        <v>40725</v>
      </c>
      <c r="B143" s="14">
        <f t="shared" si="4"/>
        <v>2011</v>
      </c>
      <c r="C143" s="14">
        <f t="shared" si="5"/>
        <v>7</v>
      </c>
      <c r="D143" s="15">
        <v>1760.7419354838707</v>
      </c>
      <c r="E143" s="15">
        <v>4.1188064516129037</v>
      </c>
      <c r="F143" s="15">
        <v>1.5610645161290315</v>
      </c>
      <c r="G143" s="15">
        <v>461.90806451612912</v>
      </c>
      <c r="H143" s="15">
        <v>2.7405999999999988</v>
      </c>
      <c r="I143" s="15">
        <v>11.66410322580645</v>
      </c>
      <c r="J143" s="15">
        <v>74.733999999999995</v>
      </c>
    </row>
    <row r="144" spans="1:10">
      <c r="A144" s="13">
        <v>40756</v>
      </c>
      <c r="B144" s="14">
        <f t="shared" si="4"/>
        <v>2011</v>
      </c>
      <c r="C144" s="14">
        <f t="shared" si="5"/>
        <v>8</v>
      </c>
      <c r="D144" s="15">
        <v>1784.7612903225806</v>
      </c>
      <c r="E144" s="15">
        <v>4.1644741935483882</v>
      </c>
      <c r="F144" s="15">
        <v>1.5958064516129029</v>
      </c>
      <c r="G144" s="15">
        <v>467.03387096774185</v>
      </c>
      <c r="H144" s="15">
        <v>2.7372935483870964</v>
      </c>
      <c r="I144" s="15">
        <v>12.248377419354838</v>
      </c>
      <c r="J144" s="15">
        <v>74.238565217391297</v>
      </c>
    </row>
    <row r="145" spans="1:10">
      <c r="A145" s="13">
        <v>40787</v>
      </c>
      <c r="B145" s="14">
        <f t="shared" si="4"/>
        <v>2011</v>
      </c>
      <c r="C145" s="14">
        <f t="shared" si="5"/>
        <v>9</v>
      </c>
      <c r="D145" s="15">
        <v>1837.9413333333332</v>
      </c>
      <c r="E145" s="15">
        <v>4.1993533333333319</v>
      </c>
      <c r="F145" s="15">
        <v>1.7415799999999997</v>
      </c>
      <c r="G145" s="15">
        <v>485.19499999999999</v>
      </c>
      <c r="H145" s="15">
        <v>2.7426666666666661</v>
      </c>
      <c r="I145" s="15">
        <v>13.036819999999995</v>
      </c>
      <c r="J145" s="15">
        <v>76.915454545454566</v>
      </c>
    </row>
    <row r="146" spans="1:10">
      <c r="A146" s="13">
        <v>40817</v>
      </c>
      <c r="B146" s="14">
        <f t="shared" si="4"/>
        <v>2011</v>
      </c>
      <c r="C146" s="14">
        <f t="shared" si="5"/>
        <v>10</v>
      </c>
      <c r="D146" s="15">
        <v>1904.2699999999998</v>
      </c>
      <c r="E146" s="15">
        <v>4.2191612903225808</v>
      </c>
      <c r="F146" s="15">
        <v>1.7678483870967741</v>
      </c>
      <c r="G146" s="15">
        <v>508.92903225806464</v>
      </c>
      <c r="H146" s="15">
        <v>2.7302032258064504</v>
      </c>
      <c r="I146" s="15">
        <v>13.445487096774192</v>
      </c>
      <c r="J146" s="15">
        <v>77.155904761904765</v>
      </c>
    </row>
    <row r="147" spans="1:10">
      <c r="A147" s="13">
        <v>40848</v>
      </c>
      <c r="B147" s="14">
        <f t="shared" si="4"/>
        <v>2011</v>
      </c>
      <c r="C147" s="14">
        <f t="shared" si="5"/>
        <v>11</v>
      </c>
      <c r="D147" s="15">
        <v>1922.5290000000002</v>
      </c>
      <c r="E147" s="15">
        <v>4.2574333333333341</v>
      </c>
      <c r="F147" s="15">
        <v>1.7908566666666672</v>
      </c>
      <c r="G147" s="15">
        <v>508.56666666666666</v>
      </c>
      <c r="H147" s="15">
        <v>2.7046666666666659</v>
      </c>
      <c r="I147" s="15">
        <v>13.713220000000002</v>
      </c>
      <c r="J147" s="15">
        <v>77.957499999999996</v>
      </c>
    </row>
    <row r="148" spans="1:10">
      <c r="A148" s="13">
        <v>40878</v>
      </c>
      <c r="B148" s="14">
        <f t="shared" si="4"/>
        <v>2011</v>
      </c>
      <c r="C148" s="14">
        <f t="shared" si="5"/>
        <v>12</v>
      </c>
      <c r="D148" s="15">
        <v>1931.9658064516127</v>
      </c>
      <c r="E148" s="15">
        <v>4.2843774193548381</v>
      </c>
      <c r="F148" s="15">
        <v>1.8367806451612902</v>
      </c>
      <c r="G148" s="15">
        <v>516.6241935483871</v>
      </c>
      <c r="H148" s="15">
        <v>2.6951935483870963</v>
      </c>
      <c r="I148" s="15">
        <v>13.772699999999997</v>
      </c>
      <c r="J148" s="15">
        <v>79.629500000000007</v>
      </c>
    </row>
    <row r="149" spans="1:10">
      <c r="A149" s="13">
        <v>40909</v>
      </c>
      <c r="B149" s="14">
        <f t="shared" si="4"/>
        <v>2012</v>
      </c>
      <c r="C149" s="14">
        <f t="shared" si="5"/>
        <v>1</v>
      </c>
      <c r="D149" s="15">
        <v>1845.8387096774197</v>
      </c>
      <c r="E149" s="15">
        <v>4.3161129032258065</v>
      </c>
      <c r="F149" s="15">
        <v>1.7894032258064518</v>
      </c>
      <c r="G149" s="15">
        <v>499.84032258064519</v>
      </c>
      <c r="H149" s="15">
        <v>2.6916290322580636</v>
      </c>
      <c r="I149" s="15">
        <v>13.401270967741933</v>
      </c>
      <c r="J149" s="15">
        <v>80.333045454545427</v>
      </c>
    </row>
    <row r="150" spans="1:10">
      <c r="A150" s="13">
        <v>40940</v>
      </c>
      <c r="B150" s="14">
        <f t="shared" si="4"/>
        <v>2012</v>
      </c>
      <c r="C150" s="14">
        <f t="shared" si="5"/>
        <v>2</v>
      </c>
      <c r="D150" s="15">
        <v>1780.4134482758623</v>
      </c>
      <c r="E150" s="15">
        <v>4.3432965517241389</v>
      </c>
      <c r="F150" s="15">
        <v>1.7164172413793108</v>
      </c>
      <c r="G150" s="15">
        <v>480.60689655172416</v>
      </c>
      <c r="H150" s="15">
        <v>2.6819827586206904</v>
      </c>
      <c r="I150" s="15">
        <v>12.781913793103445</v>
      </c>
      <c r="J150" s="15">
        <v>78.953000000000003</v>
      </c>
    </row>
    <row r="151" spans="1:10">
      <c r="A151" s="13">
        <v>40969</v>
      </c>
      <c r="B151" s="14">
        <f t="shared" si="4"/>
        <v>2012</v>
      </c>
      <c r="C151" s="14">
        <f t="shared" si="5"/>
        <v>3</v>
      </c>
      <c r="D151" s="15">
        <v>1766.5377419354838</v>
      </c>
      <c r="E151" s="15">
        <v>4.3514451612903233</v>
      </c>
      <c r="F151" s="15">
        <v>1.7912419354838707</v>
      </c>
      <c r="G151" s="15">
        <v>485.15580645161305</v>
      </c>
      <c r="H151" s="15">
        <v>2.6701935483870964</v>
      </c>
      <c r="I151" s="15">
        <v>12.726477419354834</v>
      </c>
      <c r="J151" s="15">
        <v>79.558909090909083</v>
      </c>
    </row>
    <row r="152" spans="1:10">
      <c r="A152" s="13">
        <v>41000</v>
      </c>
      <c r="B152" s="14">
        <f t="shared" si="4"/>
        <v>2012</v>
      </c>
      <c r="C152" s="14">
        <f t="shared" si="5"/>
        <v>4</v>
      </c>
      <c r="D152" s="15">
        <v>1772.7913333333333</v>
      </c>
      <c r="E152" s="15">
        <v>4.3933899999999992</v>
      </c>
      <c r="F152" s="15">
        <v>1.8527133333333332</v>
      </c>
      <c r="G152" s="15">
        <v>485.0200000000001</v>
      </c>
      <c r="H152" s="15">
        <v>2.6554000000000002</v>
      </c>
      <c r="I152" s="15">
        <v>13.043496666666668</v>
      </c>
      <c r="J152" s="15">
        <v>79.429523809523815</v>
      </c>
    </row>
    <row r="153" spans="1:10">
      <c r="A153" s="13">
        <v>41030</v>
      </c>
      <c r="B153" s="14">
        <f t="shared" si="4"/>
        <v>2012</v>
      </c>
      <c r="C153" s="14">
        <f t="shared" si="5"/>
        <v>5</v>
      </c>
      <c r="D153" s="15">
        <v>1794.4612903225805</v>
      </c>
      <c r="E153" s="15">
        <v>4.4461580645161289</v>
      </c>
      <c r="F153" s="15">
        <v>1.9811903225806451</v>
      </c>
      <c r="G153" s="15">
        <v>497.56935483870961</v>
      </c>
      <c r="H153" s="15">
        <v>2.6671290322580634</v>
      </c>
      <c r="I153" s="15">
        <v>13.650474193548387</v>
      </c>
      <c r="J153" s="15">
        <v>80.989086956521746</v>
      </c>
    </row>
    <row r="154" spans="1:10">
      <c r="A154" s="13">
        <v>41061</v>
      </c>
      <c r="B154" s="14">
        <f t="shared" si="4"/>
        <v>2012</v>
      </c>
      <c r="C154" s="14">
        <f t="shared" si="5"/>
        <v>6</v>
      </c>
      <c r="D154" s="15">
        <v>1789.7163333333333</v>
      </c>
      <c r="E154" s="15">
        <v>4.492676666666668</v>
      </c>
      <c r="F154" s="15">
        <v>2.0470466666666667</v>
      </c>
      <c r="G154" s="15">
        <v>504.58000000000004</v>
      </c>
      <c r="H154" s="15">
        <v>2.6695833333333332</v>
      </c>
      <c r="I154" s="15">
        <v>13.902323333333332</v>
      </c>
      <c r="J154" s="15">
        <v>82.244904761904778</v>
      </c>
    </row>
    <row r="155" spans="1:10">
      <c r="A155" s="13">
        <v>41091</v>
      </c>
      <c r="B155" s="14">
        <f t="shared" si="4"/>
        <v>2012</v>
      </c>
      <c r="C155" s="14">
        <f t="shared" si="5"/>
        <v>7</v>
      </c>
      <c r="D155" s="15">
        <v>1782.85</v>
      </c>
      <c r="E155" s="15">
        <v>4.5493580645161291</v>
      </c>
      <c r="F155" s="15">
        <v>2.0270516129032257</v>
      </c>
      <c r="G155" s="15">
        <v>490.84225806451599</v>
      </c>
      <c r="H155" s="15">
        <v>2.6331774193548378</v>
      </c>
      <c r="I155" s="15">
        <v>13.342029032258065</v>
      </c>
      <c r="J155" s="15">
        <v>83.022772727272724</v>
      </c>
    </row>
    <row r="156" spans="1:10">
      <c r="A156" s="13">
        <v>41122</v>
      </c>
      <c r="B156" s="14">
        <f t="shared" si="4"/>
        <v>2012</v>
      </c>
      <c r="C156" s="14">
        <f t="shared" si="5"/>
        <v>8</v>
      </c>
      <c r="D156" s="15">
        <v>1805.5425806451615</v>
      </c>
      <c r="E156" s="15">
        <v>4.6073258064516116</v>
      </c>
      <c r="F156" s="15">
        <v>2.0253870967741934</v>
      </c>
      <c r="G156" s="15">
        <v>480.59000000000009</v>
      </c>
      <c r="H156" s="15">
        <v>2.61508064516129</v>
      </c>
      <c r="I156" s="15">
        <v>13.16597419354839</v>
      </c>
      <c r="J156" s="15">
        <v>82.158608695652177</v>
      </c>
    </row>
    <row r="157" spans="1:10">
      <c r="A157" s="13">
        <v>41153</v>
      </c>
      <c r="B157" s="14">
        <f t="shared" si="4"/>
        <v>2012</v>
      </c>
      <c r="C157" s="14">
        <f t="shared" si="5"/>
        <v>9</v>
      </c>
      <c r="D157" s="15">
        <v>1801.3336666666669</v>
      </c>
      <c r="E157" s="15">
        <v>4.6691200000000004</v>
      </c>
      <c r="F157" s="15">
        <v>2.0252433333333326</v>
      </c>
      <c r="G157" s="15">
        <v>473.72100000000017</v>
      </c>
      <c r="H157" s="15">
        <v>2.6019600000000005</v>
      </c>
      <c r="I157" s="15">
        <v>12.921879999999996</v>
      </c>
      <c r="J157" s="15">
        <v>79.874650000000003</v>
      </c>
    </row>
    <row r="158" spans="1:10">
      <c r="A158" s="13">
        <v>41183</v>
      </c>
      <c r="B158" s="14">
        <f t="shared" si="4"/>
        <v>2012</v>
      </c>
      <c r="C158" s="14">
        <f t="shared" si="5"/>
        <v>10</v>
      </c>
      <c r="D158" s="15">
        <v>1805.7816129032256</v>
      </c>
      <c r="E158" s="15">
        <v>4.7275806451612894</v>
      </c>
      <c r="F158" s="15">
        <v>2.0302290322580645</v>
      </c>
      <c r="G158" s="15">
        <v>475.12838709677419</v>
      </c>
      <c r="H158" s="15">
        <v>2.5885258064516137</v>
      </c>
      <c r="I158" s="15">
        <v>12.893690322580648</v>
      </c>
      <c r="J158" s="15">
        <v>79.737391304347824</v>
      </c>
    </row>
    <row r="159" spans="1:10">
      <c r="A159" s="13">
        <v>41214</v>
      </c>
      <c r="B159" s="14">
        <f t="shared" si="4"/>
        <v>2012</v>
      </c>
      <c r="C159" s="14">
        <f t="shared" si="5"/>
        <v>11</v>
      </c>
      <c r="D159" s="15">
        <v>1819.2199999999998</v>
      </c>
      <c r="E159" s="15">
        <v>4.7941499999999992</v>
      </c>
      <c r="F159" s="15">
        <v>2.0660633333333336</v>
      </c>
      <c r="G159" s="15">
        <v>480.04633333333339</v>
      </c>
      <c r="H159" s="15">
        <v>2.5958000000000001</v>
      </c>
      <c r="I159" s="15">
        <v>13.070510000000006</v>
      </c>
      <c r="J159" s="15">
        <v>80.6965</v>
      </c>
    </row>
    <row r="160" spans="1:10">
      <c r="A160" s="13">
        <v>41244</v>
      </c>
      <c r="B160" s="14">
        <f t="shared" si="4"/>
        <v>2012</v>
      </c>
      <c r="C160" s="14">
        <f t="shared" si="5"/>
        <v>12</v>
      </c>
      <c r="D160" s="15">
        <v>1789.6387096774192</v>
      </c>
      <c r="E160" s="15">
        <v>4.8798225806451603</v>
      </c>
      <c r="F160" s="15">
        <v>2.0790741935483861</v>
      </c>
      <c r="G160" s="15">
        <v>476.62451612903226</v>
      </c>
      <c r="H160" s="15">
        <v>2.5642064516129026</v>
      </c>
      <c r="I160" s="15">
        <v>12.870141935483874</v>
      </c>
      <c r="J160" s="15">
        <v>79.748857142857162</v>
      </c>
    </row>
    <row r="161" spans="1:10">
      <c r="A161" s="13">
        <v>41275</v>
      </c>
      <c r="B161" s="14">
        <f t="shared" si="4"/>
        <v>2013</v>
      </c>
      <c r="C161" s="14">
        <f t="shared" si="5"/>
        <v>1</v>
      </c>
      <c r="D161" s="15">
        <v>1770.2403225806459</v>
      </c>
      <c r="E161" s="15">
        <v>4.945709677419357</v>
      </c>
      <c r="F161" s="15">
        <v>2.0302258064516128</v>
      </c>
      <c r="G161" s="15">
        <v>471.93903225806446</v>
      </c>
      <c r="H161" s="15">
        <v>2.5502258064516123</v>
      </c>
      <c r="I161" s="15">
        <v>12.69285806451613</v>
      </c>
      <c r="J161" s="15">
        <v>79.871173913043492</v>
      </c>
    </row>
    <row r="162" spans="1:10">
      <c r="A162" s="13">
        <v>41306</v>
      </c>
      <c r="B162" s="14">
        <f t="shared" si="4"/>
        <v>2013</v>
      </c>
      <c r="C162" s="14">
        <f t="shared" si="5"/>
        <v>2</v>
      </c>
      <c r="D162" s="15">
        <v>1790.8349999999998</v>
      </c>
      <c r="E162" s="15">
        <v>5.0081214285714291</v>
      </c>
      <c r="F162" s="15">
        <v>1.973667857142857</v>
      </c>
      <c r="G162" s="15">
        <v>471.82607142857148</v>
      </c>
      <c r="H162" s="15">
        <v>2.5770857142857149</v>
      </c>
      <c r="I162" s="15">
        <v>12.699874999999997</v>
      </c>
      <c r="J162" s="15">
        <v>80.602400000000017</v>
      </c>
    </row>
    <row r="163" spans="1:10">
      <c r="A163" s="13">
        <v>41334</v>
      </c>
      <c r="B163" s="14">
        <f t="shared" si="4"/>
        <v>2013</v>
      </c>
      <c r="C163" s="14">
        <f t="shared" si="5"/>
        <v>3</v>
      </c>
      <c r="D163" s="15">
        <v>1812.6048387096773</v>
      </c>
      <c r="E163" s="15">
        <v>5.0860741935483871</v>
      </c>
      <c r="F163" s="15">
        <v>1.9856967741935481</v>
      </c>
      <c r="G163" s="15">
        <v>471.90967741935486</v>
      </c>
      <c r="H163" s="15">
        <v>2.5932419354838703</v>
      </c>
      <c r="I163" s="15">
        <v>12.490390322580645</v>
      </c>
      <c r="J163" s="15">
        <v>82.641190476190488</v>
      </c>
    </row>
    <row r="164" spans="1:10">
      <c r="A164" s="13">
        <v>41365</v>
      </c>
      <c r="B164" s="14">
        <f t="shared" si="4"/>
        <v>2013</v>
      </c>
      <c r="C164" s="14">
        <f t="shared" si="5"/>
        <v>4</v>
      </c>
      <c r="D164" s="15">
        <v>1828.2493333333334</v>
      </c>
      <c r="E164" s="15">
        <v>5.1514000000000006</v>
      </c>
      <c r="F164" s="15">
        <v>1.9984466666666663</v>
      </c>
      <c r="G164" s="15">
        <v>471.58466666666658</v>
      </c>
      <c r="H164" s="15">
        <v>2.5976700000000008</v>
      </c>
      <c r="I164" s="15">
        <v>12.192090000000004</v>
      </c>
      <c r="J164" s="15">
        <v>82.523454545454541</v>
      </c>
    </row>
    <row r="165" spans="1:10">
      <c r="A165" s="13">
        <v>41395</v>
      </c>
      <c r="B165" s="14">
        <f t="shared" si="4"/>
        <v>2013</v>
      </c>
      <c r="C165" s="14">
        <f t="shared" si="5"/>
        <v>5</v>
      </c>
      <c r="D165" s="15">
        <v>1850.7451612903224</v>
      </c>
      <c r="E165" s="15">
        <v>5.2351999999999999</v>
      </c>
      <c r="F165" s="15">
        <v>2.0363064516129032</v>
      </c>
      <c r="G165" s="15">
        <v>480.03548387096765</v>
      </c>
      <c r="H165" s="15">
        <v>2.6432903225806448</v>
      </c>
      <c r="I165" s="15">
        <v>12.293787096774192</v>
      </c>
      <c r="J165" s="15">
        <v>83.21582608695654</v>
      </c>
    </row>
    <row r="166" spans="1:10">
      <c r="A166" s="13">
        <v>41426</v>
      </c>
      <c r="B166" s="14">
        <f t="shared" si="4"/>
        <v>2013</v>
      </c>
      <c r="C166" s="14">
        <f t="shared" si="5"/>
        <v>6</v>
      </c>
      <c r="D166" s="15">
        <v>1907.509333333333</v>
      </c>
      <c r="E166" s="15">
        <v>5.3298566666666654</v>
      </c>
      <c r="F166" s="15">
        <v>2.1755766666666672</v>
      </c>
      <c r="G166" s="15">
        <v>502.66166666666658</v>
      </c>
      <c r="H166" s="15">
        <v>2.751816666666667</v>
      </c>
      <c r="I166" s="15">
        <v>12.935636666666662</v>
      </c>
      <c r="J166" s="15">
        <v>81.873699999999999</v>
      </c>
    </row>
    <row r="167" spans="1:10">
      <c r="A167" s="13">
        <v>41456</v>
      </c>
      <c r="B167" s="14">
        <f t="shared" si="4"/>
        <v>2013</v>
      </c>
      <c r="C167" s="14">
        <f t="shared" si="5"/>
        <v>7</v>
      </c>
      <c r="D167" s="15">
        <v>1899.5500000000004</v>
      </c>
      <c r="E167" s="15">
        <v>5.438445161290324</v>
      </c>
      <c r="F167" s="15">
        <v>2.2511645161290326</v>
      </c>
      <c r="G167" s="15">
        <v>505.45516129032262</v>
      </c>
      <c r="H167" s="15">
        <v>2.7772709677419356</v>
      </c>
      <c r="I167" s="15">
        <v>12.750838709677419</v>
      </c>
      <c r="J167" s="15">
        <v>82.816173913043471</v>
      </c>
    </row>
    <row r="168" spans="1:10">
      <c r="A168" s="13">
        <v>41487</v>
      </c>
      <c r="B168" s="14">
        <f t="shared" si="4"/>
        <v>2013</v>
      </c>
      <c r="C168" s="14">
        <f t="shared" si="5"/>
        <v>8</v>
      </c>
      <c r="D168" s="15">
        <v>1904.2209677419351</v>
      </c>
      <c r="E168" s="15">
        <v>5.5797064516129025</v>
      </c>
      <c r="F168" s="15">
        <v>2.3413129032258069</v>
      </c>
      <c r="G168" s="15">
        <v>511.77451612903229</v>
      </c>
      <c r="H168" s="15">
        <v>2.7993548387096783</v>
      </c>
      <c r="I168" s="15">
        <v>12.90051935483871</v>
      </c>
      <c r="J168" s="15">
        <v>81.481590909090926</v>
      </c>
    </row>
    <row r="169" spans="1:10">
      <c r="A169" s="13">
        <v>41518</v>
      </c>
      <c r="B169" s="14">
        <f t="shared" si="4"/>
        <v>2013</v>
      </c>
      <c r="C169" s="14">
        <f t="shared" si="5"/>
        <v>9</v>
      </c>
      <c r="D169" s="15">
        <v>1918.8383333333334</v>
      </c>
      <c r="E169" s="15">
        <v>5.7351599999999978</v>
      </c>
      <c r="F169" s="15">
        <v>2.2691366666666664</v>
      </c>
      <c r="G169" s="15">
        <v>503.54666666666645</v>
      </c>
      <c r="H169" s="15">
        <v>2.7778700000000009</v>
      </c>
      <c r="I169" s="15">
        <v>13.055829999999997</v>
      </c>
      <c r="J169" s="15">
        <v>81.206095238095259</v>
      </c>
    </row>
    <row r="170" spans="1:10">
      <c r="A170" s="13">
        <v>41548</v>
      </c>
      <c r="B170" s="14">
        <f t="shared" si="4"/>
        <v>2013</v>
      </c>
      <c r="C170" s="14">
        <f t="shared" si="5"/>
        <v>10</v>
      </c>
      <c r="D170" s="15">
        <v>1883.9719354838714</v>
      </c>
      <c r="E170" s="15">
        <v>5.8449000000000018</v>
      </c>
      <c r="F170" s="15">
        <v>2.1885354838709676</v>
      </c>
      <c r="G170" s="15">
        <v>500.85612903225808</v>
      </c>
      <c r="H170" s="15">
        <v>2.7671548387096778</v>
      </c>
      <c r="I170" s="15">
        <v>12.984206451612902</v>
      </c>
      <c r="J170" s="15">
        <v>79.871217391304342</v>
      </c>
    </row>
    <row r="171" spans="1:10">
      <c r="A171" s="13">
        <v>41579</v>
      </c>
      <c r="B171" s="14">
        <f t="shared" si="4"/>
        <v>2013</v>
      </c>
      <c r="C171" s="14">
        <f t="shared" si="5"/>
        <v>11</v>
      </c>
      <c r="D171" s="15">
        <v>1921.915</v>
      </c>
      <c r="E171" s="15">
        <v>6.0134000000000007</v>
      </c>
      <c r="F171" s="15">
        <v>2.2977199999999995</v>
      </c>
      <c r="G171" s="15">
        <v>519.73399999999992</v>
      </c>
      <c r="H171" s="15">
        <v>2.7952666666666661</v>
      </c>
      <c r="I171" s="15">
        <v>13.055086666666671</v>
      </c>
      <c r="J171" s="15">
        <v>80.846190476190515</v>
      </c>
    </row>
    <row r="172" spans="1:10">
      <c r="A172" s="13">
        <v>41609</v>
      </c>
      <c r="B172" s="14">
        <f t="shared" si="4"/>
        <v>2013</v>
      </c>
      <c r="C172" s="14">
        <f t="shared" si="5"/>
        <v>12</v>
      </c>
      <c r="D172" s="15">
        <v>1932.1461290322582</v>
      </c>
      <c r="E172" s="15">
        <v>6.3389354838709675</v>
      </c>
      <c r="F172" s="15">
        <v>2.3462161290322583</v>
      </c>
      <c r="G172" s="15">
        <v>528.39645161290321</v>
      </c>
      <c r="H172" s="15">
        <v>2.7843419354838712</v>
      </c>
      <c r="I172" s="15">
        <v>12.985838709677417</v>
      </c>
      <c r="J172" s="15">
        <v>80.324090909090913</v>
      </c>
    </row>
    <row r="173" spans="1:10">
      <c r="A173" s="13">
        <v>41640</v>
      </c>
      <c r="B173" s="14">
        <f t="shared" si="4"/>
        <v>2014</v>
      </c>
      <c r="C173" s="14">
        <f t="shared" si="5"/>
        <v>1</v>
      </c>
      <c r="D173" s="15">
        <v>1960.7629032258062</v>
      </c>
      <c r="E173" s="15">
        <v>7.0616677419354836</v>
      </c>
      <c r="F173" s="15">
        <v>2.3778451612903231</v>
      </c>
      <c r="G173" s="15">
        <v>537.5787096774194</v>
      </c>
      <c r="H173" s="15">
        <v>2.8074483870967741</v>
      </c>
      <c r="I173" s="15">
        <v>13.201919354838715</v>
      </c>
      <c r="J173" s="15">
        <v>80.797478260869553</v>
      </c>
    </row>
    <row r="174" spans="1:10">
      <c r="A174" s="13">
        <v>41671</v>
      </c>
      <c r="B174" s="14">
        <f t="shared" si="4"/>
        <v>2014</v>
      </c>
      <c r="C174" s="14">
        <f t="shared" si="5"/>
        <v>2</v>
      </c>
      <c r="D174" s="15">
        <v>2036.875</v>
      </c>
      <c r="E174" s="15">
        <v>7.8578214285714285</v>
      </c>
      <c r="F174" s="15">
        <v>2.3805035714285725</v>
      </c>
      <c r="G174" s="15">
        <v>553.88892857142844</v>
      </c>
      <c r="H174" s="15">
        <v>2.8123928571428576</v>
      </c>
      <c r="I174" s="15">
        <v>13.28421428571429</v>
      </c>
      <c r="J174" s="15">
        <v>80.437300000000022</v>
      </c>
    </row>
    <row r="175" spans="1:10">
      <c r="A175" s="13">
        <v>41699</v>
      </c>
      <c r="B175" s="14">
        <f t="shared" si="4"/>
        <v>2014</v>
      </c>
      <c r="C175" s="14">
        <f t="shared" si="5"/>
        <v>3</v>
      </c>
      <c r="D175" s="15">
        <v>2015.9651612903226</v>
      </c>
      <c r="E175" s="15">
        <v>7.9247741935483855</v>
      </c>
      <c r="F175" s="15">
        <v>2.3246903225806466</v>
      </c>
      <c r="G175" s="15">
        <v>562.87677419354839</v>
      </c>
      <c r="H175" s="15">
        <v>2.8047290322580651</v>
      </c>
      <c r="I175" s="15">
        <v>13.189848387096779</v>
      </c>
      <c r="J175" s="15">
        <v>79.871523809523808</v>
      </c>
    </row>
    <row r="176" spans="1:10">
      <c r="A176" s="13">
        <v>41730</v>
      </c>
      <c r="B176" s="14">
        <f t="shared" si="4"/>
        <v>2014</v>
      </c>
      <c r="C176" s="14">
        <f t="shared" si="5"/>
        <v>4</v>
      </c>
      <c r="D176" s="15">
        <v>1936.4439999999997</v>
      </c>
      <c r="E176" s="15">
        <v>7.9998966666666629</v>
      </c>
      <c r="F176" s="15">
        <v>2.2313533333333333</v>
      </c>
      <c r="G176" s="15">
        <v>555.22899999999981</v>
      </c>
      <c r="H176" s="15">
        <v>2.7897266666666667</v>
      </c>
      <c r="I176" s="15">
        <v>13.054366666666668</v>
      </c>
      <c r="J176" s="15">
        <v>79.850863636363627</v>
      </c>
    </row>
    <row r="177" spans="1:10">
      <c r="A177" s="13">
        <v>41760</v>
      </c>
      <c r="B177" s="14">
        <f t="shared" si="4"/>
        <v>2014</v>
      </c>
      <c r="C177" s="14">
        <f t="shared" si="5"/>
        <v>5</v>
      </c>
      <c r="D177" s="15">
        <v>1914.2354838709673</v>
      </c>
      <c r="E177" s="15">
        <v>8.0362903225806477</v>
      </c>
      <c r="F177" s="15">
        <v>2.220306451612903</v>
      </c>
      <c r="G177" s="15">
        <v>554.75516129032246</v>
      </c>
      <c r="H177" s="15">
        <v>2.7871064516129032</v>
      </c>
      <c r="I177" s="15">
        <v>12.922187096774188</v>
      </c>
      <c r="J177" s="15">
        <v>79.96390909090907</v>
      </c>
    </row>
    <row r="178" spans="1:10">
      <c r="A178" s="13">
        <v>41791</v>
      </c>
      <c r="B178" s="14">
        <f t="shared" si="4"/>
        <v>2014</v>
      </c>
      <c r="C178" s="14">
        <f t="shared" si="5"/>
        <v>6</v>
      </c>
      <c r="D178" s="15">
        <v>1885.5106666666666</v>
      </c>
      <c r="E178" s="15">
        <v>8.1247833333333368</v>
      </c>
      <c r="F178" s="15">
        <v>2.2308566666666665</v>
      </c>
      <c r="G178" s="15">
        <v>552.6726666666666</v>
      </c>
      <c r="H178" s="15">
        <v>2.7924666666666669</v>
      </c>
      <c r="I178" s="15">
        <v>12.979556666666664</v>
      </c>
      <c r="J178" s="15">
        <v>80.440238095238101</v>
      </c>
    </row>
    <row r="179" spans="1:10">
      <c r="A179" s="13">
        <v>41821</v>
      </c>
      <c r="B179" s="14">
        <f t="shared" si="4"/>
        <v>2014</v>
      </c>
      <c r="C179" s="14">
        <f t="shared" si="5"/>
        <v>7</v>
      </c>
      <c r="D179" s="15">
        <v>1856.6477419354842</v>
      </c>
      <c r="E179" s="15">
        <v>8.1535774193548392</v>
      </c>
      <c r="F179" s="15">
        <v>2.2227516129032256</v>
      </c>
      <c r="G179" s="15">
        <v>558.66032258064513</v>
      </c>
      <c r="H179" s="15">
        <v>2.7839838709677416</v>
      </c>
      <c r="I179" s="15">
        <v>12.982935483870969</v>
      </c>
      <c r="J179" s="15">
        <v>80.535391304347826</v>
      </c>
    </row>
    <row r="180" spans="1:10">
      <c r="A180" s="13">
        <v>41852</v>
      </c>
      <c r="B180" s="14">
        <f t="shared" si="4"/>
        <v>2014</v>
      </c>
      <c r="C180" s="14">
        <f t="shared" si="5"/>
        <v>8</v>
      </c>
      <c r="D180" s="15">
        <v>1899.8929032258065</v>
      </c>
      <c r="E180" s="15">
        <v>8.3114709677419363</v>
      </c>
      <c r="F180" s="15">
        <v>2.2645806451612907</v>
      </c>
      <c r="G180" s="15">
        <v>579.34129032258068</v>
      </c>
      <c r="H180" s="15">
        <v>2.814693548387095</v>
      </c>
      <c r="I180" s="15">
        <v>13.142758064516133</v>
      </c>
      <c r="J180" s="15">
        <v>81.856238095238112</v>
      </c>
    </row>
    <row r="181" spans="1:10">
      <c r="A181" s="13">
        <v>41883</v>
      </c>
      <c r="B181" s="14">
        <f t="shared" si="4"/>
        <v>2014</v>
      </c>
      <c r="C181" s="14">
        <f t="shared" si="5"/>
        <v>9</v>
      </c>
      <c r="D181" s="15">
        <v>1977.1850000000006</v>
      </c>
      <c r="E181" s="15">
        <v>8.4151666666666678</v>
      </c>
      <c r="F181" s="15">
        <v>2.3371599999999999</v>
      </c>
      <c r="G181" s="15">
        <v>593.89766666666662</v>
      </c>
      <c r="H181" s="15">
        <v>2.8631000000000002</v>
      </c>
      <c r="I181" s="15">
        <v>13.234743333333338</v>
      </c>
      <c r="J181" s="15">
        <v>84.365681818181798</v>
      </c>
    </row>
    <row r="182" spans="1:10">
      <c r="A182" s="13">
        <v>41913</v>
      </c>
      <c r="B182" s="14">
        <f t="shared" si="4"/>
        <v>2014</v>
      </c>
      <c r="C182" s="14">
        <f t="shared" si="5"/>
        <v>10</v>
      </c>
      <c r="D182" s="15">
        <v>2049.3080645161294</v>
      </c>
      <c r="E182" s="15">
        <v>8.4739516129032246</v>
      </c>
      <c r="F182" s="15">
        <v>2.4493322580645165</v>
      </c>
      <c r="G182" s="15">
        <v>588.32193548387102</v>
      </c>
      <c r="H182" s="15">
        <v>2.9054032258064506</v>
      </c>
      <c r="I182" s="15">
        <v>13.486938709677418</v>
      </c>
      <c r="J182" s="15">
        <v>85.680652173913046</v>
      </c>
    </row>
    <row r="183" spans="1:10">
      <c r="A183" s="13">
        <v>41944</v>
      </c>
      <c r="B183" s="14">
        <f t="shared" si="4"/>
        <v>2014</v>
      </c>
      <c r="C183" s="14">
        <f t="shared" si="5"/>
        <v>11</v>
      </c>
      <c r="D183" s="15">
        <v>2134.6823333333332</v>
      </c>
      <c r="E183" s="15">
        <v>8.5117766666666661</v>
      </c>
      <c r="F183" s="15">
        <v>2.5479666666666665</v>
      </c>
      <c r="G183" s="15">
        <v>593.16833333333341</v>
      </c>
      <c r="H183" s="15">
        <v>2.9231833333333337</v>
      </c>
      <c r="I183" s="15">
        <v>13.624913333333332</v>
      </c>
      <c r="J183" s="15">
        <v>87.722149999999985</v>
      </c>
    </row>
    <row r="184" spans="1:10">
      <c r="A184" s="13">
        <v>41974</v>
      </c>
      <c r="B184" s="14">
        <f t="shared" si="4"/>
        <v>2014</v>
      </c>
      <c r="C184" s="14">
        <f t="shared" si="5"/>
        <v>12</v>
      </c>
      <c r="D184" s="15">
        <v>2349.2861290322585</v>
      </c>
      <c r="E184" s="15">
        <v>8.5471000000000004</v>
      </c>
      <c r="F184" s="15">
        <v>2.6454548387096777</v>
      </c>
      <c r="G184" s="15">
        <v>611.9893548387098</v>
      </c>
      <c r="H184" s="15">
        <v>2.9629677419354836</v>
      </c>
      <c r="I184" s="15">
        <v>14.563025806451613</v>
      </c>
      <c r="J184" s="15">
        <v>89.191913043478266</v>
      </c>
    </row>
    <row r="185" spans="1:10">
      <c r="A185" s="13">
        <v>42005</v>
      </c>
      <c r="B185" s="14">
        <f t="shared" si="4"/>
        <v>2015</v>
      </c>
      <c r="C185" s="14">
        <f t="shared" si="5"/>
        <v>1</v>
      </c>
      <c r="D185" s="15">
        <v>2397.0012903225806</v>
      </c>
      <c r="E185" s="15">
        <v>8.5948290322580636</v>
      </c>
      <c r="F185" s="15">
        <v>2.6348516129032249</v>
      </c>
      <c r="G185" s="15">
        <v>621.27290322580666</v>
      </c>
      <c r="H185" s="15">
        <v>3.00287741935484</v>
      </c>
      <c r="I185" s="15">
        <v>14.697270967741936</v>
      </c>
      <c r="J185" s="15">
        <v>92.815045454545441</v>
      </c>
    </row>
    <row r="186" spans="1:10">
      <c r="A186" s="13">
        <v>42036</v>
      </c>
      <c r="B186" s="14">
        <f t="shared" si="4"/>
        <v>2015</v>
      </c>
      <c r="C186" s="14">
        <f t="shared" si="5"/>
        <v>2</v>
      </c>
      <c r="D186" s="15">
        <v>2422.6221428571434</v>
      </c>
      <c r="E186" s="15">
        <v>8.6808392857142866</v>
      </c>
      <c r="F186" s="15">
        <v>2.8163999999999993</v>
      </c>
      <c r="G186" s="15">
        <v>621.96107142857147</v>
      </c>
      <c r="H186" s="15">
        <v>3.077660714285714</v>
      </c>
      <c r="I186" s="15">
        <v>14.917371428571427</v>
      </c>
      <c r="J186" s="15">
        <v>94.454599999999985</v>
      </c>
    </row>
    <row r="187" spans="1:10">
      <c r="A187" s="13">
        <v>42064</v>
      </c>
      <c r="B187" s="14">
        <f t="shared" si="4"/>
        <v>2015</v>
      </c>
      <c r="C187" s="14">
        <f t="shared" si="5"/>
        <v>3</v>
      </c>
      <c r="D187" s="15">
        <v>2588.8416129032257</v>
      </c>
      <c r="E187" s="15">
        <v>8.7770774193548373</v>
      </c>
      <c r="F187" s="15">
        <v>3.1476000000000002</v>
      </c>
      <c r="G187" s="15">
        <v>628.09129032258079</v>
      </c>
      <c r="H187" s="15">
        <v>3.0841129032258068</v>
      </c>
      <c r="I187" s="15">
        <v>15.244564516129035</v>
      </c>
      <c r="J187" s="15">
        <v>97.897318181818179</v>
      </c>
    </row>
    <row r="188" spans="1:10">
      <c r="A188" s="13">
        <v>42095</v>
      </c>
      <c r="B188" s="14">
        <f t="shared" si="4"/>
        <v>2015</v>
      </c>
      <c r="C188" s="14">
        <f t="shared" si="5"/>
        <v>4</v>
      </c>
      <c r="D188" s="15">
        <v>2494.0769999999998</v>
      </c>
      <c r="E188" s="15">
        <v>8.8650433333333343</v>
      </c>
      <c r="F188" s="15">
        <v>3.0435433333333326</v>
      </c>
      <c r="G188" s="15">
        <v>613.43266666666671</v>
      </c>
      <c r="H188" s="15">
        <v>3.1071433333333331</v>
      </c>
      <c r="I188" s="15">
        <v>15.201956666666664</v>
      </c>
      <c r="J188" s="15">
        <v>97.519363636363636</v>
      </c>
    </row>
    <row r="189" spans="1:10">
      <c r="A189" s="13">
        <v>42125</v>
      </c>
      <c r="B189" s="14">
        <f t="shared" si="4"/>
        <v>2015</v>
      </c>
      <c r="C189" s="14">
        <f t="shared" si="5"/>
        <v>5</v>
      </c>
      <c r="D189" s="15">
        <v>2438.9645161290323</v>
      </c>
      <c r="E189" s="15">
        <v>8.9530193548387107</v>
      </c>
      <c r="F189" s="15">
        <v>3.0548258064516123</v>
      </c>
      <c r="G189" s="15">
        <v>607.54419354838694</v>
      </c>
      <c r="H189" s="15">
        <v>3.1359483870967741</v>
      </c>
      <c r="I189" s="15">
        <v>15.268696774193552</v>
      </c>
      <c r="J189" s="15">
        <v>95.237142857142842</v>
      </c>
    </row>
    <row r="190" spans="1:10">
      <c r="A190" s="13">
        <v>42156</v>
      </c>
      <c r="B190" s="14">
        <f t="shared" si="4"/>
        <v>2015</v>
      </c>
      <c r="C190" s="14">
        <f t="shared" si="5"/>
        <v>6</v>
      </c>
      <c r="D190" s="15">
        <v>2563.8393333333343</v>
      </c>
      <c r="E190" s="15">
        <v>9.0529666666666664</v>
      </c>
      <c r="F190" s="15">
        <v>3.1125266666666671</v>
      </c>
      <c r="G190" s="15">
        <v>631.90033333333315</v>
      </c>
      <c r="H190" s="15">
        <v>3.1526666666666681</v>
      </c>
      <c r="I190" s="15">
        <v>15.482760000000001</v>
      </c>
      <c r="J190" s="15">
        <v>95.168590909090895</v>
      </c>
    </row>
    <row r="191" spans="1:10">
      <c r="A191" s="13">
        <v>42186</v>
      </c>
      <c r="B191" s="14">
        <f t="shared" si="4"/>
        <v>2015</v>
      </c>
      <c r="C191" s="14">
        <f t="shared" si="5"/>
        <v>7</v>
      </c>
      <c r="D191" s="15">
        <v>2742.6296774193547</v>
      </c>
      <c r="E191" s="15">
        <v>9.1406548387096755</v>
      </c>
      <c r="F191" s="15">
        <v>3.2196709677419353</v>
      </c>
      <c r="G191" s="15">
        <v>650.08870967741939</v>
      </c>
      <c r="H191" s="15">
        <v>3.1714548387096766</v>
      </c>
      <c r="I191" s="15">
        <v>15.93417419354839</v>
      </c>
      <c r="J191" s="15">
        <v>96.925260869565193</v>
      </c>
    </row>
    <row r="192" spans="1:10">
      <c r="A192" s="13">
        <v>42217</v>
      </c>
      <c r="B192" s="14">
        <f t="shared" si="4"/>
        <v>2015</v>
      </c>
      <c r="C192" s="14">
        <f t="shared" si="5"/>
        <v>8</v>
      </c>
      <c r="D192" s="15">
        <v>3018.1258064516119</v>
      </c>
      <c r="E192" s="15">
        <v>9.2448129032258048</v>
      </c>
      <c r="F192" s="15">
        <v>3.5073387096774202</v>
      </c>
      <c r="G192" s="15">
        <v>687.53677419354835</v>
      </c>
      <c r="H192" s="15">
        <v>3.2263774193548405</v>
      </c>
      <c r="I192" s="15">
        <v>16.53406774193548</v>
      </c>
      <c r="J192" s="15">
        <v>96.388095238095232</v>
      </c>
    </row>
    <row r="193" spans="1:10">
      <c r="A193" s="13">
        <v>42248</v>
      </c>
      <c r="B193" s="14">
        <f t="shared" si="4"/>
        <v>2015</v>
      </c>
      <c r="C193" s="14">
        <f t="shared" si="5"/>
        <v>9</v>
      </c>
      <c r="D193" s="15">
        <v>3069.2476666666671</v>
      </c>
      <c r="E193" s="15">
        <v>9.3657466666666664</v>
      </c>
      <c r="F193" s="15">
        <v>3.9017633333333328</v>
      </c>
      <c r="G193" s="15">
        <v>690.47300000000007</v>
      </c>
      <c r="H193" s="15">
        <v>3.2077700000000013</v>
      </c>
      <c r="I193" s="15">
        <v>16.842119999999998</v>
      </c>
      <c r="J193" s="15">
        <v>95.814590909090924</v>
      </c>
    </row>
    <row r="194" spans="1:10">
      <c r="A194" s="13">
        <v>42278</v>
      </c>
      <c r="B194" s="14">
        <f t="shared" si="4"/>
        <v>2015</v>
      </c>
      <c r="C194" s="14">
        <f t="shared" si="5"/>
        <v>10</v>
      </c>
      <c r="D194" s="15">
        <v>2920.8658064516126</v>
      </c>
      <c r="E194" s="15">
        <v>9.4759870967741904</v>
      </c>
      <c r="F194" s="15">
        <v>3.8743548387096767</v>
      </c>
      <c r="G194" s="15">
        <v>683.28000000000009</v>
      </c>
      <c r="H194" s="15">
        <v>3.2362645161290322</v>
      </c>
      <c r="I194" s="15">
        <v>16.565564516129029</v>
      </c>
      <c r="J194" s="15">
        <v>95.718363636363634</v>
      </c>
    </row>
    <row r="195" spans="1:10">
      <c r="A195" s="13">
        <v>42309</v>
      </c>
      <c r="B195" s="14">
        <f t="shared" si="4"/>
        <v>2015</v>
      </c>
      <c r="C195" s="14">
        <f t="shared" si="5"/>
        <v>11</v>
      </c>
      <c r="D195" s="15">
        <v>3011.5753333333337</v>
      </c>
      <c r="E195" s="15">
        <v>9.5953233333333365</v>
      </c>
      <c r="F195" s="15">
        <v>3.7838533333333326</v>
      </c>
      <c r="G195" s="15">
        <v>705.48866666666675</v>
      </c>
      <c r="H195" s="15">
        <v>3.3270100000000022</v>
      </c>
      <c r="I195" s="15">
        <v>16.628993333333337</v>
      </c>
      <c r="J195" s="15">
        <v>99.069571428571464</v>
      </c>
    </row>
    <row r="196" spans="1:10">
      <c r="A196" s="13">
        <v>42339</v>
      </c>
      <c r="B196" s="14">
        <f t="shared" si="4"/>
        <v>2015</v>
      </c>
      <c r="C196" s="14">
        <f t="shared" si="5"/>
        <v>12</v>
      </c>
      <c r="D196" s="15">
        <v>3249.0783870967743</v>
      </c>
      <c r="E196" s="15">
        <v>11.346929032258066</v>
      </c>
      <c r="F196" s="15">
        <v>3.8791451612903227</v>
      </c>
      <c r="G196" s="15">
        <v>703.35709677419368</v>
      </c>
      <c r="H196" s="15">
        <v>3.3705451612903228</v>
      </c>
      <c r="I196" s="15">
        <v>17.076629032258069</v>
      </c>
      <c r="J196" s="15">
        <v>98.314347826086959</v>
      </c>
    </row>
    <row r="197" spans="1:10">
      <c r="A197" s="13">
        <v>42370</v>
      </c>
      <c r="B197" s="14">
        <f t="shared" ref="B197:B260" si="6">+YEAR(A197)</f>
        <v>2016</v>
      </c>
      <c r="C197" s="14">
        <f t="shared" ref="C197:C260" si="7">+MONTH(A197)</f>
        <v>1</v>
      </c>
      <c r="D197" s="15">
        <v>3278.6254838709674</v>
      </c>
      <c r="E197" s="15">
        <v>13.583532258064517</v>
      </c>
      <c r="F197" s="15">
        <v>4.0400838709677416</v>
      </c>
      <c r="G197" s="15">
        <v>720.35483870967721</v>
      </c>
      <c r="H197" s="15">
        <v>3.4312548387096782</v>
      </c>
      <c r="I197" s="15">
        <v>18.027196774193548</v>
      </c>
      <c r="J197" s="15">
        <v>98.996523809523794</v>
      </c>
    </row>
    <row r="198" spans="1:10">
      <c r="A198" s="13">
        <v>42401</v>
      </c>
      <c r="B198" s="14">
        <f t="shared" si="6"/>
        <v>2016</v>
      </c>
      <c r="C198" s="14">
        <f t="shared" si="7"/>
        <v>2</v>
      </c>
      <c r="D198" s="15">
        <v>3353.4079310344828</v>
      </c>
      <c r="E198" s="15">
        <v>14.818010344827586</v>
      </c>
      <c r="F198" s="15">
        <v>3.9686586206896557</v>
      </c>
      <c r="G198" s="15">
        <v>702.06379310344835</v>
      </c>
      <c r="H198" s="15">
        <v>3.5040862068965515</v>
      </c>
      <c r="I198" s="15">
        <v>18.457696551724144</v>
      </c>
      <c r="J198" s="15">
        <v>97.040761904761894</v>
      </c>
    </row>
    <row r="199" spans="1:10">
      <c r="A199" s="13">
        <v>42430</v>
      </c>
      <c r="B199" s="14">
        <f t="shared" si="6"/>
        <v>2016</v>
      </c>
      <c r="C199" s="14">
        <f t="shared" si="7"/>
        <v>3</v>
      </c>
      <c r="D199" s="15">
        <v>3114.3777419354833</v>
      </c>
      <c r="E199" s="15">
        <v>14.878548387096778</v>
      </c>
      <c r="F199" s="15">
        <v>3.6836999999999995</v>
      </c>
      <c r="G199" s="15">
        <v>679.74580645161291</v>
      </c>
      <c r="H199" s="15">
        <v>3.3960258064516142</v>
      </c>
      <c r="I199" s="15">
        <v>17.603219354838711</v>
      </c>
      <c r="J199" s="15">
        <v>96.259913043478264</v>
      </c>
    </row>
    <row r="200" spans="1:10">
      <c r="A200" s="13">
        <v>42461</v>
      </c>
      <c r="B200" s="14">
        <f t="shared" si="6"/>
        <v>2016</v>
      </c>
      <c r="C200" s="14">
        <f t="shared" si="7"/>
        <v>4</v>
      </c>
      <c r="D200" s="15">
        <v>2991.7613333333338</v>
      </c>
      <c r="E200" s="15">
        <v>14.377233333333331</v>
      </c>
      <c r="F200" s="15">
        <v>3.5495433333333328</v>
      </c>
      <c r="G200" s="15">
        <v>669.45399999999984</v>
      </c>
      <c r="H200" s="15">
        <v>3.2993799999999993</v>
      </c>
      <c r="I200" s="15">
        <v>17.477753333333329</v>
      </c>
      <c r="J200" s="15">
        <v>94.40361904761906</v>
      </c>
    </row>
    <row r="201" spans="1:10">
      <c r="A201" s="13">
        <v>42491</v>
      </c>
      <c r="B201" s="14">
        <f t="shared" si="6"/>
        <v>2016</v>
      </c>
      <c r="C201" s="14">
        <f t="shared" si="7"/>
        <v>5</v>
      </c>
      <c r="D201" s="15">
        <v>2999.7358064516129</v>
      </c>
      <c r="E201" s="15">
        <v>14.104419354838708</v>
      </c>
      <c r="F201" s="15">
        <v>3.5353032258064503</v>
      </c>
      <c r="G201" s="15">
        <v>682.98548387096787</v>
      </c>
      <c r="H201" s="15">
        <v>3.3286354838709675</v>
      </c>
      <c r="I201" s="15">
        <v>18.144658064516129</v>
      </c>
      <c r="J201" s="15">
        <v>94.567909090909083</v>
      </c>
    </row>
    <row r="202" spans="1:10">
      <c r="A202" s="13">
        <v>42522</v>
      </c>
      <c r="B202" s="14">
        <f t="shared" si="6"/>
        <v>2016</v>
      </c>
      <c r="C202" s="14">
        <f t="shared" si="7"/>
        <v>6</v>
      </c>
      <c r="D202" s="15">
        <v>2983.9549999999999</v>
      </c>
      <c r="E202" s="15">
        <v>14.136266666666662</v>
      </c>
      <c r="F202" s="15">
        <v>3.4206499999999993</v>
      </c>
      <c r="G202" s="15">
        <v>679.58400000000017</v>
      </c>
      <c r="H202" s="15">
        <v>3.3114033333333333</v>
      </c>
      <c r="I202" s="15">
        <v>18.658753333333333</v>
      </c>
      <c r="J202" s="15">
        <v>94.635565217391317</v>
      </c>
    </row>
    <row r="203" spans="1:10">
      <c r="A203" s="13">
        <v>42552</v>
      </c>
      <c r="B203" s="14">
        <f t="shared" si="6"/>
        <v>2016</v>
      </c>
      <c r="C203" s="14">
        <f t="shared" si="7"/>
        <v>7</v>
      </c>
      <c r="D203" s="15">
        <v>2965.7980645161279</v>
      </c>
      <c r="E203" s="15">
        <v>14.882741935483873</v>
      </c>
      <c r="F203" s="15">
        <v>3.2736225806451613</v>
      </c>
      <c r="G203" s="15">
        <v>656.71709677419369</v>
      </c>
      <c r="H203" s="15">
        <v>3.3020999999999998</v>
      </c>
      <c r="I203" s="15">
        <v>18.576467741935485</v>
      </c>
      <c r="J203" s="15">
        <v>96.528095238095247</v>
      </c>
    </row>
    <row r="204" spans="1:10">
      <c r="A204" s="13">
        <v>42583</v>
      </c>
      <c r="B204" s="14">
        <f t="shared" si="6"/>
        <v>2016</v>
      </c>
      <c r="C204" s="14">
        <f t="shared" si="7"/>
        <v>8</v>
      </c>
      <c r="D204" s="15">
        <v>2949.1799999999994</v>
      </c>
      <c r="E204" s="15">
        <v>14.822145161290321</v>
      </c>
      <c r="F204" s="15">
        <v>3.207390322580645</v>
      </c>
      <c r="G204" s="15">
        <v>659.84870967741927</v>
      </c>
      <c r="H204" s="15">
        <v>3.3307580645161283</v>
      </c>
      <c r="I204" s="15">
        <v>18.481335483870968</v>
      </c>
      <c r="J204" s="15">
        <v>95.38039130434781</v>
      </c>
    </row>
    <row r="205" spans="1:10">
      <c r="A205" s="13">
        <v>42614</v>
      </c>
      <c r="B205" s="14">
        <f t="shared" si="6"/>
        <v>2016</v>
      </c>
      <c r="C205" s="14">
        <f t="shared" si="7"/>
        <v>9</v>
      </c>
      <c r="D205" s="15">
        <v>2918.3736666666668</v>
      </c>
      <c r="E205" s="15">
        <v>15.0848</v>
      </c>
      <c r="F205" s="15">
        <v>3.2533399999999988</v>
      </c>
      <c r="G205" s="15">
        <v>667.69200000000012</v>
      </c>
      <c r="H205" s="15">
        <v>3.3776199999999998</v>
      </c>
      <c r="I205" s="15">
        <v>19.200366666666664</v>
      </c>
      <c r="J205" s="15">
        <v>95.479090909090928</v>
      </c>
    </row>
    <row r="206" spans="1:10">
      <c r="A206" s="13">
        <v>42644</v>
      </c>
      <c r="B206" s="14">
        <f t="shared" si="6"/>
        <v>2016</v>
      </c>
      <c r="C206" s="14">
        <f t="shared" si="7"/>
        <v>10</v>
      </c>
      <c r="D206" s="15">
        <v>2932.0929032258073</v>
      </c>
      <c r="E206" s="15">
        <v>15.174596774193551</v>
      </c>
      <c r="F206" s="15">
        <v>3.1926258064516131</v>
      </c>
      <c r="G206" s="15">
        <v>662.93967741935467</v>
      </c>
      <c r="H206" s="15">
        <v>3.3811580645161294</v>
      </c>
      <c r="I206" s="15">
        <v>18.933554838709675</v>
      </c>
      <c r="J206" s="15">
        <v>97.714476190476191</v>
      </c>
    </row>
    <row r="207" spans="1:10">
      <c r="A207" s="13">
        <v>42675</v>
      </c>
      <c r="B207" s="14">
        <f t="shared" si="6"/>
        <v>2016</v>
      </c>
      <c r="C207" s="14">
        <f t="shared" si="7"/>
        <v>11</v>
      </c>
      <c r="D207" s="15">
        <v>3113.592333333333</v>
      </c>
      <c r="E207" s="15">
        <v>15.333116666666667</v>
      </c>
      <c r="F207" s="15">
        <v>3.3438999999999997</v>
      </c>
      <c r="G207" s="15">
        <v>667.1486666666666</v>
      </c>
      <c r="H207" s="15">
        <v>3.398166666666667</v>
      </c>
      <c r="I207" s="15">
        <v>20.12791</v>
      </c>
      <c r="J207" s="15">
        <v>99.768181818181816</v>
      </c>
    </row>
    <row r="208" spans="1:10">
      <c r="A208" s="13">
        <v>42705</v>
      </c>
      <c r="B208" s="14">
        <f t="shared" si="6"/>
        <v>2016</v>
      </c>
      <c r="C208" s="14">
        <f t="shared" si="7"/>
        <v>12</v>
      </c>
      <c r="D208" s="15">
        <v>3010.6912903225802</v>
      </c>
      <c r="E208" s="15">
        <v>15.830306451612898</v>
      </c>
      <c r="F208" s="15">
        <v>3.3525258064516135</v>
      </c>
      <c r="G208" s="15">
        <v>666.40387096774202</v>
      </c>
      <c r="H208" s="15">
        <v>3.3942290322580648</v>
      </c>
      <c r="I208" s="15">
        <v>20.518116129032261</v>
      </c>
      <c r="J208" s="15">
        <v>102.04136363636363</v>
      </c>
    </row>
    <row r="209" spans="1:10">
      <c r="A209" s="13">
        <v>42736</v>
      </c>
      <c r="B209" s="14">
        <f t="shared" si="6"/>
        <v>2017</v>
      </c>
      <c r="C209" s="14">
        <f t="shared" si="7"/>
        <v>1</v>
      </c>
      <c r="D209" s="15">
        <v>2938.6490322580648</v>
      </c>
      <c r="E209" s="15">
        <v>15.883774193548383</v>
      </c>
      <c r="F209" s="15">
        <v>3.1963903225806454</v>
      </c>
      <c r="G209" s="15">
        <v>659.68709677419361</v>
      </c>
      <c r="H209" s="15">
        <v>3.3349225806451606</v>
      </c>
      <c r="I209" s="15">
        <v>21.341512903225798</v>
      </c>
      <c r="J209" s="15">
        <v>101.20236363636364</v>
      </c>
    </row>
    <row r="210" spans="1:10">
      <c r="A210" s="13">
        <v>42767</v>
      </c>
      <c r="B210" s="14">
        <f t="shared" si="6"/>
        <v>2017</v>
      </c>
      <c r="C210" s="14">
        <f t="shared" si="7"/>
        <v>2</v>
      </c>
      <c r="D210" s="15">
        <v>2873.727142857143</v>
      </c>
      <c r="E210" s="15">
        <v>15.565071428571429</v>
      </c>
      <c r="F210" s="15">
        <v>3.1046785714285714</v>
      </c>
      <c r="G210" s="15">
        <v>642.90035714285716</v>
      </c>
      <c r="H210" s="15">
        <v>3.2561571428571434</v>
      </c>
      <c r="I210" s="15">
        <v>20.26788928571429</v>
      </c>
      <c r="J210" s="15">
        <v>100.6953</v>
      </c>
    </row>
    <row r="211" spans="1:10">
      <c r="A211" s="13">
        <v>42795</v>
      </c>
      <c r="B211" s="14">
        <f t="shared" si="6"/>
        <v>2017</v>
      </c>
      <c r="C211" s="14">
        <f t="shared" si="7"/>
        <v>3</v>
      </c>
      <c r="D211" s="15">
        <v>2937.2325806451613</v>
      </c>
      <c r="E211" s="15">
        <v>15.509548387096773</v>
      </c>
      <c r="F211" s="15">
        <v>3.1223354838709674</v>
      </c>
      <c r="G211" s="15">
        <v>661.13999999999987</v>
      </c>
      <c r="H211" s="15">
        <v>3.2599000000000005</v>
      </c>
      <c r="I211" s="15">
        <v>19.258235483870973</v>
      </c>
      <c r="J211" s="15">
        <v>100.75969565217389</v>
      </c>
    </row>
    <row r="212" spans="1:10">
      <c r="A212" s="13">
        <v>42826</v>
      </c>
      <c r="B212" s="14">
        <f t="shared" si="6"/>
        <v>2017</v>
      </c>
      <c r="C212" s="14">
        <f t="shared" si="7"/>
        <v>4</v>
      </c>
      <c r="D212" s="15">
        <v>2876.737666666666</v>
      </c>
      <c r="E212" s="15">
        <v>15.325566666666669</v>
      </c>
      <c r="F212" s="15">
        <v>3.140686666666666</v>
      </c>
      <c r="G212" s="15">
        <v>655.56333333333339</v>
      </c>
      <c r="H212" s="15">
        <v>3.2443966666666668</v>
      </c>
      <c r="I212" s="15">
        <v>18.727929999999994</v>
      </c>
      <c r="J212" s="15">
        <v>100.07250000000002</v>
      </c>
    </row>
    <row r="213" spans="1:10">
      <c r="A213" s="13">
        <v>42856</v>
      </c>
      <c r="B213" s="14">
        <f t="shared" si="6"/>
        <v>2017</v>
      </c>
      <c r="C213" s="14">
        <f t="shared" si="7"/>
        <v>5</v>
      </c>
      <c r="D213" s="15">
        <v>2919.3087096774198</v>
      </c>
      <c r="E213" s="15">
        <v>15.699532258064517</v>
      </c>
      <c r="F213" s="15">
        <v>3.2044225806451609</v>
      </c>
      <c r="G213" s="15">
        <v>671.33967741935487</v>
      </c>
      <c r="H213" s="15">
        <v>3.2689354838709672</v>
      </c>
      <c r="I213" s="15">
        <v>18.760822580645154</v>
      </c>
      <c r="J213" s="15">
        <v>98.238608695652189</v>
      </c>
    </row>
    <row r="214" spans="1:10">
      <c r="A214" s="13">
        <v>42887</v>
      </c>
      <c r="B214" s="14">
        <f t="shared" si="6"/>
        <v>2017</v>
      </c>
      <c r="C214" s="14">
        <f t="shared" si="7"/>
        <v>6</v>
      </c>
      <c r="D214" s="15">
        <v>2962.3159999999998</v>
      </c>
      <c r="E214" s="15">
        <v>16.083899999999996</v>
      </c>
      <c r="F214" s="15">
        <v>3.295059999999999</v>
      </c>
      <c r="G214" s="15">
        <v>664.57266666666669</v>
      </c>
      <c r="H214" s="15">
        <v>3.2626433333333336</v>
      </c>
      <c r="I214" s="15">
        <v>18.144123333333333</v>
      </c>
      <c r="J214" s="15">
        <v>96.943045454545441</v>
      </c>
    </row>
    <row r="215" spans="1:10">
      <c r="A215" s="13">
        <v>42917</v>
      </c>
      <c r="B215" s="14">
        <f t="shared" si="6"/>
        <v>2017</v>
      </c>
      <c r="C215" s="14">
        <f t="shared" si="7"/>
        <v>7</v>
      </c>
      <c r="D215" s="15">
        <v>3033.8896774193554</v>
      </c>
      <c r="E215" s="15">
        <v>17.152677419354838</v>
      </c>
      <c r="F215" s="15">
        <v>3.2024225806451616</v>
      </c>
      <c r="G215" s="15">
        <v>657.6664516129033</v>
      </c>
      <c r="H215" s="15">
        <v>3.2451967741935488</v>
      </c>
      <c r="I215" s="15">
        <v>17.81904193548387</v>
      </c>
      <c r="J215" s="15">
        <v>94.915857142857149</v>
      </c>
    </row>
    <row r="216" spans="1:10">
      <c r="A216" s="13">
        <v>42948</v>
      </c>
      <c r="B216" s="14">
        <f t="shared" si="6"/>
        <v>2017</v>
      </c>
      <c r="C216" s="14">
        <f t="shared" si="7"/>
        <v>8</v>
      </c>
      <c r="D216" s="15">
        <v>2968.7374193548403</v>
      </c>
      <c r="E216" s="15">
        <v>17.415290322580649</v>
      </c>
      <c r="F216" s="15">
        <v>3.1534483870967738</v>
      </c>
      <c r="G216" s="15">
        <v>643.09419354838701</v>
      </c>
      <c r="H216" s="15">
        <v>3.238148387096774</v>
      </c>
      <c r="I216" s="15">
        <v>17.78542580645161</v>
      </c>
      <c r="J216" s="15">
        <v>93.175217391304358</v>
      </c>
    </row>
    <row r="217" spans="1:10">
      <c r="A217" s="13">
        <v>42979</v>
      </c>
      <c r="B217" s="14">
        <f t="shared" si="6"/>
        <v>2017</v>
      </c>
      <c r="C217" s="14">
        <f t="shared" si="7"/>
        <v>9</v>
      </c>
      <c r="D217" s="15">
        <v>2912.9199999999996</v>
      </c>
      <c r="E217" s="15">
        <v>17.209833333333336</v>
      </c>
      <c r="F217" s="15">
        <v>3.1292266666666673</v>
      </c>
      <c r="G217" s="15">
        <v>625.42133333333334</v>
      </c>
      <c r="H217" s="15">
        <v>3.2431766666666664</v>
      </c>
      <c r="I217" s="15">
        <v>17.822570000000002</v>
      </c>
      <c r="J217" s="15">
        <v>92.373681818181822</v>
      </c>
    </row>
    <row r="218" spans="1:10">
      <c r="A218" s="13">
        <v>43009</v>
      </c>
      <c r="B218" s="14">
        <f t="shared" si="6"/>
        <v>2017</v>
      </c>
      <c r="C218" s="14">
        <f t="shared" si="7"/>
        <v>10</v>
      </c>
      <c r="D218" s="15">
        <v>2955.9441935483869</v>
      </c>
      <c r="E218" s="15">
        <v>17.43277419354839</v>
      </c>
      <c r="F218" s="15">
        <v>3.1894258064516134</v>
      </c>
      <c r="G218" s="15">
        <v>630.02096774193569</v>
      </c>
      <c r="H218" s="15">
        <v>3.2474838709677427</v>
      </c>
      <c r="I218" s="15">
        <v>18.826396774193555</v>
      </c>
      <c r="J218" s="15">
        <v>93.708227272727285</v>
      </c>
    </row>
    <row r="219" spans="1:10">
      <c r="A219" s="13">
        <v>43040</v>
      </c>
      <c r="B219" s="14">
        <f t="shared" si="6"/>
        <v>2017</v>
      </c>
      <c r="C219" s="14">
        <f t="shared" si="7"/>
        <v>11</v>
      </c>
      <c r="D219" s="15">
        <v>3008.6179999999999</v>
      </c>
      <c r="E219" s="15">
        <v>17.468599999999995</v>
      </c>
      <c r="F219" s="15">
        <v>3.2636099999999999</v>
      </c>
      <c r="G219" s="15">
        <v>633.17966666666678</v>
      </c>
      <c r="H219" s="15">
        <v>3.2384600000000003</v>
      </c>
      <c r="I219" s="15">
        <v>18.918556666666674</v>
      </c>
      <c r="J219" s="15">
        <v>93.962499999999991</v>
      </c>
    </row>
    <row r="220" spans="1:10">
      <c r="A220" s="13">
        <v>43070</v>
      </c>
      <c r="B220" s="14">
        <f t="shared" si="6"/>
        <v>2017</v>
      </c>
      <c r="C220" s="14">
        <f t="shared" si="7"/>
        <v>12</v>
      </c>
      <c r="D220" s="15">
        <v>2986.6709677419362</v>
      </c>
      <c r="E220" s="15">
        <v>17.704354838709683</v>
      </c>
      <c r="F220" s="15">
        <v>3.2973451612903228</v>
      </c>
      <c r="G220" s="15">
        <v>634.85225806451615</v>
      </c>
      <c r="H220" s="15">
        <v>3.2438548387096775</v>
      </c>
      <c r="I220" s="15">
        <v>19.213983870967745</v>
      </c>
      <c r="J220" s="15">
        <v>93.381142857142876</v>
      </c>
    </row>
    <row r="221" spans="1:10">
      <c r="A221" s="13">
        <v>43101</v>
      </c>
      <c r="B221" s="14">
        <f t="shared" si="6"/>
        <v>2018</v>
      </c>
      <c r="C221" s="14">
        <f t="shared" si="7"/>
        <v>1</v>
      </c>
      <c r="D221" s="15">
        <v>2862.1635483870964</v>
      </c>
      <c r="E221" s="15">
        <v>19.003193548387095</v>
      </c>
      <c r="F221" s="15">
        <v>3.2079129032258069</v>
      </c>
      <c r="G221" s="15">
        <v>605.18516129032253</v>
      </c>
      <c r="H221" s="15">
        <v>3.2130806451612899</v>
      </c>
      <c r="I221" s="15">
        <v>18.904235483870966</v>
      </c>
      <c r="J221" s="15">
        <v>90.816173913043471</v>
      </c>
    </row>
    <row r="222" spans="1:10">
      <c r="A222" s="13">
        <v>43132</v>
      </c>
      <c r="B222" s="14">
        <f t="shared" si="6"/>
        <v>2018</v>
      </c>
      <c r="C222" s="14">
        <f t="shared" si="7"/>
        <v>2</v>
      </c>
      <c r="D222" s="15">
        <v>2859.2207142857146</v>
      </c>
      <c r="E222" s="15">
        <v>19.817214285714282</v>
      </c>
      <c r="F222" s="15">
        <v>3.2473392857142853</v>
      </c>
      <c r="G222" s="15">
        <v>596.52285714285711</v>
      </c>
      <c r="H222" s="15">
        <v>3.2474178571428576</v>
      </c>
      <c r="I222" s="15">
        <v>18.633057142857147</v>
      </c>
      <c r="J222" s="15">
        <v>89.695599999999985</v>
      </c>
    </row>
    <row r="223" spans="1:10">
      <c r="A223" s="13">
        <v>43160</v>
      </c>
      <c r="B223" s="14">
        <f t="shared" si="6"/>
        <v>2018</v>
      </c>
      <c r="C223" s="14">
        <f t="shared" si="7"/>
        <v>3</v>
      </c>
      <c r="D223" s="15">
        <v>2844.5593548387101</v>
      </c>
      <c r="E223" s="15">
        <v>20.200935483870964</v>
      </c>
      <c r="F223" s="15">
        <v>3.2786419354838712</v>
      </c>
      <c r="G223" s="15">
        <v>603.94161290322575</v>
      </c>
      <c r="H223" s="15">
        <v>3.24618064516129</v>
      </c>
      <c r="I223" s="15">
        <v>18.579841935483866</v>
      </c>
      <c r="J223" s="15">
        <v>89.877272727272725</v>
      </c>
    </row>
    <row r="224" spans="1:10">
      <c r="A224" s="13">
        <v>43191</v>
      </c>
      <c r="B224" s="14">
        <f t="shared" si="6"/>
        <v>2018</v>
      </c>
      <c r="C224" s="14">
        <f t="shared" si="7"/>
        <v>4</v>
      </c>
      <c r="D224" s="15">
        <v>2767.9663333333347</v>
      </c>
      <c r="E224" s="15">
        <v>20.227566666666672</v>
      </c>
      <c r="F224" s="15">
        <v>3.4067233333333342</v>
      </c>
      <c r="G224" s="15">
        <v>600.84066666666672</v>
      </c>
      <c r="H224" s="15">
        <v>3.2255966666666662</v>
      </c>
      <c r="I224" s="15">
        <v>18.365536666666667</v>
      </c>
      <c r="J224" s="15">
        <v>90.349818181818165</v>
      </c>
    </row>
    <row r="225" spans="1:10">
      <c r="A225" s="13">
        <v>43221</v>
      </c>
      <c r="B225" s="14">
        <f t="shared" si="6"/>
        <v>2018</v>
      </c>
      <c r="C225" s="14">
        <f t="shared" si="7"/>
        <v>5</v>
      </c>
      <c r="D225" s="15">
        <v>2860.5719354838702</v>
      </c>
      <c r="E225" s="15">
        <v>23.529032258064518</v>
      </c>
      <c r="F225" s="15">
        <v>3.6303258064516126</v>
      </c>
      <c r="G225" s="15">
        <v>626.41387096774201</v>
      </c>
      <c r="H225" s="15">
        <v>3.2686419354838714</v>
      </c>
      <c r="I225" s="15">
        <v>19.541167741935482</v>
      </c>
      <c r="J225" s="15">
        <v>93.336304347826086</v>
      </c>
    </row>
    <row r="226" spans="1:10">
      <c r="A226" s="13">
        <v>43252</v>
      </c>
      <c r="B226" s="14">
        <f t="shared" si="6"/>
        <v>2018</v>
      </c>
      <c r="C226" s="14">
        <f t="shared" si="7"/>
        <v>6</v>
      </c>
      <c r="D226" s="15">
        <v>2891.0333333333338</v>
      </c>
      <c r="E226" s="15">
        <v>26.626466666666666</v>
      </c>
      <c r="F226" s="15">
        <v>3.77671</v>
      </c>
      <c r="G226" s="15">
        <v>636.67499999999984</v>
      </c>
      <c r="H226" s="15">
        <v>3.2688399999999991</v>
      </c>
      <c r="I226" s="15">
        <v>20.263016666666672</v>
      </c>
      <c r="J226" s="15">
        <v>94.333909090909117</v>
      </c>
    </row>
    <row r="227" spans="1:10">
      <c r="A227" s="13">
        <v>43282</v>
      </c>
      <c r="B227" s="14">
        <f t="shared" si="6"/>
        <v>2018</v>
      </c>
      <c r="C227" s="14">
        <f t="shared" si="7"/>
        <v>7</v>
      </c>
      <c r="D227" s="15">
        <v>2881.4835483870966</v>
      </c>
      <c r="E227" s="15">
        <v>27.58677419354839</v>
      </c>
      <c r="F227" s="15">
        <v>3.8184451612903234</v>
      </c>
      <c r="G227" s="15">
        <v>651.68903225806434</v>
      </c>
      <c r="H227" s="15">
        <v>3.2729290322580642</v>
      </c>
      <c r="I227" s="15">
        <v>18.987967741935485</v>
      </c>
      <c r="J227" s="15">
        <v>94.609590909090912</v>
      </c>
    </row>
    <row r="228" spans="1:10">
      <c r="A228" s="13">
        <v>43313</v>
      </c>
      <c r="B228" s="14">
        <f t="shared" si="6"/>
        <v>2018</v>
      </c>
      <c r="C228" s="14">
        <f t="shared" si="7"/>
        <v>8</v>
      </c>
      <c r="D228" s="15">
        <v>2964.3683870967743</v>
      </c>
      <c r="E228" s="15">
        <v>29.904935483870979</v>
      </c>
      <c r="F228" s="15">
        <v>3.9207516129032269</v>
      </c>
      <c r="G228" s="15">
        <v>658.71290322580626</v>
      </c>
      <c r="H228" s="15">
        <v>3.28583870967742</v>
      </c>
      <c r="I228" s="15">
        <v>18.831316129032263</v>
      </c>
      <c r="J228" s="15">
        <v>95.48047826086956</v>
      </c>
    </row>
    <row r="229" spans="1:10">
      <c r="A229" s="13">
        <v>43344</v>
      </c>
      <c r="B229" s="14">
        <f t="shared" si="6"/>
        <v>2018</v>
      </c>
      <c r="C229" s="14">
        <f t="shared" si="7"/>
        <v>9</v>
      </c>
      <c r="D229" s="15">
        <v>3025.9696666666673</v>
      </c>
      <c r="E229" s="15">
        <v>38.452166666666656</v>
      </c>
      <c r="F229" s="15">
        <v>4.0979066666666686</v>
      </c>
      <c r="G229" s="15">
        <v>678.35466666666684</v>
      </c>
      <c r="H229" s="15">
        <v>3.3068533333333323</v>
      </c>
      <c r="I229" s="15">
        <v>18.985743333333335</v>
      </c>
      <c r="J229" s="15">
        <v>94.756700000000023</v>
      </c>
    </row>
    <row r="230" spans="1:10">
      <c r="A230" s="13">
        <v>43374</v>
      </c>
      <c r="B230" s="14">
        <f t="shared" si="6"/>
        <v>2018</v>
      </c>
      <c r="C230" s="14">
        <f t="shared" si="7"/>
        <v>10</v>
      </c>
      <c r="D230" s="15">
        <v>3093.9235483870971</v>
      </c>
      <c r="E230" s="15">
        <v>36.991709677419358</v>
      </c>
      <c r="F230" s="15">
        <v>3.7588064516129034</v>
      </c>
      <c r="G230" s="15">
        <v>679.71548387096766</v>
      </c>
      <c r="H230" s="15">
        <v>3.3315838709677421</v>
      </c>
      <c r="I230" s="15">
        <v>19.174796774193553</v>
      </c>
      <c r="J230" s="15">
        <v>95.851086956521726</v>
      </c>
    </row>
    <row r="231" spans="1:10">
      <c r="A231" s="13">
        <v>43405</v>
      </c>
      <c r="B231" s="14">
        <f t="shared" si="6"/>
        <v>2018</v>
      </c>
      <c r="C231" s="14">
        <f t="shared" si="7"/>
        <v>11</v>
      </c>
      <c r="D231" s="15">
        <v>3192.9563333333331</v>
      </c>
      <c r="E231" s="15">
        <v>36.339366666666663</v>
      </c>
      <c r="F231" s="15">
        <v>3.7772900000000011</v>
      </c>
      <c r="G231" s="15">
        <v>677.03800000000012</v>
      </c>
      <c r="H231" s="15">
        <v>3.3702000000000001</v>
      </c>
      <c r="I231" s="15">
        <v>20.22241</v>
      </c>
      <c r="J231" s="15">
        <v>96.760409090909079</v>
      </c>
    </row>
    <row r="232" spans="1:10">
      <c r="A232" s="13">
        <v>43435</v>
      </c>
      <c r="B232" s="14">
        <f t="shared" si="6"/>
        <v>2018</v>
      </c>
      <c r="C232" s="14">
        <f t="shared" si="7"/>
        <v>12</v>
      </c>
      <c r="D232" s="15">
        <v>3218.1522580645155</v>
      </c>
      <c r="E232" s="15">
        <v>37.790064516129029</v>
      </c>
      <c r="F232" s="15">
        <v>3.8903096774193533</v>
      </c>
      <c r="G232" s="15">
        <v>684.03193548387117</v>
      </c>
      <c r="H232" s="15">
        <v>3.3602129032258081</v>
      </c>
      <c r="I232" s="15">
        <v>20.088322580645158</v>
      </c>
      <c r="J232" s="15">
        <v>96.852086956521731</v>
      </c>
    </row>
    <row r="233" spans="1:10">
      <c r="A233" s="13">
        <v>43466</v>
      </c>
      <c r="B233" s="14">
        <f t="shared" si="6"/>
        <v>2019</v>
      </c>
      <c r="C233" s="14">
        <f t="shared" si="7"/>
        <v>1</v>
      </c>
      <c r="D233" s="15">
        <v>3155.1348387096782</v>
      </c>
      <c r="E233" s="15">
        <v>37.30935483870968</v>
      </c>
      <c r="F233" s="15">
        <v>3.7393193548387096</v>
      </c>
      <c r="G233" s="15">
        <v>674.6622580645161</v>
      </c>
      <c r="H233" s="15">
        <v>3.3393677419354844</v>
      </c>
      <c r="I233" s="15">
        <v>19.16751935483871</v>
      </c>
      <c r="J233" s="15">
        <v>95.966260869565218</v>
      </c>
    </row>
    <row r="234" spans="1:10">
      <c r="A234" s="13">
        <v>43497</v>
      </c>
      <c r="B234" s="14">
        <f t="shared" si="6"/>
        <v>2019</v>
      </c>
      <c r="C234" s="14">
        <f t="shared" si="7"/>
        <v>2</v>
      </c>
      <c r="D234" s="15">
        <v>3110.2649999999999</v>
      </c>
      <c r="E234" s="15">
        <v>38.305785714285712</v>
      </c>
      <c r="F234" s="15">
        <v>3.7194571428571419</v>
      </c>
      <c r="G234" s="15">
        <v>655.74714285714265</v>
      </c>
      <c r="H234" s="15">
        <v>3.3195892857142861</v>
      </c>
      <c r="I234" s="15">
        <v>19.170489285714289</v>
      </c>
      <c r="J234" s="15">
        <v>96.477761904761905</v>
      </c>
    </row>
    <row r="235" spans="1:10">
      <c r="A235" s="13">
        <v>43525</v>
      </c>
      <c r="B235" s="14">
        <f t="shared" si="6"/>
        <v>2019</v>
      </c>
      <c r="C235" s="14">
        <f t="shared" si="7"/>
        <v>3</v>
      </c>
      <c r="D235" s="15">
        <v>3133.6587096774192</v>
      </c>
      <c r="E235" s="15">
        <v>41.266322580645159</v>
      </c>
      <c r="F235" s="15">
        <v>3.8449677419354837</v>
      </c>
      <c r="G235" s="15">
        <v>670.18483870967725</v>
      </c>
      <c r="H235" s="15">
        <v>3.3024903225806446</v>
      </c>
      <c r="I235" s="15">
        <v>19.248964516129035</v>
      </c>
      <c r="J235" s="15">
        <v>96.779857142857168</v>
      </c>
    </row>
    <row r="236" spans="1:10">
      <c r="A236" s="13">
        <v>43556</v>
      </c>
      <c r="B236" s="14">
        <f t="shared" si="6"/>
        <v>2019</v>
      </c>
      <c r="C236" s="14">
        <f t="shared" si="7"/>
        <v>4</v>
      </c>
      <c r="D236" s="15">
        <v>3154.9846666666667</v>
      </c>
      <c r="E236" s="15">
        <v>43.147066666666653</v>
      </c>
      <c r="F236" s="15">
        <v>3.8981133333333333</v>
      </c>
      <c r="G236" s="15">
        <v>666.41599999999983</v>
      </c>
      <c r="H236" s="15">
        <v>3.3002933333333337</v>
      </c>
      <c r="I236" s="15">
        <v>18.930263333333333</v>
      </c>
      <c r="J236" s="15">
        <v>97.364772727272737</v>
      </c>
    </row>
    <row r="237" spans="1:10">
      <c r="A237" s="13">
        <v>43586</v>
      </c>
      <c r="B237" s="14">
        <f t="shared" si="6"/>
        <v>2019</v>
      </c>
      <c r="C237" s="14">
        <f t="shared" si="7"/>
        <v>5</v>
      </c>
      <c r="D237" s="15">
        <v>3307.9261290322579</v>
      </c>
      <c r="E237" s="15">
        <v>44.775451612903225</v>
      </c>
      <c r="F237" s="15">
        <v>3.9972612903225806</v>
      </c>
      <c r="G237" s="15">
        <v>691.35935483870981</v>
      </c>
      <c r="H237" s="15">
        <v>3.3267806451612905</v>
      </c>
      <c r="I237" s="15">
        <v>19.091158064516129</v>
      </c>
      <c r="J237" s="15">
        <v>97.733782608695648</v>
      </c>
    </row>
    <row r="238" spans="1:10">
      <c r="A238" s="13">
        <v>43617</v>
      </c>
      <c r="B238" s="14">
        <f t="shared" si="6"/>
        <v>2019</v>
      </c>
      <c r="C238" s="14">
        <f t="shared" si="7"/>
        <v>6</v>
      </c>
      <c r="D238" s="15">
        <v>3253.5189999999998</v>
      </c>
      <c r="E238" s="15">
        <v>43.704000000000015</v>
      </c>
      <c r="F238" s="15">
        <v>3.8631533333333339</v>
      </c>
      <c r="G238" s="15">
        <v>690.92266666666671</v>
      </c>
      <c r="H238" s="15">
        <v>3.3242866666666662</v>
      </c>
      <c r="I238" s="15">
        <v>19.294019999999993</v>
      </c>
      <c r="J238" s="15">
        <v>96.799000000000007</v>
      </c>
    </row>
    <row r="239" spans="1:10">
      <c r="A239" s="13">
        <v>43647</v>
      </c>
      <c r="B239" s="14">
        <f t="shared" si="6"/>
        <v>2019</v>
      </c>
      <c r="C239" s="14">
        <f t="shared" si="7"/>
        <v>7</v>
      </c>
      <c r="D239" s="15">
        <v>3206.6529032258068</v>
      </c>
      <c r="E239" s="15">
        <v>42.391274193548398</v>
      </c>
      <c r="F239" s="15">
        <v>3.7781161290322571</v>
      </c>
      <c r="G239" s="15">
        <v>686.49903225806474</v>
      </c>
      <c r="H239" s="15">
        <v>3.2871000000000006</v>
      </c>
      <c r="I239" s="15">
        <v>19.037854838709677</v>
      </c>
      <c r="J239" s="15">
        <v>97.341478260869579</v>
      </c>
    </row>
    <row r="240" spans="1:10">
      <c r="A240" s="13">
        <v>43678</v>
      </c>
      <c r="B240" s="14">
        <f t="shared" si="6"/>
        <v>2019</v>
      </c>
      <c r="C240" s="14">
        <f t="shared" si="7"/>
        <v>8</v>
      </c>
      <c r="D240" s="15">
        <v>3418.5335483870967</v>
      </c>
      <c r="E240" s="15">
        <v>52.131790322580649</v>
      </c>
      <c r="F240" s="15">
        <v>4.0210935483870962</v>
      </c>
      <c r="G240" s="15">
        <v>713.67580645161274</v>
      </c>
      <c r="H240" s="15">
        <v>3.3781935483870975</v>
      </c>
      <c r="I240" s="15">
        <v>19.672819354838701</v>
      </c>
      <c r="J240" s="15">
        <v>98.003090909090915</v>
      </c>
    </row>
    <row r="241" spans="1:10">
      <c r="A241" s="13">
        <v>43709</v>
      </c>
      <c r="B241" s="14">
        <f t="shared" si="6"/>
        <v>2019</v>
      </c>
      <c r="C241" s="14">
        <f t="shared" si="7"/>
        <v>9</v>
      </c>
      <c r="D241" s="15">
        <v>3400.7453333333328</v>
      </c>
      <c r="E241" s="15">
        <v>56.560716666666664</v>
      </c>
      <c r="F241" s="15">
        <v>4.1197999999999988</v>
      </c>
      <c r="G241" s="15">
        <v>717.38600000000008</v>
      </c>
      <c r="H241" s="15">
        <v>3.3555666666666668</v>
      </c>
      <c r="I241" s="15">
        <v>19.576686666666664</v>
      </c>
      <c r="J241" s="15">
        <v>98.6095714285714</v>
      </c>
    </row>
    <row r="242" spans="1:10">
      <c r="A242" s="13">
        <v>43739</v>
      </c>
      <c r="B242" s="14">
        <f t="shared" si="6"/>
        <v>2019</v>
      </c>
      <c r="C242" s="14">
        <f t="shared" si="7"/>
        <v>10</v>
      </c>
      <c r="D242" s="15">
        <v>3427.1887096774185</v>
      </c>
      <c r="E242" s="15">
        <v>58.420645161290331</v>
      </c>
      <c r="F242" s="15">
        <v>4.0813161290322579</v>
      </c>
      <c r="G242" s="15">
        <v>719.96806451612872</v>
      </c>
      <c r="H242" s="15">
        <v>3.3561258064516131</v>
      </c>
      <c r="I242" s="15">
        <v>19.300841935483874</v>
      </c>
      <c r="J242" s="15">
        <v>98.19745833333333</v>
      </c>
    </row>
    <row r="243" spans="1:10">
      <c r="A243" s="13">
        <v>43770</v>
      </c>
      <c r="B243" s="14">
        <f t="shared" si="6"/>
        <v>2019</v>
      </c>
      <c r="C243" s="14">
        <f t="shared" si="7"/>
        <v>11</v>
      </c>
      <c r="D243" s="15">
        <v>3402.7099999999996</v>
      </c>
      <c r="E243" s="15">
        <v>59.616966666666684</v>
      </c>
      <c r="F243" s="15">
        <v>4.1565933333333343</v>
      </c>
      <c r="G243" s="15">
        <v>775.76266666666641</v>
      </c>
      <c r="H243" s="15">
        <v>3.3690600000000006</v>
      </c>
      <c r="I243" s="15">
        <v>19.283743333333334</v>
      </c>
      <c r="J243" s="15">
        <v>98.078761904761905</v>
      </c>
    </row>
    <row r="244" spans="1:10">
      <c r="A244" s="13">
        <v>43800</v>
      </c>
      <c r="B244" s="14">
        <f t="shared" si="6"/>
        <v>2019</v>
      </c>
      <c r="C244" s="14">
        <f t="shared" si="7"/>
        <v>12</v>
      </c>
      <c r="D244" s="15">
        <v>3366.7309677419353</v>
      </c>
      <c r="E244" s="15">
        <v>59.735774193548373</v>
      </c>
      <c r="F244" s="15">
        <v>4.1084967741935481</v>
      </c>
      <c r="G244" s="15">
        <v>765.10129032258101</v>
      </c>
      <c r="H244" s="15">
        <v>3.3487580645161299</v>
      </c>
      <c r="I244" s="15">
        <v>19.089148387096774</v>
      </c>
      <c r="J244" s="15">
        <v>97.377863636363642</v>
      </c>
    </row>
    <row r="245" spans="1:10">
      <c r="A245" s="13">
        <v>43831</v>
      </c>
      <c r="B245" s="14">
        <f t="shared" si="6"/>
        <v>2020</v>
      </c>
      <c r="C245" s="14">
        <f t="shared" si="7"/>
        <v>1</v>
      </c>
      <c r="D245" s="15">
        <v>3313.2738709677415</v>
      </c>
      <c r="E245" s="15">
        <v>59.890258064516125</v>
      </c>
      <c r="F245" s="15">
        <v>4.1419451612903222</v>
      </c>
      <c r="G245" s="15">
        <v>773.18612903225801</v>
      </c>
      <c r="H245" s="15">
        <v>3.3244516129032253</v>
      </c>
      <c r="I245" s="15">
        <v>18.789132258064519</v>
      </c>
      <c r="J245" s="15">
        <v>97.399521739130435</v>
      </c>
    </row>
    <row r="246" spans="1:10">
      <c r="A246" s="13">
        <v>43862</v>
      </c>
      <c r="B246" s="14">
        <f t="shared" si="6"/>
        <v>2020</v>
      </c>
      <c r="C246" s="14">
        <f t="shared" si="7"/>
        <v>2</v>
      </c>
      <c r="D246" s="15">
        <v>3411.9048275862065</v>
      </c>
      <c r="E246" s="15">
        <v>61.210586206896529</v>
      </c>
      <c r="F246" s="15">
        <v>4.3470896551724127</v>
      </c>
      <c r="G246" s="15">
        <v>797.20689655172418</v>
      </c>
      <c r="H246" s="15">
        <v>3.3900068965517245</v>
      </c>
      <c r="I246" s="15">
        <v>18.833675862068965</v>
      </c>
      <c r="J246" s="15">
        <v>98.876047619047611</v>
      </c>
    </row>
    <row r="247" spans="1:10">
      <c r="A247" s="13">
        <v>43891</v>
      </c>
      <c r="B247" s="14">
        <f t="shared" si="6"/>
        <v>2020</v>
      </c>
      <c r="C247" s="14">
        <f t="shared" si="7"/>
        <v>3</v>
      </c>
      <c r="D247" s="15">
        <v>3900.1538709677425</v>
      </c>
      <c r="E247" s="15">
        <v>63.110838709677417</v>
      </c>
      <c r="F247" s="15">
        <v>4.8862548387096787</v>
      </c>
      <c r="G247" s="15">
        <v>840.2593548387099</v>
      </c>
      <c r="H247" s="15">
        <v>3.4845741935483865</v>
      </c>
      <c r="I247" s="15">
        <v>22.256958064516127</v>
      </c>
      <c r="J247" s="15">
        <v>98.84322727272729</v>
      </c>
    </row>
    <row r="248" spans="1:10">
      <c r="A248" s="13">
        <v>43922</v>
      </c>
      <c r="B248" s="14">
        <f t="shared" si="6"/>
        <v>2020</v>
      </c>
      <c r="C248" s="14">
        <f t="shared" si="7"/>
        <v>4</v>
      </c>
      <c r="D248" s="15">
        <v>3957.5590000000007</v>
      </c>
      <c r="E248" s="15">
        <v>65.51836666666668</v>
      </c>
      <c r="F248" s="15">
        <v>5.3173833333333338</v>
      </c>
      <c r="G248" s="15">
        <v>851.79133333333334</v>
      </c>
      <c r="H248" s="15">
        <v>3.3974066666666674</v>
      </c>
      <c r="I248" s="15">
        <v>24.17049999999999</v>
      </c>
      <c r="J248" s="15">
        <v>99.889590909090899</v>
      </c>
    </row>
    <row r="249" spans="1:10">
      <c r="A249" s="13">
        <v>43952</v>
      </c>
      <c r="B249" s="14">
        <f t="shared" si="6"/>
        <v>2020</v>
      </c>
      <c r="C249" s="14">
        <f t="shared" si="7"/>
        <v>5</v>
      </c>
      <c r="D249" s="15">
        <v>3847.2522580645164</v>
      </c>
      <c r="E249" s="15">
        <v>67.608258064516136</v>
      </c>
      <c r="F249" s="15">
        <v>5.6155419354838711</v>
      </c>
      <c r="G249" s="15">
        <v>819.03741935483879</v>
      </c>
      <c r="H249" s="15">
        <v>3.416545161290323</v>
      </c>
      <c r="I249" s="15">
        <v>23.435638709677423</v>
      </c>
      <c r="J249" s="15">
        <v>99.581809523809511</v>
      </c>
    </row>
    <row r="250" spans="1:10">
      <c r="A250" s="13">
        <v>43983</v>
      </c>
      <c r="B250" s="14">
        <f t="shared" si="6"/>
        <v>2020</v>
      </c>
      <c r="C250" s="14">
        <f t="shared" si="7"/>
        <v>6</v>
      </c>
      <c r="D250" s="15">
        <v>3702.7680000000005</v>
      </c>
      <c r="E250" s="15">
        <v>69.464933333333335</v>
      </c>
      <c r="F250" s="15">
        <v>5.1937200000000017</v>
      </c>
      <c r="G250" s="15">
        <v>796.72766666666655</v>
      </c>
      <c r="H250" s="15">
        <v>3.4749699999999999</v>
      </c>
      <c r="I250" s="15">
        <v>22.328803333333333</v>
      </c>
      <c r="J250" s="15">
        <v>97.106826086956517</v>
      </c>
    </row>
    <row r="251" spans="1:10">
      <c r="A251" s="13">
        <v>44013</v>
      </c>
      <c r="B251" s="14">
        <f t="shared" si="6"/>
        <v>2020</v>
      </c>
      <c r="C251" s="14">
        <f t="shared" si="7"/>
        <v>7</v>
      </c>
      <c r="D251" s="15">
        <v>3652.8661290322584</v>
      </c>
      <c r="E251" s="15">
        <v>71.321161290322578</v>
      </c>
      <c r="F251" s="15">
        <v>5.2907161290322584</v>
      </c>
      <c r="G251" s="15">
        <v>783.20741935483875</v>
      </c>
      <c r="H251" s="15">
        <v>3.5160870967741933</v>
      </c>
      <c r="I251" s="15">
        <v>22.392045161290323</v>
      </c>
      <c r="J251" s="15">
        <v>95.583217391304359</v>
      </c>
    </row>
    <row r="252" spans="1:10">
      <c r="A252" s="13">
        <v>44044</v>
      </c>
      <c r="B252" s="14">
        <f t="shared" si="6"/>
        <v>2020</v>
      </c>
      <c r="C252" s="14">
        <f t="shared" si="7"/>
        <v>8</v>
      </c>
      <c r="D252" s="15">
        <v>3776.6667741935494</v>
      </c>
      <c r="E252" s="15">
        <v>73.175774193548392</v>
      </c>
      <c r="F252" s="15">
        <v>5.4456709677419362</v>
      </c>
      <c r="G252" s="15">
        <v>784.86806451612904</v>
      </c>
      <c r="H252" s="15">
        <v>3.559212903225808</v>
      </c>
      <c r="I252" s="15">
        <v>22.1387</v>
      </c>
      <c r="J252" s="15">
        <v>93.046999999999997</v>
      </c>
    </row>
    <row r="253" spans="1:10">
      <c r="A253" s="13">
        <v>44075</v>
      </c>
      <c r="B253" s="14">
        <f t="shared" si="6"/>
        <v>2020</v>
      </c>
      <c r="C253" s="14">
        <f t="shared" si="7"/>
        <v>9</v>
      </c>
      <c r="D253" s="15">
        <v>3753.5573333333332</v>
      </c>
      <c r="E253" s="15">
        <v>75.104166666666686</v>
      </c>
      <c r="F253" s="15">
        <v>5.3982533333333338</v>
      </c>
      <c r="G253" s="15">
        <v>773.25400000000013</v>
      </c>
      <c r="H253" s="15">
        <v>3.551943333333333</v>
      </c>
      <c r="I253" s="15">
        <v>21.625830000000001</v>
      </c>
      <c r="J253" s="15">
        <v>93.463869565217379</v>
      </c>
    </row>
    <row r="254" spans="1:10">
      <c r="A254" s="13">
        <v>44105</v>
      </c>
      <c r="B254" s="14">
        <f t="shared" si="6"/>
        <v>2020</v>
      </c>
      <c r="C254" s="14">
        <f t="shared" si="7"/>
        <v>10</v>
      </c>
      <c r="D254" s="15">
        <v>3831.9512903225814</v>
      </c>
      <c r="E254" s="15">
        <v>77.492000000000004</v>
      </c>
      <c r="F254" s="15">
        <v>5.6292322580645147</v>
      </c>
      <c r="G254" s="15">
        <v>787.24096774193538</v>
      </c>
      <c r="H254" s="15">
        <v>3.594545161290323</v>
      </c>
      <c r="I254" s="15">
        <v>21.240796774193548</v>
      </c>
      <c r="J254" s="15">
        <v>93.398590909090913</v>
      </c>
    </row>
    <row r="255" spans="1:10">
      <c r="A255" s="13">
        <v>44136</v>
      </c>
      <c r="B255" s="14">
        <f t="shared" si="6"/>
        <v>2020</v>
      </c>
      <c r="C255" s="14">
        <f t="shared" si="7"/>
        <v>11</v>
      </c>
      <c r="D255" s="15">
        <v>3671.014999999999</v>
      </c>
      <c r="E255" s="15">
        <v>79.864866666666643</v>
      </c>
      <c r="F255" s="15">
        <v>5.4312233333333326</v>
      </c>
      <c r="G255" s="15">
        <v>762.30400000000009</v>
      </c>
      <c r="H255" s="15">
        <v>3.6063766666666677</v>
      </c>
      <c r="I255" s="15">
        <v>20.383980000000001</v>
      </c>
      <c r="J255" s="15">
        <v>92.595999999999989</v>
      </c>
    </row>
    <row r="256" spans="1:10">
      <c r="A256" s="13">
        <v>44166</v>
      </c>
      <c r="B256" s="14">
        <f t="shared" si="6"/>
        <v>2020</v>
      </c>
      <c r="C256" s="14">
        <f t="shared" si="7"/>
        <v>12</v>
      </c>
      <c r="D256" s="15">
        <v>3460.2316129032256</v>
      </c>
      <c r="E256" s="15">
        <v>82.563516129032266</v>
      </c>
      <c r="F256" s="15">
        <v>5.1456129032258069</v>
      </c>
      <c r="G256" s="15">
        <v>730.04903225806481</v>
      </c>
      <c r="H256" s="15">
        <v>3.5983387096774195</v>
      </c>
      <c r="I256" s="15">
        <v>19.928809677419352</v>
      </c>
      <c r="J256" s="15">
        <v>90.507217391304351</v>
      </c>
    </row>
    <row r="257" spans="1:10">
      <c r="A257" s="13">
        <v>44197</v>
      </c>
      <c r="B257" s="14">
        <f t="shared" si="6"/>
        <v>2021</v>
      </c>
      <c r="C257" s="14">
        <f t="shared" si="7"/>
        <v>1</v>
      </c>
      <c r="D257" s="15">
        <v>3491.8235483870985</v>
      </c>
      <c r="E257" s="15">
        <v>85.795709677419367</v>
      </c>
      <c r="F257" s="15">
        <v>5.3576032258064528</v>
      </c>
      <c r="G257" s="15">
        <v>723.211935483871</v>
      </c>
      <c r="H257" s="15">
        <v>3.6225193548387078</v>
      </c>
      <c r="I257" s="15">
        <v>19.956467741935487</v>
      </c>
      <c r="J257" s="15">
        <v>90.236857142857147</v>
      </c>
    </row>
    <row r="258" spans="1:10">
      <c r="A258" s="13">
        <v>44228</v>
      </c>
      <c r="B258" s="14">
        <f t="shared" si="6"/>
        <v>2021</v>
      </c>
      <c r="C258" s="14">
        <f t="shared" si="7"/>
        <v>2</v>
      </c>
      <c r="D258" s="15">
        <v>3558.37</v>
      </c>
      <c r="E258" s="15">
        <v>88.670428571428587</v>
      </c>
      <c r="F258" s="15">
        <v>5.4164428571428589</v>
      </c>
      <c r="G258" s="15">
        <v>722.09357142857129</v>
      </c>
      <c r="H258" s="15">
        <v>3.6441178571428585</v>
      </c>
      <c r="I258" s="15">
        <v>20.285857142857139</v>
      </c>
      <c r="J258" s="15">
        <v>90.628</v>
      </c>
    </row>
    <row r="259" spans="1:10">
      <c r="A259" s="13">
        <v>44256</v>
      </c>
      <c r="B259" s="14">
        <f t="shared" si="6"/>
        <v>2021</v>
      </c>
      <c r="C259" s="14">
        <f t="shared" si="7"/>
        <v>3</v>
      </c>
      <c r="D259" s="15">
        <v>3614.8580645161283</v>
      </c>
      <c r="E259" s="15">
        <v>91.019903225806445</v>
      </c>
      <c r="F259" s="15">
        <v>5.6396419354838692</v>
      </c>
      <c r="G259" s="15">
        <v>725.5654838709678</v>
      </c>
      <c r="H259" s="15">
        <v>3.7081451612903225</v>
      </c>
      <c r="I259" s="15">
        <v>20.756432258064525</v>
      </c>
      <c r="J259" s="15">
        <v>91.994173913043483</v>
      </c>
    </row>
    <row r="260" spans="1:10">
      <c r="A260" s="13">
        <v>44287</v>
      </c>
      <c r="B260" s="14">
        <f t="shared" si="6"/>
        <v>2021</v>
      </c>
      <c r="C260" s="14">
        <f t="shared" si="7"/>
        <v>4</v>
      </c>
      <c r="D260" s="15">
        <v>3651.4550000000004</v>
      </c>
      <c r="E260" s="15">
        <v>92.616266666666647</v>
      </c>
      <c r="F260" s="15">
        <v>5.578526666666666</v>
      </c>
      <c r="G260" s="15">
        <v>708.5336666666667</v>
      </c>
      <c r="H260" s="15">
        <v>3.696156666666667</v>
      </c>
      <c r="I260" s="15">
        <v>20.045643333333327</v>
      </c>
      <c r="J260" s="15">
        <v>91.618217391304356</v>
      </c>
    </row>
    <row r="261" spans="1:10">
      <c r="A261" s="13">
        <v>44317</v>
      </c>
      <c r="B261" s="14">
        <f t="shared" ref="B261:B279" si="8">+YEAR(A261)</f>
        <v>2021</v>
      </c>
      <c r="C261" s="14">
        <f t="shared" ref="C261:C279" si="9">+MONTH(A261)</f>
        <v>5</v>
      </c>
      <c r="D261" s="15">
        <v>3731.3216129032257</v>
      </c>
      <c r="E261" s="15">
        <v>94.002419354838722</v>
      </c>
      <c r="F261" s="15">
        <v>5.2993580645161291</v>
      </c>
      <c r="G261" s="15">
        <v>711.79</v>
      </c>
      <c r="H261" s="15">
        <v>3.7679516129032256</v>
      </c>
      <c r="I261" s="15">
        <v>19.958909677419356</v>
      </c>
      <c r="J261" s="15">
        <v>90.30247619047617</v>
      </c>
    </row>
    <row r="262" spans="1:10">
      <c r="A262" s="13">
        <v>44348</v>
      </c>
      <c r="B262" s="14">
        <f t="shared" si="8"/>
        <v>2021</v>
      </c>
      <c r="C262" s="14">
        <f t="shared" si="9"/>
        <v>6</v>
      </c>
      <c r="D262" s="15">
        <v>3689.8993333333333</v>
      </c>
      <c r="E262" s="15">
        <v>95.162900000000008</v>
      </c>
      <c r="F262" s="15">
        <v>5.0310366666666662</v>
      </c>
      <c r="G262" s="15">
        <v>728.66933333333316</v>
      </c>
      <c r="H262" s="15">
        <v>3.9046433333333326</v>
      </c>
      <c r="I262" s="15">
        <v>20.032080000000001</v>
      </c>
      <c r="J262" s="15">
        <v>91.043590909090881</v>
      </c>
    </row>
    <row r="263" spans="1:10">
      <c r="A263" s="13">
        <v>44378</v>
      </c>
      <c r="B263" s="14">
        <f t="shared" si="8"/>
        <v>2021</v>
      </c>
      <c r="C263" s="14">
        <f t="shared" si="9"/>
        <v>7</v>
      </c>
      <c r="D263" s="15">
        <v>3827.9174193548383</v>
      </c>
      <c r="E263" s="15">
        <v>96.173903225806455</v>
      </c>
      <c r="F263" s="15">
        <v>5.1632096774193545</v>
      </c>
      <c r="G263" s="15">
        <v>751.79451612903222</v>
      </c>
      <c r="H263" s="15">
        <v>3.9317903225806452</v>
      </c>
      <c r="I263" s="15">
        <v>19.933329032258065</v>
      </c>
      <c r="J263" s="15">
        <v>92.513590909090908</v>
      </c>
    </row>
    <row r="264" spans="1:10">
      <c r="A264" s="13">
        <v>44409</v>
      </c>
      <c r="B264" s="14">
        <f t="shared" si="8"/>
        <v>2021</v>
      </c>
      <c r="C264" s="14">
        <f t="shared" si="9"/>
        <v>8</v>
      </c>
      <c r="D264" s="15">
        <v>3877.4535483870959</v>
      </c>
      <c r="E264" s="15">
        <v>97.112580645161273</v>
      </c>
      <c r="F264" s="15">
        <v>5.2524483870967735</v>
      </c>
      <c r="G264" s="15">
        <v>780.38548387096773</v>
      </c>
      <c r="H264" s="15">
        <v>4.0769290322580645</v>
      </c>
      <c r="I264" s="15">
        <v>20.068651612903214</v>
      </c>
      <c r="J264" s="15">
        <v>92.79904545454545</v>
      </c>
    </row>
    <row r="265" spans="1:10">
      <c r="A265" s="13">
        <v>44440</v>
      </c>
      <c r="B265" s="14">
        <f t="shared" si="8"/>
        <v>2021</v>
      </c>
      <c r="C265" s="14">
        <f t="shared" si="9"/>
        <v>9</v>
      </c>
      <c r="D265" s="15">
        <v>3819.8306666666667</v>
      </c>
      <c r="E265" s="15">
        <v>98.153733333333363</v>
      </c>
      <c r="F265" s="15">
        <v>5.2731966666666654</v>
      </c>
      <c r="G265" s="15">
        <v>785.12133333333327</v>
      </c>
      <c r="H265" s="15">
        <v>4.0959733333333341</v>
      </c>
      <c r="I265" s="15">
        <v>20.021213333333328</v>
      </c>
      <c r="J265" s="15">
        <v>92.93669565217391</v>
      </c>
    </row>
    <row r="266" spans="1:10">
      <c r="A266" s="13">
        <v>44470</v>
      </c>
      <c r="B266" s="14">
        <f t="shared" si="8"/>
        <v>2021</v>
      </c>
      <c r="C266" s="14">
        <f t="shared" si="9"/>
        <v>10</v>
      </c>
      <c r="D266" s="15">
        <v>3766.0977419354831</v>
      </c>
      <c r="E266" s="15">
        <v>99.126161290322557</v>
      </c>
      <c r="F266" s="15">
        <v>5.5336354838709694</v>
      </c>
      <c r="G266" s="15">
        <v>814.3</v>
      </c>
      <c r="H266" s="15">
        <v>4.0097838709677429</v>
      </c>
      <c r="I266" s="15">
        <v>20.437112903225806</v>
      </c>
      <c r="J266" s="15">
        <v>93.944285714285712</v>
      </c>
    </row>
    <row r="267" spans="1:10">
      <c r="A267" s="13">
        <v>44501</v>
      </c>
      <c r="B267" s="14">
        <f t="shared" si="8"/>
        <v>2021</v>
      </c>
      <c r="C267" s="14">
        <f t="shared" si="9"/>
        <v>11</v>
      </c>
      <c r="D267" s="15">
        <v>3905.6343333333321</v>
      </c>
      <c r="E267" s="15">
        <v>100.26263333333331</v>
      </c>
      <c r="F267" s="15">
        <v>5.5568633333333306</v>
      </c>
      <c r="G267" s="15">
        <v>814.59266666666667</v>
      </c>
      <c r="H267" s="15">
        <v>4.0098366666666667</v>
      </c>
      <c r="I267" s="15">
        <v>20.873109999999997</v>
      </c>
      <c r="J267" s="15">
        <v>95.340772727272721</v>
      </c>
    </row>
    <row r="268" spans="1:10">
      <c r="A268" s="13">
        <v>44531</v>
      </c>
      <c r="B268" s="14">
        <f t="shared" si="8"/>
        <v>2021</v>
      </c>
      <c r="C268" s="14">
        <f t="shared" si="9"/>
        <v>12</v>
      </c>
      <c r="D268" s="15">
        <v>3969.1909677419367</v>
      </c>
      <c r="E268" s="15">
        <v>101.8064516129032</v>
      </c>
      <c r="F268" s="15">
        <v>5.6549677419354847</v>
      </c>
      <c r="G268" s="15">
        <v>848.8816129032258</v>
      </c>
      <c r="H268" s="15">
        <v>4.0337129032258066</v>
      </c>
      <c r="I268" s="15">
        <v>20.88004193548387</v>
      </c>
      <c r="J268" s="15">
        <v>96.199217391304344</v>
      </c>
    </row>
    <row r="269" spans="1:10">
      <c r="A269" s="13">
        <v>44562</v>
      </c>
      <c r="B269" s="14">
        <f t="shared" si="8"/>
        <v>2022</v>
      </c>
      <c r="C269" s="14">
        <f t="shared" si="9"/>
        <v>1</v>
      </c>
      <c r="D269" s="15">
        <v>3997.2403225806461</v>
      </c>
      <c r="E269" s="15">
        <v>103.89419354838709</v>
      </c>
      <c r="F269" s="15">
        <v>5.5221677419354842</v>
      </c>
      <c r="G269" s="15">
        <v>819.60645161290313</v>
      </c>
      <c r="H269" s="15">
        <v>3.8776096774193545</v>
      </c>
      <c r="I269" s="15">
        <v>20.486000000000008</v>
      </c>
      <c r="J269" s="15">
        <v>95.909545454545466</v>
      </c>
    </row>
    <row r="270" spans="1:10">
      <c r="A270" s="13">
        <v>44593</v>
      </c>
      <c r="B270" s="14">
        <f t="shared" si="8"/>
        <v>2022</v>
      </c>
      <c r="C270" s="14">
        <f t="shared" si="9"/>
        <v>2</v>
      </c>
      <c r="D270" s="15">
        <v>3930.8089285714277</v>
      </c>
      <c r="E270" s="15">
        <v>106.34964285714287</v>
      </c>
      <c r="F270" s="15">
        <v>5.2000107142857122</v>
      </c>
      <c r="G270" s="15">
        <v>807.4760714285718</v>
      </c>
      <c r="H270" s="15">
        <v>3.7788142857142857</v>
      </c>
      <c r="I270" s="15">
        <v>20.44195357142857</v>
      </c>
      <c r="J270" s="15">
        <v>96.000749999999996</v>
      </c>
    </row>
    <row r="271" spans="1:10">
      <c r="A271" s="13">
        <v>44621</v>
      </c>
      <c r="B271" s="14">
        <f t="shared" si="8"/>
        <v>2022</v>
      </c>
      <c r="C271" s="14">
        <f t="shared" si="9"/>
        <v>3</v>
      </c>
      <c r="D271" s="15">
        <v>3799.2993548387108</v>
      </c>
      <c r="E271" s="15">
        <v>109.32870967741937</v>
      </c>
      <c r="F271" s="15">
        <v>4.9714387096774191</v>
      </c>
      <c r="G271" s="15">
        <v>797.36677419354862</v>
      </c>
      <c r="H271" s="15">
        <v>3.7375161290322585</v>
      </c>
      <c r="I271" s="15">
        <v>20.532245161290319</v>
      </c>
      <c r="J271" s="15">
        <v>98.473565217391283</v>
      </c>
    </row>
    <row r="272" spans="1:10">
      <c r="A272" s="13">
        <v>44652</v>
      </c>
      <c r="B272" s="14">
        <f t="shared" si="8"/>
        <v>2022</v>
      </c>
      <c r="C272" s="14">
        <f t="shared" si="9"/>
        <v>4</v>
      </c>
      <c r="D272" s="15">
        <v>3792.5613333333322</v>
      </c>
      <c r="E272" s="15">
        <v>113.152</v>
      </c>
      <c r="F272" s="15">
        <v>4.743216666666668</v>
      </c>
      <c r="G272" s="15">
        <v>817.31500000000017</v>
      </c>
      <c r="H272" s="15">
        <v>3.7328066666666646</v>
      </c>
      <c r="I272" s="15">
        <v>20.059310000000004</v>
      </c>
      <c r="J272" s="15">
        <v>100.69104761904762</v>
      </c>
    </row>
    <row r="273" spans="1:10">
      <c r="A273" s="13">
        <v>44682</v>
      </c>
      <c r="B273" s="14">
        <f t="shared" si="8"/>
        <v>2022</v>
      </c>
      <c r="C273" s="14">
        <f t="shared" si="9"/>
        <v>5</v>
      </c>
      <c r="D273" s="15">
        <v>4003.7635483870959</v>
      </c>
      <c r="E273" s="15">
        <v>117.76419354838714</v>
      </c>
      <c r="F273" s="15">
        <v>4.9475516129032258</v>
      </c>
      <c r="G273" s="15">
        <v>846.70161290322619</v>
      </c>
      <c r="H273" s="15">
        <v>3.7510096774193551</v>
      </c>
      <c r="I273" s="15">
        <v>19.999261290322586</v>
      </c>
      <c r="J273" s="15">
        <v>103.09890909090909</v>
      </c>
    </row>
    <row r="274" spans="1:10">
      <c r="A274" s="13">
        <v>44713</v>
      </c>
      <c r="B274" s="14">
        <f t="shared" si="8"/>
        <v>2022</v>
      </c>
      <c r="C274" s="14">
        <f t="shared" si="9"/>
        <v>6</v>
      </c>
      <c r="D274" s="15">
        <v>3937.2700000000013</v>
      </c>
      <c r="E274" s="15">
        <v>122.64066666666663</v>
      </c>
      <c r="F274" s="15">
        <v>5.0523466666666668</v>
      </c>
      <c r="G274" s="15">
        <v>864.71666666666658</v>
      </c>
      <c r="H274" s="15">
        <v>3.7365100000000004</v>
      </c>
      <c r="I274" s="15">
        <v>19.966049999999996</v>
      </c>
      <c r="J274" s="15">
        <v>103.88177272727272</v>
      </c>
    </row>
    <row r="275" spans="1:10">
      <c r="A275" s="13">
        <v>44743</v>
      </c>
      <c r="B275" s="14">
        <f t="shared" si="8"/>
        <v>2022</v>
      </c>
      <c r="C275" s="14">
        <f t="shared" si="9"/>
        <v>7</v>
      </c>
      <c r="D275" s="15">
        <v>4369.4312903225818</v>
      </c>
      <c r="E275" s="15">
        <v>128.36903225806452</v>
      </c>
      <c r="F275" s="15">
        <v>5.3566322580645149</v>
      </c>
      <c r="G275" s="15">
        <v>949.99032258064517</v>
      </c>
      <c r="H275" s="15">
        <v>3.8922483870967746</v>
      </c>
      <c r="I275" s="15">
        <v>20.483274193548386</v>
      </c>
      <c r="J275" s="15">
        <v>106.94490476190478</v>
      </c>
    </row>
    <row r="276" spans="1:10">
      <c r="A276" s="13">
        <v>44774</v>
      </c>
      <c r="B276" s="14">
        <f t="shared" si="8"/>
        <v>2022</v>
      </c>
      <c r="C276" s="14">
        <f t="shared" si="9"/>
        <v>8</v>
      </c>
      <c r="D276" s="15">
        <v>4320.5887096774177</v>
      </c>
      <c r="E276" s="15">
        <v>135.26741935483872</v>
      </c>
      <c r="F276" s="15">
        <v>5.136761290322581</v>
      </c>
      <c r="G276" s="15">
        <v>903.41935483870964</v>
      </c>
      <c r="H276" s="15">
        <v>3.8601903225806447</v>
      </c>
      <c r="I276" s="15">
        <v>20.113961290322575</v>
      </c>
      <c r="J276" s="15">
        <v>107.14947826086957</v>
      </c>
    </row>
    <row r="277" spans="1:10">
      <c r="A277" s="13">
        <v>44805</v>
      </c>
      <c r="B277" s="14">
        <f t="shared" si="8"/>
        <v>2022</v>
      </c>
      <c r="C277" s="14">
        <f t="shared" si="9"/>
        <v>9</v>
      </c>
      <c r="D277" s="15">
        <v>4436.6216666666678</v>
      </c>
      <c r="E277" s="15">
        <v>143.12733333333335</v>
      </c>
      <c r="F277" s="15">
        <v>5.2279466666666679</v>
      </c>
      <c r="G277" s="15">
        <v>923.44466666666654</v>
      </c>
      <c r="H277" s="15">
        <v>3.8847533333333337</v>
      </c>
      <c r="I277" s="15">
        <v>20.037339999999997</v>
      </c>
      <c r="J277" s="15">
        <v>110.702</v>
      </c>
    </row>
    <row r="278" spans="1:10">
      <c r="A278" s="13">
        <v>44835</v>
      </c>
      <c r="B278" s="14">
        <f t="shared" si="8"/>
        <v>2022</v>
      </c>
      <c r="C278" s="14">
        <f t="shared" si="9"/>
        <v>10</v>
      </c>
      <c r="D278" s="15">
        <v>4729.8438709677421</v>
      </c>
      <c r="E278" s="15">
        <v>152.03645161290325</v>
      </c>
      <c r="F278" s="15">
        <v>5.2615419354838719</v>
      </c>
      <c r="G278" s="15">
        <v>953.30806451612864</v>
      </c>
      <c r="H278" s="15">
        <v>3.9640967741935493</v>
      </c>
      <c r="I278" s="15">
        <v>19.974796774193557</v>
      </c>
      <c r="J278" s="15">
        <v>111.94509523809525</v>
      </c>
    </row>
    <row r="279" spans="1:10">
      <c r="A279" s="13">
        <v>44866</v>
      </c>
      <c r="B279" s="14">
        <f t="shared" si="8"/>
        <v>2022</v>
      </c>
      <c r="C279" s="14">
        <f t="shared" si="9"/>
        <v>11</v>
      </c>
      <c r="D279" s="15">
        <v>4923.0966666666673</v>
      </c>
      <c r="E279" s="15">
        <v>162.089</v>
      </c>
      <c r="F279" s="15">
        <v>5.2807333333333322</v>
      </c>
      <c r="G279" s="15">
        <v>916.17200000000003</v>
      </c>
      <c r="H279" s="15">
        <v>3.8609100000000001</v>
      </c>
      <c r="I279" s="15">
        <v>19.433899999999998</v>
      </c>
      <c r="J279" s="15">
        <v>108.0349090909091</v>
      </c>
    </row>
    <row r="280" spans="1:10">
      <c r="A280" s="13">
        <v>44896</v>
      </c>
      <c r="B280" s="14">
        <f t="shared" ref="B280:B286" si="10">+YEAR(A280)</f>
        <v>2022</v>
      </c>
      <c r="C280" s="14">
        <f t="shared" ref="C280:C286" si="11">+MONTH(A280)</f>
        <v>12</v>
      </c>
      <c r="D280" s="15">
        <v>4785.4841935483873</v>
      </c>
      <c r="E280" s="15">
        <v>172.38870967741937</v>
      </c>
      <c r="F280" s="15">
        <v>5.2467870967741934</v>
      </c>
      <c r="G280" s="15">
        <v>872.29612903225802</v>
      </c>
      <c r="H280" s="15">
        <v>3.8150612903225798</v>
      </c>
      <c r="I280" s="15">
        <v>19.571309677419354</v>
      </c>
      <c r="J280" s="15">
        <v>104.49422727272727</v>
      </c>
    </row>
    <row r="281" spans="1:10">
      <c r="A281" s="13">
        <v>44927</v>
      </c>
      <c r="B281" s="14">
        <f t="shared" si="10"/>
        <v>2023</v>
      </c>
      <c r="C281" s="14">
        <f t="shared" si="11"/>
        <v>1</v>
      </c>
      <c r="D281" s="15">
        <v>4702.2364516129019</v>
      </c>
      <c r="E281" s="15">
        <v>182.07806451612902</v>
      </c>
      <c r="F281" s="15">
        <v>5.1880290322580658</v>
      </c>
      <c r="G281" s="15">
        <v>822.54322580645169</v>
      </c>
      <c r="H281" s="15">
        <v>3.8157387096774196</v>
      </c>
      <c r="I281" s="15">
        <v>18.948345161290327</v>
      </c>
      <c r="J281" s="15">
        <v>102.77784782608695</v>
      </c>
    </row>
    <row r="282" spans="1:10">
      <c r="A282" s="13">
        <v>44958</v>
      </c>
      <c r="B282" s="14">
        <f t="shared" si="10"/>
        <v>2023</v>
      </c>
      <c r="C282" s="14">
        <f t="shared" si="11"/>
        <v>2</v>
      </c>
      <c r="D282" s="15">
        <v>4802.9971428571416</v>
      </c>
      <c r="E282" s="15">
        <v>191.9303571428571</v>
      </c>
      <c r="F282" s="15">
        <v>5.1799321428571421</v>
      </c>
      <c r="G282" s="15">
        <v>800.67571428571443</v>
      </c>
      <c r="H282" s="15">
        <v>3.8207642857142861</v>
      </c>
      <c r="I282" s="15">
        <v>18.583071428571433</v>
      </c>
      <c r="J282" s="15">
        <v>103.67828571428572</v>
      </c>
    </row>
    <row r="283" spans="1:10">
      <c r="A283" s="13">
        <v>44986</v>
      </c>
      <c r="B283" s="14">
        <f t="shared" si="10"/>
        <v>2023</v>
      </c>
      <c r="C283" s="14">
        <f t="shared" si="11"/>
        <v>3</v>
      </c>
      <c r="D283" s="15">
        <v>4756.2451612903214</v>
      </c>
      <c r="E283" s="15">
        <v>202.84677419354836</v>
      </c>
      <c r="F283" s="15">
        <v>5.2106548387096767</v>
      </c>
      <c r="G283" s="15">
        <v>807.78225806451621</v>
      </c>
      <c r="H283" s="15">
        <v>3.7660225806451613</v>
      </c>
      <c r="I283" s="15">
        <v>18.393258064516125</v>
      </c>
      <c r="J283" s="15">
        <v>103.73862499999997</v>
      </c>
    </row>
    <row r="284" spans="1:10">
      <c r="A284" s="13">
        <v>45017</v>
      </c>
      <c r="B284" s="14">
        <f t="shared" si="10"/>
        <v>2023</v>
      </c>
      <c r="C284" s="14">
        <f t="shared" si="11"/>
        <v>4</v>
      </c>
      <c r="D284" s="15">
        <v>4545.9769999999999</v>
      </c>
      <c r="E284" s="15">
        <v>215.77400000000003</v>
      </c>
      <c r="F284" s="15">
        <v>5.0140066666666678</v>
      </c>
      <c r="G284" s="15">
        <v>804.8430000000003</v>
      </c>
      <c r="H284" s="15">
        <v>3.7463166666666683</v>
      </c>
      <c r="I284" s="15">
        <v>18.051463333333338</v>
      </c>
      <c r="J284" s="15">
        <v>101.78040000000001</v>
      </c>
    </row>
    <row r="285" spans="1:10">
      <c r="A285" s="13">
        <v>45047</v>
      </c>
      <c r="B285" s="14">
        <f t="shared" si="10"/>
        <v>2023</v>
      </c>
      <c r="C285" s="14">
        <f t="shared" si="11"/>
        <v>5</v>
      </c>
      <c r="D285" s="15">
        <v>4525.9548387096766</v>
      </c>
      <c r="E285" s="15">
        <v>231.14000000000001</v>
      </c>
      <c r="F285" s="15">
        <v>4.9755999999999982</v>
      </c>
      <c r="G285" s="15">
        <v>796.94967741935488</v>
      </c>
      <c r="H285" s="15">
        <v>3.6732806451612907</v>
      </c>
      <c r="I285" s="15">
        <v>17.712174193548393</v>
      </c>
      <c r="J285" s="15">
        <v>102.77000000000002</v>
      </c>
    </row>
    <row r="286" spans="1:10">
      <c r="A286" s="13">
        <v>45078</v>
      </c>
      <c r="B286" s="14">
        <f t="shared" si="10"/>
        <v>2023</v>
      </c>
      <c r="C286" s="14">
        <f t="shared" si="11"/>
        <v>6</v>
      </c>
      <c r="D286" s="15">
        <v>4199.9693333333325</v>
      </c>
      <c r="E286" s="15">
        <v>248.3176666666667</v>
      </c>
      <c r="F286" s="15">
        <v>4.8515733333333344</v>
      </c>
      <c r="G286" s="15">
        <v>798.32833333333326</v>
      </c>
      <c r="H286" s="15">
        <v>3.632216666666666</v>
      </c>
      <c r="I286" s="15">
        <v>17.23222333333333</v>
      </c>
      <c r="J286" s="15">
        <v>103.04378260869565</v>
      </c>
    </row>
    <row r="287" spans="1:10">
      <c r="A287" s="13">
        <v>45108</v>
      </c>
      <c r="B287" s="14">
        <f t="shared" ref="B287:B292" si="12">+YEAR(A287)</f>
        <v>2023</v>
      </c>
      <c r="C287" s="14">
        <f t="shared" ref="C287:C292" si="13">+MONTH(A287)</f>
        <v>7</v>
      </c>
      <c r="D287" s="15">
        <v>4048.5754838709672</v>
      </c>
      <c r="E287" s="15">
        <v>265.9722580645161</v>
      </c>
      <c r="F287" s="15">
        <v>4.798838709677419</v>
      </c>
      <c r="G287" s="15">
        <v>814.94935483870972</v>
      </c>
      <c r="H287" s="15">
        <v>3.5870774193548378</v>
      </c>
      <c r="I287" s="15">
        <v>16.907193548387095</v>
      </c>
      <c r="J287" s="15">
        <v>101.40315238095238</v>
      </c>
    </row>
    <row r="288" spans="1:10">
      <c r="A288" s="13">
        <v>45139</v>
      </c>
      <c r="B288" s="14">
        <f t="shared" si="12"/>
        <v>2023</v>
      </c>
      <c r="C288" s="14">
        <f t="shared" si="13"/>
        <v>8</v>
      </c>
      <c r="D288" s="15">
        <v>4070.3077419354836</v>
      </c>
      <c r="E288" s="15">
        <v>321.56161290322586</v>
      </c>
      <c r="F288" s="15">
        <v>4.9065677419354836</v>
      </c>
      <c r="G288" s="15">
        <v>856.46451612903195</v>
      </c>
      <c r="H288" s="15">
        <v>3.6813193548387098</v>
      </c>
      <c r="I288" s="15">
        <v>16.973861290322589</v>
      </c>
      <c r="J288" s="15">
        <v>103.10286956521743</v>
      </c>
    </row>
    <row r="289" spans="1:10">
      <c r="A289" s="13">
        <v>45170</v>
      </c>
      <c r="B289" s="14">
        <f t="shared" si="12"/>
        <v>2023</v>
      </c>
      <c r="C289" s="14">
        <f t="shared" si="13"/>
        <v>9</v>
      </c>
      <c r="D289" s="15">
        <v>4006.5233333333335</v>
      </c>
      <c r="E289" s="15">
        <v>349.91666666666669</v>
      </c>
      <c r="F289" s="15">
        <v>4.9454199999999995</v>
      </c>
      <c r="G289" s="15">
        <v>885.02233333333368</v>
      </c>
      <c r="H289" s="15">
        <v>3.7153866666666655</v>
      </c>
      <c r="I289" s="15">
        <v>17.286586666666668</v>
      </c>
      <c r="J289" s="15">
        <v>105.29150000000003</v>
      </c>
    </row>
    <row r="290" spans="1:10">
      <c r="A290" s="13">
        <v>45200</v>
      </c>
      <c r="B290" s="14">
        <f t="shared" si="12"/>
        <v>2023</v>
      </c>
      <c r="C290" s="14">
        <f t="shared" si="13"/>
        <v>10</v>
      </c>
      <c r="D290" s="15">
        <v>4214.4264516129033</v>
      </c>
      <c r="E290" s="15">
        <v>349.91709677419362</v>
      </c>
      <c r="F290" s="15">
        <v>5.0628290322580636</v>
      </c>
      <c r="G290" s="15">
        <v>925.11774193548399</v>
      </c>
      <c r="H290" s="15">
        <v>3.8309903225806456</v>
      </c>
      <c r="I290" s="15">
        <v>18.073648387096775</v>
      </c>
      <c r="J290" s="15">
        <v>106.35481818181819</v>
      </c>
    </row>
    <row r="291" spans="1:10">
      <c r="A291" s="13">
        <v>45231</v>
      </c>
      <c r="B291" s="14">
        <f t="shared" si="12"/>
        <v>2023</v>
      </c>
      <c r="C291" s="14">
        <f t="shared" si="13"/>
        <v>11</v>
      </c>
      <c r="D291" s="15">
        <v>4026.9916666666668</v>
      </c>
      <c r="E291" s="15">
        <v>353.36133333333333</v>
      </c>
      <c r="F291" s="15">
        <v>4.8998066666666658</v>
      </c>
      <c r="G291" s="15">
        <v>884.46899999999994</v>
      </c>
      <c r="H291" s="15">
        <v>3.7472166666666666</v>
      </c>
      <c r="I291" s="15">
        <v>17.361573333333332</v>
      </c>
      <c r="J291" s="15">
        <v>104.4906818181818</v>
      </c>
    </row>
    <row r="292" spans="1:10">
      <c r="A292" s="13">
        <v>45261</v>
      </c>
      <c r="B292" s="14">
        <f t="shared" si="12"/>
        <v>2023</v>
      </c>
      <c r="C292" s="14">
        <f t="shared" si="13"/>
        <v>12</v>
      </c>
      <c r="D292" s="15">
        <v>3937.1467741935476</v>
      </c>
      <c r="E292" s="15">
        <v>633.6135483870969</v>
      </c>
      <c r="F292" s="15">
        <v>4.8941645161290328</v>
      </c>
      <c r="G292" s="15">
        <v>874.92741935483889</v>
      </c>
      <c r="H292" s="15">
        <v>3.7160774193548378</v>
      </c>
      <c r="I292" s="15">
        <v>17.152625806451613</v>
      </c>
      <c r="J292" s="15">
        <v>102.64085714285714</v>
      </c>
    </row>
    <row r="293" spans="1:10">
      <c r="A293" s="13">
        <v>45292</v>
      </c>
      <c r="B293" s="14">
        <f t="shared" ref="B293:B297" si="14">+YEAR(A293)</f>
        <v>2024</v>
      </c>
      <c r="C293" s="14">
        <f t="shared" ref="C293:C297" si="15">+MONTH(A293)</f>
        <v>1</v>
      </c>
      <c r="D293" s="15">
        <v>3912.4758064516141</v>
      </c>
      <c r="E293" s="15">
        <v>817.85387096774218</v>
      </c>
      <c r="F293" s="15">
        <v>4.9082096774193547</v>
      </c>
      <c r="G293" s="15">
        <v>908.8335483870967</v>
      </c>
      <c r="H293" s="15">
        <v>3.7238032258064506</v>
      </c>
      <c r="I293" s="15">
        <v>17.044132258064515</v>
      </c>
      <c r="J293" s="15">
        <v>102.87839130434783</v>
      </c>
    </row>
    <row r="294" spans="1:10">
      <c r="A294" s="13">
        <v>45323</v>
      </c>
      <c r="B294" s="14">
        <f t="shared" si="14"/>
        <v>2024</v>
      </c>
      <c r="C294" s="14">
        <f t="shared" si="15"/>
        <v>2</v>
      </c>
      <c r="D294" s="15">
        <v>3928.7420689655178</v>
      </c>
      <c r="E294" s="15">
        <v>834.13379310344828</v>
      </c>
      <c r="F294" s="15">
        <v>4.9640448275862061</v>
      </c>
      <c r="G294" s="15">
        <v>965.4224137931036</v>
      </c>
      <c r="H294" s="15">
        <v>3.8128931034482751</v>
      </c>
      <c r="I294" s="15">
        <v>17.079286206896551</v>
      </c>
      <c r="J294" s="15">
        <v>104.12568181818182</v>
      </c>
    </row>
    <row r="295" spans="1:10">
      <c r="A295" s="13">
        <v>45352</v>
      </c>
      <c r="B295" s="14">
        <f t="shared" si="14"/>
        <v>2024</v>
      </c>
      <c r="C295" s="14">
        <f t="shared" si="15"/>
        <v>3</v>
      </c>
      <c r="D295" s="15">
        <v>3894.8322580645158</v>
      </c>
      <c r="E295" s="15">
        <v>850.6600000000002</v>
      </c>
      <c r="F295" s="15">
        <v>4.9833451612903232</v>
      </c>
      <c r="G295" s="15">
        <v>966.83032258064543</v>
      </c>
      <c r="H295" s="15">
        <v>3.7004806451612904</v>
      </c>
      <c r="I295" s="15">
        <v>16.757080645161292</v>
      </c>
      <c r="J295" s="15">
        <v>103.67114285714281</v>
      </c>
    </row>
    <row r="296" spans="1:10">
      <c r="A296" s="13">
        <v>45383</v>
      </c>
      <c r="B296" s="14">
        <f t="shared" si="14"/>
        <v>2024</v>
      </c>
      <c r="C296" s="14">
        <f t="shared" si="15"/>
        <v>4</v>
      </c>
      <c r="D296" s="15">
        <v>3860.3366666666657</v>
      </c>
      <c r="E296" s="15">
        <v>867.85</v>
      </c>
      <c r="F296" s="15">
        <v>5.1259700000000006</v>
      </c>
      <c r="G296" s="15">
        <v>956.76966666666658</v>
      </c>
      <c r="H296" s="15">
        <v>3.6993400000000007</v>
      </c>
      <c r="I296" s="15">
        <v>16.798569999999998</v>
      </c>
      <c r="J296" s="15">
        <v>105.41009090909093</v>
      </c>
    </row>
    <row r="297" spans="1:10">
      <c r="A297" s="13">
        <v>45413</v>
      </c>
      <c r="B297" s="14">
        <f t="shared" si="14"/>
        <v>2024</v>
      </c>
      <c r="C297" s="14">
        <f t="shared" si="15"/>
        <v>5</v>
      </c>
      <c r="D297" s="15">
        <v>3865.7451612903219</v>
      </c>
      <c r="E297" s="15">
        <v>885.77225806451622</v>
      </c>
      <c r="F297" s="15">
        <v>5.1364967741935477</v>
      </c>
      <c r="G297" s="15">
        <v>915.40935483870999</v>
      </c>
      <c r="H297" s="15">
        <v>3.7189483870967743</v>
      </c>
      <c r="I297" s="15">
        <v>16.780383870967743</v>
      </c>
      <c r="J297" s="15">
        <v>104.94739130434782</v>
      </c>
    </row>
    <row r="298" spans="1:10">
      <c r="A298" s="13">
        <v>45414</v>
      </c>
      <c r="B298" s="14">
        <f t="shared" ref="B298:B303" si="16">+YEAR(A298)</f>
        <v>2024</v>
      </c>
      <c r="C298" s="14">
        <f t="shared" ref="C298:C303" si="17">+MONTH(A298)</f>
        <v>5</v>
      </c>
      <c r="D298" s="15">
        <v>4053.8146666666662</v>
      </c>
      <c r="E298" s="15">
        <v>903.31966666666676</v>
      </c>
      <c r="F298" s="15">
        <v>5.3968366666666663</v>
      </c>
      <c r="G298" s="15">
        <v>928.5873333333335</v>
      </c>
      <c r="H298" s="15">
        <v>3.7685766666666658</v>
      </c>
      <c r="I298" s="15">
        <v>18.168740000000003</v>
      </c>
    </row>
    <row r="299" spans="1:10">
      <c r="A299" s="13">
        <v>45415</v>
      </c>
      <c r="B299" s="14">
        <f t="shared" si="16"/>
        <v>2024</v>
      </c>
      <c r="C299" s="14">
        <f t="shared" si="17"/>
        <v>5</v>
      </c>
      <c r="D299" s="15">
        <v>4028.2254838709687</v>
      </c>
      <c r="E299" s="15">
        <v>921.87096774193549</v>
      </c>
      <c r="F299" s="15">
        <v>5.5413935483870986</v>
      </c>
      <c r="G299" s="15">
        <v>935.56483870967747</v>
      </c>
      <c r="H299" s="15">
        <v>3.7438870967741935</v>
      </c>
      <c r="I299" s="15">
        <v>18.088341935483871</v>
      </c>
    </row>
    <row r="300" spans="1:10">
      <c r="A300" s="13">
        <v>45416</v>
      </c>
      <c r="B300" s="14">
        <f t="shared" si="16"/>
        <v>2024</v>
      </c>
      <c r="C300" s="14">
        <f t="shared" si="17"/>
        <v>5</v>
      </c>
      <c r="D300" s="15">
        <v>4070.9322580645171</v>
      </c>
      <c r="E300" s="15">
        <v>940.98387096774195</v>
      </c>
      <c r="F300" s="15">
        <v>5.5543451612903212</v>
      </c>
      <c r="G300" s="15">
        <v>928.60483870967744</v>
      </c>
      <c r="H300" s="15">
        <v>3.7229258064516126</v>
      </c>
      <c r="I300" s="15">
        <v>19.127174193548392</v>
      </c>
    </row>
    <row r="301" spans="1:10">
      <c r="A301" s="13">
        <v>45417</v>
      </c>
      <c r="B301" s="14">
        <f t="shared" si="16"/>
        <v>2024</v>
      </c>
      <c r="C301" s="14">
        <f t="shared" si="17"/>
        <v>5</v>
      </c>
      <c r="D301" s="15">
        <v>4185.1496666666681</v>
      </c>
      <c r="E301" s="15">
        <v>960.06666666666672</v>
      </c>
      <c r="F301" s="15">
        <v>5.5390666666666659</v>
      </c>
      <c r="G301" s="15">
        <v>925.42366666666703</v>
      </c>
      <c r="H301" s="15">
        <v>3.7517</v>
      </c>
      <c r="I301" s="15">
        <v>19.588836666666669</v>
      </c>
    </row>
    <row r="302" spans="1:10">
      <c r="A302" s="13">
        <v>45418</v>
      </c>
      <c r="B302" s="14">
        <f t="shared" si="16"/>
        <v>2024</v>
      </c>
      <c r="C302" s="14">
        <f t="shared" si="17"/>
        <v>5</v>
      </c>
      <c r="D302" s="15">
        <v>4258.5080645161279</v>
      </c>
      <c r="E302" s="15">
        <v>978.99096774193549</v>
      </c>
      <c r="F302" s="15">
        <v>5.621703225806451</v>
      </c>
      <c r="G302" s="15">
        <v>937.91387096774201</v>
      </c>
      <c r="H302" s="15">
        <v>3.7506064516129043</v>
      </c>
      <c r="I302" s="15">
        <v>19.655161290322585</v>
      </c>
    </row>
    <row r="303" spans="1:10">
      <c r="A303" s="13">
        <v>45419</v>
      </c>
      <c r="B303" s="14">
        <f t="shared" si="16"/>
        <v>2024</v>
      </c>
      <c r="C303" s="14">
        <f t="shared" si="17"/>
        <v>5</v>
      </c>
      <c r="D303" s="15">
        <v>4406.2029999999995</v>
      </c>
      <c r="E303" s="15">
        <v>999.17399999999986</v>
      </c>
      <c r="F303" s="15">
        <v>5.8075833333333353</v>
      </c>
      <c r="G303" s="15">
        <v>972.43299999999988</v>
      </c>
      <c r="H303" s="15">
        <v>3.7760300000000004</v>
      </c>
      <c r="I303" s="15">
        <v>20.295509999999997</v>
      </c>
    </row>
    <row r="304" spans="1:10">
      <c r="D304" s="15">
        <v>4383.3867741935483</v>
      </c>
      <c r="E304" s="15">
        <v>1019.7741935483871</v>
      </c>
      <c r="F304" s="15">
        <v>6.1046483870967734</v>
      </c>
      <c r="G304" s="15">
        <v>983.32193548387079</v>
      </c>
      <c r="H304" s="15">
        <v>3.7310935483870966</v>
      </c>
      <c r="I304" s="15">
        <v>20.235141935483867</v>
      </c>
    </row>
    <row r="305" spans="4:9">
      <c r="D305" s="15">
        <v>4289.1512903225803</v>
      </c>
      <c r="E305" s="15">
        <v>1040.9387096774194</v>
      </c>
      <c r="F305" s="15">
        <v>6.0304354838709671</v>
      </c>
      <c r="G305" s="15">
        <v>999.642258064516</v>
      </c>
      <c r="H305" s="15">
        <v>3.7465677419354839</v>
      </c>
      <c r="I305" s="15">
        <v>20.562287096774195</v>
      </c>
    </row>
    <row r="306" spans="4:9">
      <c r="D306" s="15">
        <v>4129.2803571428567</v>
      </c>
      <c r="E306" s="15">
        <v>1056.5374999999999</v>
      </c>
      <c r="F306" s="15">
        <v>5.7672749999999997</v>
      </c>
      <c r="G306" s="15">
        <v>954.11821428571443</v>
      </c>
      <c r="H306" s="15">
        <v>3.698607142857143</v>
      </c>
      <c r="I306" s="15">
        <v>20.450150000000004</v>
      </c>
    </row>
    <row r="307" spans="4:9">
      <c r="D307" s="15">
        <v>4137.6341935483879</v>
      </c>
      <c r="E307" s="15">
        <v>1067.067741935484</v>
      </c>
      <c r="F307" s="15">
        <v>5.7640129032258072</v>
      </c>
      <c r="G307" s="15">
        <v>934.09451612903217</v>
      </c>
      <c r="H307" s="15">
        <v>3.6518612903225804</v>
      </c>
      <c r="I307" s="15">
        <v>20.225803225806452</v>
      </c>
    </row>
    <row r="308" spans="4:9">
      <c r="D308" s="15">
        <v>4272.1953333333331</v>
      </c>
      <c r="E308" s="15">
        <v>1119.2383333333335</v>
      </c>
      <c r="F308" s="15">
        <v>5.7826866666666685</v>
      </c>
      <c r="G308" s="15">
        <v>961.2890000000001</v>
      </c>
      <c r="H308" s="15">
        <v>3.6987866666666682</v>
      </c>
      <c r="I308" s="15">
        <v>19.983240000000002</v>
      </c>
    </row>
    <row r="309" spans="4:9">
      <c r="D309" s="15">
        <v>4196.9193548387102</v>
      </c>
      <c r="E309" s="15">
        <v>1149.1935483870968</v>
      </c>
      <c r="F309" s="15">
        <v>5.6688064516129026</v>
      </c>
      <c r="G309" s="15">
        <v>940.96870967741916</v>
      </c>
      <c r="H309" s="15">
        <v>3.6564516129032256</v>
      </c>
      <c r="I309" s="15">
        <v>19.42634838709678</v>
      </c>
    </row>
    <row r="310" spans="4:9">
      <c r="D310" s="15">
        <v>4105.01</v>
      </c>
      <c r="E310" s="15">
        <v>1179.6113333333333</v>
      </c>
      <c r="F310" s="15">
        <v>5.5407866666666665</v>
      </c>
      <c r="G310" s="15">
        <v>937.35700000000043</v>
      </c>
      <c r="H310" s="15">
        <v>3.6017333333333337</v>
      </c>
      <c r="I310" s="15">
        <v>19.022449999999999</v>
      </c>
    </row>
    <row r="311" spans="4:9">
      <c r="D311" s="15">
        <v>4049.0483870967746</v>
      </c>
      <c r="E311" s="15">
        <v>1267.4206451612904</v>
      </c>
      <c r="F311" s="15">
        <v>5.5307677419354837</v>
      </c>
      <c r="G311" s="15">
        <v>953.27548387096772</v>
      </c>
      <c r="H311" s="15">
        <v>3.5537741935483869</v>
      </c>
      <c r="I311" s="15">
        <v>18.667232258064512</v>
      </c>
    </row>
    <row r="312" spans="4:9">
      <c r="D312" s="15">
        <v>4039.8380645161287</v>
      </c>
      <c r="E312" s="15">
        <v>1327.016129032258</v>
      </c>
      <c r="F312" s="15">
        <v>5.4445419354838709</v>
      </c>
      <c r="G312" s="15">
        <v>964.77709677419375</v>
      </c>
      <c r="H312" s="15">
        <v>3.5410870967741919</v>
      </c>
      <c r="I312" s="15">
        <v>18.685712903225809</v>
      </c>
    </row>
    <row r="313" spans="4:9">
      <c r="D313" s="15">
        <v>3914.217333333333</v>
      </c>
      <c r="E313" s="15">
        <v>1402.3166666666666</v>
      </c>
      <c r="F313" s="15">
        <v>5.3648233333333328</v>
      </c>
      <c r="G313" s="15">
        <v>959.10499999999979</v>
      </c>
      <c r="H313" s="15">
        <v>3.4989400000000006</v>
      </c>
      <c r="I313" s="15">
        <v>18.470160000000003</v>
      </c>
    </row>
    <row r="314" spans="4:9">
      <c r="D314" s="15">
        <v>3877.3393548387098</v>
      </c>
      <c r="E314" s="15">
        <v>1436.4673064516128</v>
      </c>
      <c r="F314" s="15">
        <v>5.3948645161290321</v>
      </c>
      <c r="G314" s="15">
        <v>953.076129032258</v>
      </c>
      <c r="H314" s="15">
        <v>3.4122967741935484</v>
      </c>
      <c r="I314" s="15">
        <v>18.428909677419352</v>
      </c>
    </row>
    <row r="315" spans="4:9">
      <c r="D315" s="15">
        <v>3782.6872222222219</v>
      </c>
      <c r="E315" s="15">
        <v>1421.8588888888889</v>
      </c>
      <c r="F315" s="15">
        <v>5.3278833333333333</v>
      </c>
      <c r="G315" s="15">
        <v>935.57388888888897</v>
      </c>
      <c r="H315" s="15">
        <v>3.3685944444444451</v>
      </c>
      <c r="I315" s="15">
        <v>18.429338888888893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5D11D-7DB5-43A8-9CDC-4E816797CC00}">
  <dimension ref="A1:AB253"/>
  <sheetViews>
    <sheetView showGridLines="0" workbookViewId="0">
      <pane xSplit="1" ySplit="4" topLeftCell="B203" activePane="bottomRight" state="frozen"/>
      <selection activeCell="G394" sqref="G394"/>
      <selection pane="topRight" activeCell="G394" sqref="G394"/>
      <selection pane="bottomLeft" activeCell="G394" sqref="G394"/>
      <selection pane="bottomRight" activeCell="A253" sqref="A253"/>
    </sheetView>
  </sheetViews>
  <sheetFormatPr baseColWidth="10" defaultRowHeight="14.5"/>
  <sheetData>
    <row r="1" spans="1:28">
      <c r="A1" s="5" t="s">
        <v>19</v>
      </c>
      <c r="B1" s="19" t="s">
        <v>73</v>
      </c>
    </row>
    <row r="3" spans="1:28">
      <c r="A3" s="6" t="s">
        <v>58</v>
      </c>
      <c r="P3" s="6" t="s">
        <v>59</v>
      </c>
    </row>
    <row r="4" spans="1:28" ht="21">
      <c r="A4" s="16" t="s">
        <v>17</v>
      </c>
      <c r="B4" s="16" t="s">
        <v>60</v>
      </c>
      <c r="C4" s="16" t="s">
        <v>61</v>
      </c>
      <c r="D4" s="16" t="s">
        <v>62</v>
      </c>
      <c r="E4" s="16" t="s">
        <v>63</v>
      </c>
      <c r="F4" s="16" t="s">
        <v>64</v>
      </c>
      <c r="G4" s="16" t="s">
        <v>65</v>
      </c>
      <c r="H4" s="16" t="s">
        <v>66</v>
      </c>
      <c r="I4" s="16" t="s">
        <v>67</v>
      </c>
      <c r="J4" s="16" t="s">
        <v>68</v>
      </c>
      <c r="K4" s="16" t="s">
        <v>69</v>
      </c>
      <c r="L4" s="16" t="s">
        <v>70</v>
      </c>
      <c r="M4" s="16" t="s">
        <v>71</v>
      </c>
      <c r="N4" s="16" t="s">
        <v>72</v>
      </c>
      <c r="P4" s="16" t="s">
        <v>60</v>
      </c>
      <c r="Q4" s="16" t="s">
        <v>61</v>
      </c>
      <c r="R4" s="16" t="s">
        <v>62</v>
      </c>
      <c r="S4" s="16" t="s">
        <v>63</v>
      </c>
      <c r="T4" s="16" t="s">
        <v>64</v>
      </c>
      <c r="U4" s="16" t="s">
        <v>65</v>
      </c>
      <c r="V4" s="16" t="s">
        <v>66</v>
      </c>
      <c r="W4" s="16" t="s">
        <v>67</v>
      </c>
      <c r="X4" s="16" t="s">
        <v>68</v>
      </c>
      <c r="Y4" s="16" t="s">
        <v>69</v>
      </c>
      <c r="Z4" s="16" t="s">
        <v>70</v>
      </c>
      <c r="AA4" s="16" t="s">
        <v>71</v>
      </c>
      <c r="AB4" s="16" t="s">
        <v>72</v>
      </c>
    </row>
    <row r="5" spans="1:28">
      <c r="A5" s="17">
        <v>38353</v>
      </c>
      <c r="B5" s="18">
        <v>76.099999999999994</v>
      </c>
      <c r="C5" s="18">
        <v>57.3</v>
      </c>
      <c r="D5" s="18">
        <v>66.7</v>
      </c>
      <c r="E5" s="18">
        <v>73.599999999999994</v>
      </c>
      <c r="F5" s="18">
        <v>53.1</v>
      </c>
      <c r="G5" s="18">
        <v>57.5</v>
      </c>
      <c r="H5" s="18">
        <v>45</v>
      </c>
      <c r="I5" s="18">
        <v>43.1</v>
      </c>
      <c r="J5" s="18">
        <v>71.2</v>
      </c>
      <c r="K5" s="18">
        <v>53.7</v>
      </c>
      <c r="L5" s="18">
        <v>58.1</v>
      </c>
      <c r="M5" s="18">
        <v>62.7</v>
      </c>
      <c r="N5" s="18">
        <v>60</v>
      </c>
      <c r="P5" s="18">
        <v>79.900000000000006</v>
      </c>
      <c r="Q5" s="18">
        <v>56.3</v>
      </c>
      <c r="R5" s="18">
        <v>75.900000000000006</v>
      </c>
      <c r="S5" s="18">
        <v>74.5</v>
      </c>
      <c r="T5" s="18">
        <v>58.3</v>
      </c>
      <c r="U5" s="18">
        <v>61.8</v>
      </c>
      <c r="V5" s="18">
        <v>49.1</v>
      </c>
      <c r="W5" s="18">
        <v>42.6</v>
      </c>
      <c r="X5" s="18">
        <v>70.900000000000006</v>
      </c>
      <c r="Y5" s="18">
        <v>60.2</v>
      </c>
      <c r="Z5" s="18">
        <v>64.2</v>
      </c>
      <c r="AA5" s="18">
        <v>66.900000000000006</v>
      </c>
      <c r="AB5" s="18">
        <v>64</v>
      </c>
    </row>
    <row r="6" spans="1:28">
      <c r="A6" s="17">
        <f>+EDATE(A5,1)</f>
        <v>38384</v>
      </c>
      <c r="B6" s="18">
        <v>73.2</v>
      </c>
      <c r="C6" s="18">
        <v>52</v>
      </c>
      <c r="D6" s="18">
        <v>71.099999999999994</v>
      </c>
      <c r="E6" s="18">
        <v>71.2</v>
      </c>
      <c r="F6" s="18">
        <v>57.5</v>
      </c>
      <c r="G6" s="18">
        <v>58.3</v>
      </c>
      <c r="H6" s="18">
        <v>47.6</v>
      </c>
      <c r="I6" s="18">
        <v>44.4</v>
      </c>
      <c r="J6" s="18">
        <v>71</v>
      </c>
      <c r="K6" s="18">
        <v>59.8</v>
      </c>
      <c r="L6" s="18">
        <v>62.6</v>
      </c>
      <c r="M6" s="18">
        <v>67.3</v>
      </c>
      <c r="N6" s="18">
        <v>61.5</v>
      </c>
      <c r="P6" s="18">
        <v>79.2</v>
      </c>
      <c r="Q6" s="18">
        <v>56.6</v>
      </c>
      <c r="R6" s="18">
        <v>77.3</v>
      </c>
      <c r="S6" s="18">
        <v>75.5</v>
      </c>
      <c r="T6" s="18">
        <v>52.9</v>
      </c>
      <c r="U6" s="18">
        <v>62.6</v>
      </c>
      <c r="V6" s="18">
        <v>50.1</v>
      </c>
      <c r="W6" s="18">
        <v>42.7</v>
      </c>
      <c r="X6" s="18">
        <v>71.2</v>
      </c>
      <c r="Y6" s="18">
        <v>61.8</v>
      </c>
      <c r="Z6" s="18">
        <v>63</v>
      </c>
      <c r="AA6" s="18">
        <v>65.2</v>
      </c>
      <c r="AB6" s="18">
        <v>64.099999999999994</v>
      </c>
    </row>
    <row r="7" spans="1:28">
      <c r="A7" s="17">
        <f>+EDATE(A6,1)</f>
        <v>38412</v>
      </c>
      <c r="B7" s="18">
        <v>69.900000000000006</v>
      </c>
      <c r="C7" s="18">
        <v>56.9</v>
      </c>
      <c r="D7" s="18">
        <v>73.8</v>
      </c>
      <c r="E7" s="18">
        <v>78.2</v>
      </c>
      <c r="F7" s="18">
        <v>47.8</v>
      </c>
      <c r="G7" s="18">
        <v>58.2</v>
      </c>
      <c r="H7" s="18">
        <v>49.8</v>
      </c>
      <c r="I7" s="18">
        <v>44.2</v>
      </c>
      <c r="J7" s="18">
        <v>71</v>
      </c>
      <c r="K7" s="18">
        <v>62.1</v>
      </c>
      <c r="L7" s="18">
        <v>64.7</v>
      </c>
      <c r="M7" s="18">
        <v>63.5</v>
      </c>
      <c r="N7" s="18">
        <v>62.2</v>
      </c>
      <c r="P7" s="18">
        <v>78.5</v>
      </c>
      <c r="Q7" s="18">
        <v>58.2</v>
      </c>
      <c r="R7" s="18">
        <v>78.400000000000006</v>
      </c>
      <c r="S7" s="18">
        <v>75.5</v>
      </c>
      <c r="T7" s="18">
        <v>50.8</v>
      </c>
      <c r="U7" s="18">
        <v>61.7</v>
      </c>
      <c r="V7" s="18">
        <v>51.8</v>
      </c>
      <c r="W7" s="18">
        <v>42.4</v>
      </c>
      <c r="X7" s="18">
        <v>71.400000000000006</v>
      </c>
      <c r="Y7" s="18">
        <v>61.9</v>
      </c>
      <c r="Z7" s="18">
        <v>62.3</v>
      </c>
      <c r="AA7" s="18">
        <v>65.8</v>
      </c>
      <c r="AB7" s="18">
        <v>64</v>
      </c>
    </row>
    <row r="8" spans="1:28">
      <c r="A8" s="17">
        <f t="shared" ref="A8:A71" si="0">+EDATE(A7,1)</f>
        <v>38443</v>
      </c>
      <c r="B8" s="18">
        <v>75.7</v>
      </c>
      <c r="C8" s="18">
        <v>58.4</v>
      </c>
      <c r="D8" s="18">
        <v>77.3</v>
      </c>
      <c r="E8" s="18">
        <v>75.2</v>
      </c>
      <c r="F8" s="18">
        <v>39.200000000000003</v>
      </c>
      <c r="G8" s="18">
        <v>64.099999999999994</v>
      </c>
      <c r="H8" s="18">
        <v>49.9</v>
      </c>
      <c r="I8" s="18">
        <v>43.4</v>
      </c>
      <c r="J8" s="18">
        <v>71.2</v>
      </c>
      <c r="K8" s="18">
        <v>59.1</v>
      </c>
      <c r="L8" s="18">
        <v>59.6</v>
      </c>
      <c r="M8" s="18">
        <v>66.5</v>
      </c>
      <c r="N8" s="18">
        <v>62.9</v>
      </c>
      <c r="P8" s="18">
        <v>78.2</v>
      </c>
      <c r="Q8" s="18">
        <v>58.7</v>
      </c>
      <c r="R8" s="18">
        <v>78</v>
      </c>
      <c r="S8" s="18">
        <v>76.099999999999994</v>
      </c>
      <c r="T8" s="18">
        <v>49</v>
      </c>
      <c r="U8" s="18">
        <v>64.3</v>
      </c>
      <c r="V8" s="18">
        <v>52.5</v>
      </c>
      <c r="W8" s="18">
        <v>44.4</v>
      </c>
      <c r="X8" s="18">
        <v>71.599999999999994</v>
      </c>
      <c r="Y8" s="18">
        <v>62.6</v>
      </c>
      <c r="Z8" s="18">
        <v>63.5</v>
      </c>
      <c r="AA8" s="18">
        <v>66.099999999999994</v>
      </c>
      <c r="AB8" s="18">
        <v>64.900000000000006</v>
      </c>
    </row>
    <row r="9" spans="1:28">
      <c r="A9" s="17">
        <f t="shared" si="0"/>
        <v>38473</v>
      </c>
      <c r="B9" s="18">
        <v>76.2</v>
      </c>
      <c r="C9" s="18">
        <v>56</v>
      </c>
      <c r="D9" s="18">
        <v>75.3</v>
      </c>
      <c r="E9" s="18">
        <v>77.900000000000006</v>
      </c>
      <c r="F9" s="18">
        <v>46.6</v>
      </c>
      <c r="G9" s="18">
        <v>61.3</v>
      </c>
      <c r="H9" s="18">
        <v>51.9</v>
      </c>
      <c r="I9" s="18">
        <v>44</v>
      </c>
      <c r="J9" s="18">
        <v>71.8</v>
      </c>
      <c r="K9" s="18">
        <v>60.3</v>
      </c>
      <c r="L9" s="18">
        <v>60.8</v>
      </c>
      <c r="M9" s="18">
        <v>64.5</v>
      </c>
      <c r="N9" s="18">
        <v>62.7</v>
      </c>
      <c r="P9" s="18">
        <v>77.099999999999994</v>
      </c>
      <c r="Q9" s="18">
        <v>57</v>
      </c>
      <c r="R9" s="18">
        <v>76</v>
      </c>
      <c r="S9" s="18">
        <v>75.400000000000006</v>
      </c>
      <c r="T9" s="18">
        <v>47.4</v>
      </c>
      <c r="U9" s="18">
        <v>62.8</v>
      </c>
      <c r="V9" s="18">
        <v>52.9</v>
      </c>
      <c r="W9" s="18">
        <v>44.3</v>
      </c>
      <c r="X9" s="18">
        <v>71.7</v>
      </c>
      <c r="Y9" s="18">
        <v>62.4</v>
      </c>
      <c r="Z9" s="18">
        <v>63.9</v>
      </c>
      <c r="AA9" s="18">
        <v>66.5</v>
      </c>
      <c r="AB9" s="18">
        <v>63.9</v>
      </c>
    </row>
    <row r="10" spans="1:28">
      <c r="A10" s="17">
        <f t="shared" si="0"/>
        <v>38504</v>
      </c>
      <c r="B10" s="18">
        <v>78.400000000000006</v>
      </c>
      <c r="C10" s="18">
        <v>58.6</v>
      </c>
      <c r="D10" s="18">
        <v>78.599999999999994</v>
      </c>
      <c r="E10" s="18">
        <v>73.900000000000006</v>
      </c>
      <c r="F10" s="18">
        <v>44</v>
      </c>
      <c r="G10" s="18">
        <v>60.3</v>
      </c>
      <c r="H10" s="18">
        <v>51.7</v>
      </c>
      <c r="I10" s="18">
        <v>44.1</v>
      </c>
      <c r="J10" s="18">
        <v>71.900000000000006</v>
      </c>
      <c r="K10" s="18">
        <v>61.6</v>
      </c>
      <c r="L10" s="18">
        <v>63</v>
      </c>
      <c r="M10" s="18">
        <v>64.099999999999994</v>
      </c>
      <c r="N10" s="18">
        <v>63.5</v>
      </c>
      <c r="P10" s="18">
        <v>81</v>
      </c>
      <c r="Q10" s="18">
        <v>60.4</v>
      </c>
      <c r="R10" s="18">
        <v>78.599999999999994</v>
      </c>
      <c r="S10" s="18">
        <v>76.400000000000006</v>
      </c>
      <c r="T10" s="18">
        <v>46.8</v>
      </c>
      <c r="U10" s="18">
        <v>62.6</v>
      </c>
      <c r="V10" s="18">
        <v>51.8</v>
      </c>
      <c r="W10" s="18">
        <v>45.3</v>
      </c>
      <c r="X10" s="18">
        <v>71.8</v>
      </c>
      <c r="Y10" s="18">
        <v>62.7</v>
      </c>
      <c r="Z10" s="18">
        <v>63.9</v>
      </c>
      <c r="AA10" s="18">
        <v>66.8</v>
      </c>
      <c r="AB10" s="18">
        <v>64.5</v>
      </c>
    </row>
    <row r="11" spans="1:28">
      <c r="A11" s="17">
        <f t="shared" si="0"/>
        <v>38534</v>
      </c>
      <c r="B11" s="18">
        <v>82.5</v>
      </c>
      <c r="C11" s="18">
        <v>56.9</v>
      </c>
      <c r="D11" s="18">
        <v>77.3</v>
      </c>
      <c r="E11" s="18">
        <v>75.900000000000006</v>
      </c>
      <c r="F11" s="18">
        <v>36.200000000000003</v>
      </c>
      <c r="G11" s="18">
        <v>64.099999999999994</v>
      </c>
      <c r="H11" s="18">
        <v>46.3</v>
      </c>
      <c r="I11" s="18">
        <v>43.2</v>
      </c>
      <c r="J11" s="18">
        <v>71.900000000000006</v>
      </c>
      <c r="K11" s="18">
        <v>62.1</v>
      </c>
      <c r="L11" s="18">
        <v>64.3</v>
      </c>
      <c r="M11" s="18">
        <v>69.099999999999994</v>
      </c>
      <c r="N11" s="18">
        <v>64</v>
      </c>
      <c r="P11" s="18">
        <v>76</v>
      </c>
      <c r="Q11" s="18">
        <v>57.2</v>
      </c>
      <c r="R11" s="18">
        <v>76</v>
      </c>
      <c r="S11" s="18">
        <v>76</v>
      </c>
      <c r="T11" s="18">
        <v>47.5</v>
      </c>
      <c r="U11" s="18">
        <v>62.9</v>
      </c>
      <c r="V11" s="18">
        <v>47.9</v>
      </c>
      <c r="W11" s="18">
        <v>45.8</v>
      </c>
      <c r="X11" s="18">
        <v>72</v>
      </c>
      <c r="Y11" s="18">
        <v>62.7</v>
      </c>
      <c r="Z11" s="18">
        <v>63.7</v>
      </c>
      <c r="AA11" s="18">
        <v>67.7</v>
      </c>
      <c r="AB11" s="18">
        <v>64</v>
      </c>
    </row>
    <row r="12" spans="1:28">
      <c r="A12" s="17">
        <f t="shared" si="0"/>
        <v>38565</v>
      </c>
      <c r="B12" s="18">
        <v>86.5</v>
      </c>
      <c r="C12" s="18">
        <v>58</v>
      </c>
      <c r="D12" s="18">
        <v>82</v>
      </c>
      <c r="E12" s="18">
        <v>77</v>
      </c>
      <c r="F12" s="18">
        <v>53.3</v>
      </c>
      <c r="G12" s="18">
        <v>62.4</v>
      </c>
      <c r="H12" s="18">
        <v>48.7</v>
      </c>
      <c r="I12" s="18">
        <v>44.3</v>
      </c>
      <c r="J12" s="18">
        <v>72.099999999999994</v>
      </c>
      <c r="K12" s="18">
        <v>60.7</v>
      </c>
      <c r="L12" s="18">
        <v>60.2</v>
      </c>
      <c r="M12" s="18">
        <v>69</v>
      </c>
      <c r="N12" s="18">
        <v>65.3</v>
      </c>
      <c r="P12" s="18">
        <v>79.5</v>
      </c>
      <c r="Q12" s="18">
        <v>57.5</v>
      </c>
      <c r="R12" s="18">
        <v>78.900000000000006</v>
      </c>
      <c r="S12" s="18">
        <v>77</v>
      </c>
      <c r="T12" s="18">
        <v>49.1</v>
      </c>
      <c r="U12" s="18">
        <v>63.3</v>
      </c>
      <c r="V12" s="18">
        <v>50.6</v>
      </c>
      <c r="W12" s="18">
        <v>46.4</v>
      </c>
      <c r="X12" s="18">
        <v>72.099999999999994</v>
      </c>
      <c r="Y12" s="18">
        <v>63.1</v>
      </c>
      <c r="Z12" s="18">
        <v>63.5</v>
      </c>
      <c r="AA12" s="18">
        <v>68.099999999999994</v>
      </c>
      <c r="AB12" s="18">
        <v>65</v>
      </c>
    </row>
    <row r="13" spans="1:28">
      <c r="A13" s="17">
        <f t="shared" si="0"/>
        <v>38596</v>
      </c>
      <c r="B13" s="18">
        <v>83.7</v>
      </c>
      <c r="C13" s="18">
        <v>57.3</v>
      </c>
      <c r="D13" s="18">
        <v>81.400000000000006</v>
      </c>
      <c r="E13" s="18">
        <v>77.5</v>
      </c>
      <c r="F13" s="18">
        <v>56.8</v>
      </c>
      <c r="G13" s="18">
        <v>62.4</v>
      </c>
      <c r="H13" s="18">
        <v>52.6</v>
      </c>
      <c r="I13" s="18">
        <v>48.3</v>
      </c>
      <c r="J13" s="18">
        <v>72.2</v>
      </c>
      <c r="K13" s="18">
        <v>62.4</v>
      </c>
      <c r="L13" s="18">
        <v>62.3</v>
      </c>
      <c r="M13" s="18">
        <v>66.099999999999994</v>
      </c>
      <c r="N13" s="18">
        <v>65.900000000000006</v>
      </c>
      <c r="P13" s="18">
        <v>78.900000000000006</v>
      </c>
      <c r="Q13" s="18">
        <v>57.1</v>
      </c>
      <c r="R13" s="18">
        <v>76.400000000000006</v>
      </c>
      <c r="S13" s="18">
        <v>76.900000000000006</v>
      </c>
      <c r="T13" s="18">
        <v>51.1</v>
      </c>
      <c r="U13" s="18">
        <v>63.1</v>
      </c>
      <c r="V13" s="18">
        <v>52.6</v>
      </c>
      <c r="W13" s="18">
        <v>46.5</v>
      </c>
      <c r="X13" s="18">
        <v>72.3</v>
      </c>
      <c r="Y13" s="18">
        <v>63.5</v>
      </c>
      <c r="Z13" s="18">
        <v>63.4</v>
      </c>
      <c r="AA13" s="18">
        <v>68.2</v>
      </c>
      <c r="AB13" s="18">
        <v>64.900000000000006</v>
      </c>
    </row>
    <row r="14" spans="1:28">
      <c r="A14" s="17">
        <f t="shared" si="0"/>
        <v>38626</v>
      </c>
      <c r="B14" s="18">
        <v>81.099999999999994</v>
      </c>
      <c r="C14" s="18">
        <v>58.4</v>
      </c>
      <c r="D14" s="18">
        <v>80.400000000000006</v>
      </c>
      <c r="E14" s="18">
        <v>77.7</v>
      </c>
      <c r="F14" s="18">
        <v>50.7</v>
      </c>
      <c r="G14" s="18">
        <v>64.400000000000006</v>
      </c>
      <c r="H14" s="18">
        <v>59.9</v>
      </c>
      <c r="I14" s="18">
        <v>43.1</v>
      </c>
      <c r="J14" s="18">
        <v>72.400000000000006</v>
      </c>
      <c r="K14" s="18">
        <v>63.8</v>
      </c>
      <c r="L14" s="18">
        <v>60.5</v>
      </c>
      <c r="M14" s="18">
        <v>73.8</v>
      </c>
      <c r="N14" s="18">
        <v>66</v>
      </c>
      <c r="P14" s="18">
        <v>78.099999999999994</v>
      </c>
      <c r="Q14" s="18">
        <v>56.9</v>
      </c>
      <c r="R14" s="18">
        <v>75.7</v>
      </c>
      <c r="S14" s="18">
        <v>74.8</v>
      </c>
      <c r="T14" s="18">
        <v>51.7</v>
      </c>
      <c r="U14" s="18">
        <v>63.9</v>
      </c>
      <c r="V14" s="18">
        <v>57.5</v>
      </c>
      <c r="W14" s="18">
        <v>43.8</v>
      </c>
      <c r="X14" s="18">
        <v>72.5</v>
      </c>
      <c r="Y14" s="18">
        <v>63.9</v>
      </c>
      <c r="Z14" s="18">
        <v>63.5</v>
      </c>
      <c r="AA14" s="18">
        <v>68.400000000000006</v>
      </c>
      <c r="AB14" s="18">
        <v>65</v>
      </c>
    </row>
    <row r="15" spans="1:28">
      <c r="A15" s="17">
        <f t="shared" si="0"/>
        <v>38657</v>
      </c>
      <c r="B15" s="18">
        <v>79.8</v>
      </c>
      <c r="C15" s="18">
        <v>58.3</v>
      </c>
      <c r="D15" s="18">
        <v>82.1</v>
      </c>
      <c r="E15" s="18">
        <v>76.599999999999994</v>
      </c>
      <c r="F15" s="18">
        <v>69.8</v>
      </c>
      <c r="G15" s="18">
        <v>64.400000000000006</v>
      </c>
      <c r="H15" s="18">
        <v>64.7</v>
      </c>
      <c r="I15" s="18">
        <v>48.2</v>
      </c>
      <c r="J15" s="18">
        <v>73.2</v>
      </c>
      <c r="K15" s="18">
        <v>68.599999999999994</v>
      </c>
      <c r="L15" s="18">
        <v>68.099999999999994</v>
      </c>
      <c r="M15" s="18">
        <v>70.099999999999994</v>
      </c>
      <c r="N15" s="18">
        <v>68.8</v>
      </c>
      <c r="P15" s="18">
        <v>79.2</v>
      </c>
      <c r="Q15" s="18">
        <v>55.5</v>
      </c>
      <c r="R15" s="18">
        <v>77.099999999999994</v>
      </c>
      <c r="S15" s="18">
        <v>76.2</v>
      </c>
      <c r="T15" s="18">
        <v>53.6</v>
      </c>
      <c r="U15" s="18">
        <v>62.8</v>
      </c>
      <c r="V15" s="18">
        <v>61</v>
      </c>
      <c r="W15" s="18">
        <v>45.3</v>
      </c>
      <c r="X15" s="18">
        <v>72.8</v>
      </c>
      <c r="Y15" s="18">
        <v>64.2</v>
      </c>
      <c r="Z15" s="18">
        <v>63.6</v>
      </c>
      <c r="AA15" s="18">
        <v>69.3</v>
      </c>
      <c r="AB15" s="18">
        <v>65.3</v>
      </c>
    </row>
    <row r="16" spans="1:28">
      <c r="A16" s="17">
        <f t="shared" si="0"/>
        <v>38687</v>
      </c>
      <c r="B16" s="18">
        <v>82.3</v>
      </c>
      <c r="C16" s="18">
        <v>63.1</v>
      </c>
      <c r="D16" s="18">
        <v>83</v>
      </c>
      <c r="E16" s="18">
        <v>76.8</v>
      </c>
      <c r="F16" s="18">
        <v>61.1</v>
      </c>
      <c r="G16" s="18">
        <v>79.599999999999994</v>
      </c>
      <c r="H16" s="18">
        <v>69.3</v>
      </c>
      <c r="I16" s="18">
        <v>43.2</v>
      </c>
      <c r="J16" s="18">
        <v>73.400000000000006</v>
      </c>
      <c r="K16" s="18">
        <v>79.7</v>
      </c>
      <c r="L16" s="18">
        <v>78</v>
      </c>
      <c r="M16" s="18">
        <v>70.900000000000006</v>
      </c>
      <c r="N16" s="18">
        <v>73.8</v>
      </c>
      <c r="P16" s="18">
        <v>79.599999999999994</v>
      </c>
      <c r="Q16" s="18">
        <v>59.7</v>
      </c>
      <c r="R16" s="18">
        <v>80.7</v>
      </c>
      <c r="S16" s="18">
        <v>77.2</v>
      </c>
      <c r="T16" s="18">
        <v>58</v>
      </c>
      <c r="U16" s="18">
        <v>65</v>
      </c>
      <c r="V16" s="18">
        <v>59.8</v>
      </c>
      <c r="W16" s="18">
        <v>43.9</v>
      </c>
      <c r="X16" s="18">
        <v>73.099999999999994</v>
      </c>
      <c r="Y16" s="18">
        <v>64.8</v>
      </c>
      <c r="Z16" s="18">
        <v>63.7</v>
      </c>
      <c r="AA16" s="18">
        <v>68.599999999999994</v>
      </c>
      <c r="AB16" s="18">
        <v>66.900000000000006</v>
      </c>
    </row>
    <row r="17" spans="1:28">
      <c r="A17" s="17">
        <f t="shared" si="0"/>
        <v>38718</v>
      </c>
      <c r="B17" s="18">
        <v>74.2</v>
      </c>
      <c r="C17" s="18">
        <v>61.8</v>
      </c>
      <c r="D17" s="18">
        <v>69.5</v>
      </c>
      <c r="E17" s="18">
        <v>76.7</v>
      </c>
      <c r="F17" s="18">
        <v>52.1</v>
      </c>
      <c r="G17" s="18">
        <v>60.4</v>
      </c>
      <c r="H17" s="18">
        <v>54.7</v>
      </c>
      <c r="I17" s="18">
        <v>47.2</v>
      </c>
      <c r="J17" s="18">
        <v>73.7</v>
      </c>
      <c r="K17" s="18">
        <v>58.3</v>
      </c>
      <c r="L17" s="18">
        <v>58.6</v>
      </c>
      <c r="M17" s="18">
        <v>64.7</v>
      </c>
      <c r="N17" s="18">
        <v>62.5</v>
      </c>
      <c r="P17" s="18">
        <v>77.900000000000006</v>
      </c>
      <c r="Q17" s="18">
        <v>60.9</v>
      </c>
      <c r="R17" s="18">
        <v>78.8</v>
      </c>
      <c r="S17" s="18">
        <v>77.599999999999994</v>
      </c>
      <c r="T17" s="18">
        <v>58</v>
      </c>
      <c r="U17" s="18">
        <v>65</v>
      </c>
      <c r="V17" s="18">
        <v>59.3</v>
      </c>
      <c r="W17" s="18">
        <v>46.7</v>
      </c>
      <c r="X17" s="18">
        <v>73.400000000000006</v>
      </c>
      <c r="Y17" s="18">
        <v>65.3</v>
      </c>
      <c r="Z17" s="18">
        <v>64.900000000000006</v>
      </c>
      <c r="AA17" s="18">
        <v>69</v>
      </c>
      <c r="AB17" s="18">
        <v>66.7</v>
      </c>
    </row>
    <row r="18" spans="1:28">
      <c r="A18" s="17">
        <f t="shared" si="0"/>
        <v>38749</v>
      </c>
      <c r="B18" s="18">
        <v>73.400000000000006</v>
      </c>
      <c r="C18" s="18">
        <v>54.1</v>
      </c>
      <c r="D18" s="18">
        <v>74.400000000000006</v>
      </c>
      <c r="E18" s="18">
        <v>74.8</v>
      </c>
      <c r="F18" s="18">
        <v>60.7</v>
      </c>
      <c r="G18" s="18">
        <v>61.1</v>
      </c>
      <c r="H18" s="18">
        <v>56</v>
      </c>
      <c r="I18" s="18">
        <v>49</v>
      </c>
      <c r="J18" s="18">
        <v>73.400000000000006</v>
      </c>
      <c r="K18" s="18">
        <v>63.5</v>
      </c>
      <c r="L18" s="18">
        <v>65.400000000000006</v>
      </c>
      <c r="M18" s="18">
        <v>71.5</v>
      </c>
      <c r="N18" s="18">
        <v>64.599999999999994</v>
      </c>
      <c r="P18" s="18">
        <v>79.7</v>
      </c>
      <c r="Q18" s="18">
        <v>58.9</v>
      </c>
      <c r="R18" s="18">
        <v>80.5</v>
      </c>
      <c r="S18" s="18">
        <v>79.2</v>
      </c>
      <c r="T18" s="18">
        <v>57</v>
      </c>
      <c r="U18" s="18">
        <v>65.7</v>
      </c>
      <c r="V18" s="18">
        <v>58.7</v>
      </c>
      <c r="W18" s="18">
        <v>47.4</v>
      </c>
      <c r="X18" s="18">
        <v>73.599999999999994</v>
      </c>
      <c r="Y18" s="18">
        <v>65.7</v>
      </c>
      <c r="Z18" s="18">
        <v>65.8</v>
      </c>
      <c r="AA18" s="18">
        <v>69.3</v>
      </c>
      <c r="AB18" s="18">
        <v>67.3</v>
      </c>
    </row>
    <row r="19" spans="1:28">
      <c r="A19" s="17">
        <f t="shared" si="0"/>
        <v>38777</v>
      </c>
      <c r="B19" s="18">
        <v>74.8</v>
      </c>
      <c r="C19" s="18">
        <v>57.1</v>
      </c>
      <c r="D19" s="18">
        <v>81</v>
      </c>
      <c r="E19" s="18">
        <v>83</v>
      </c>
      <c r="F19" s="18">
        <v>55.1</v>
      </c>
      <c r="G19" s="18">
        <v>62.7</v>
      </c>
      <c r="H19" s="18">
        <v>58.2</v>
      </c>
      <c r="I19" s="18">
        <v>49.1</v>
      </c>
      <c r="J19" s="18">
        <v>73.5</v>
      </c>
      <c r="K19" s="18">
        <v>66.400000000000006</v>
      </c>
      <c r="L19" s="18">
        <v>68.2</v>
      </c>
      <c r="M19" s="18">
        <v>67.8</v>
      </c>
      <c r="N19" s="18">
        <v>66.8</v>
      </c>
      <c r="P19" s="18">
        <v>79.900000000000006</v>
      </c>
      <c r="Q19" s="18">
        <v>58.3</v>
      </c>
      <c r="R19" s="18">
        <v>81.2</v>
      </c>
      <c r="S19" s="18">
        <v>79.2</v>
      </c>
      <c r="T19" s="18">
        <v>59.1</v>
      </c>
      <c r="U19" s="18">
        <v>65.900000000000006</v>
      </c>
      <c r="V19" s="18">
        <v>60.4</v>
      </c>
      <c r="W19" s="18">
        <v>47.1</v>
      </c>
      <c r="X19" s="18">
        <v>73.900000000000006</v>
      </c>
      <c r="Y19" s="18">
        <v>66.099999999999994</v>
      </c>
      <c r="Z19" s="18">
        <v>65.8</v>
      </c>
      <c r="AA19" s="18">
        <v>70.2</v>
      </c>
      <c r="AB19" s="18">
        <v>67.8</v>
      </c>
    </row>
    <row r="20" spans="1:28">
      <c r="A20" s="17">
        <f t="shared" si="0"/>
        <v>38808</v>
      </c>
      <c r="B20" s="18">
        <v>72.400000000000006</v>
      </c>
      <c r="C20" s="18">
        <v>57.4</v>
      </c>
      <c r="D20" s="18">
        <v>74.400000000000006</v>
      </c>
      <c r="E20" s="18">
        <v>77.3</v>
      </c>
      <c r="F20" s="18">
        <v>44.2</v>
      </c>
      <c r="G20" s="18">
        <v>66.400000000000006</v>
      </c>
      <c r="H20" s="18">
        <v>59.9</v>
      </c>
      <c r="I20" s="18">
        <v>45</v>
      </c>
      <c r="J20" s="18">
        <v>73.8</v>
      </c>
      <c r="K20" s="18">
        <v>62.6</v>
      </c>
      <c r="L20" s="18">
        <v>61.8</v>
      </c>
      <c r="M20" s="18">
        <v>70.7</v>
      </c>
      <c r="N20" s="18">
        <v>64.3</v>
      </c>
      <c r="P20" s="18">
        <v>78.599999999999994</v>
      </c>
      <c r="Q20" s="18">
        <v>57.6</v>
      </c>
      <c r="R20" s="18">
        <v>79.400000000000006</v>
      </c>
      <c r="S20" s="18">
        <v>79.5</v>
      </c>
      <c r="T20" s="18">
        <v>55.1</v>
      </c>
      <c r="U20" s="18">
        <v>67.400000000000006</v>
      </c>
      <c r="V20" s="18">
        <v>62.9</v>
      </c>
      <c r="W20" s="18">
        <v>46.3</v>
      </c>
      <c r="X20" s="18">
        <v>74.2</v>
      </c>
      <c r="Y20" s="18">
        <v>66.400000000000006</v>
      </c>
      <c r="Z20" s="18">
        <v>65.8</v>
      </c>
      <c r="AA20" s="18">
        <v>70.099999999999994</v>
      </c>
      <c r="AB20" s="18">
        <v>67.3</v>
      </c>
    </row>
    <row r="21" spans="1:28">
      <c r="A21" s="17">
        <f t="shared" si="0"/>
        <v>38838</v>
      </c>
      <c r="B21" s="18">
        <v>80.2</v>
      </c>
      <c r="C21" s="18">
        <v>57.5</v>
      </c>
      <c r="D21" s="18">
        <v>82.2</v>
      </c>
      <c r="E21" s="18">
        <v>82.8</v>
      </c>
      <c r="F21" s="18">
        <v>52</v>
      </c>
      <c r="G21" s="18">
        <v>65.2</v>
      </c>
      <c r="H21" s="18">
        <v>62.1</v>
      </c>
      <c r="I21" s="18">
        <v>46</v>
      </c>
      <c r="J21" s="18">
        <v>74.599999999999994</v>
      </c>
      <c r="K21" s="18">
        <v>64.5</v>
      </c>
      <c r="L21" s="18">
        <v>62.6</v>
      </c>
      <c r="M21" s="18">
        <v>68.7</v>
      </c>
      <c r="N21" s="18">
        <v>66.900000000000006</v>
      </c>
      <c r="P21" s="18">
        <v>81.3</v>
      </c>
      <c r="Q21" s="18">
        <v>58.4</v>
      </c>
      <c r="R21" s="18">
        <v>82.7</v>
      </c>
      <c r="S21" s="18">
        <v>80.3</v>
      </c>
      <c r="T21" s="18">
        <v>52.4</v>
      </c>
      <c r="U21" s="18">
        <v>67</v>
      </c>
      <c r="V21" s="18">
        <v>63</v>
      </c>
      <c r="W21" s="18">
        <v>46.4</v>
      </c>
      <c r="X21" s="18">
        <v>74.5</v>
      </c>
      <c r="Y21" s="18">
        <v>66.8</v>
      </c>
      <c r="Z21" s="18">
        <v>65.8</v>
      </c>
      <c r="AA21" s="18">
        <v>70.900000000000006</v>
      </c>
      <c r="AB21" s="18">
        <v>68.2</v>
      </c>
    </row>
    <row r="22" spans="1:28">
      <c r="A22" s="17">
        <f t="shared" si="0"/>
        <v>38869</v>
      </c>
      <c r="B22" s="18">
        <v>77.2</v>
      </c>
      <c r="C22" s="18">
        <v>56.4</v>
      </c>
      <c r="D22" s="18">
        <v>82.7</v>
      </c>
      <c r="E22" s="18">
        <v>77.3</v>
      </c>
      <c r="F22" s="18">
        <v>48.1</v>
      </c>
      <c r="G22" s="18">
        <v>65.2</v>
      </c>
      <c r="H22" s="18">
        <v>62.6</v>
      </c>
      <c r="I22" s="18">
        <v>45.7</v>
      </c>
      <c r="J22" s="18">
        <v>74.900000000000006</v>
      </c>
      <c r="K22" s="18">
        <v>66</v>
      </c>
      <c r="L22" s="18">
        <v>64.900000000000006</v>
      </c>
      <c r="M22" s="18">
        <v>68.599999999999994</v>
      </c>
      <c r="N22" s="18">
        <v>66.7</v>
      </c>
      <c r="P22" s="18">
        <v>79.900000000000006</v>
      </c>
      <c r="Q22" s="18">
        <v>57.9</v>
      </c>
      <c r="R22" s="18">
        <v>82.7</v>
      </c>
      <c r="S22" s="18">
        <v>79.900000000000006</v>
      </c>
      <c r="T22" s="18">
        <v>50.6</v>
      </c>
      <c r="U22" s="18">
        <v>67.599999999999994</v>
      </c>
      <c r="V22" s="18">
        <v>62.5</v>
      </c>
      <c r="W22" s="18">
        <v>47.1</v>
      </c>
      <c r="X22" s="18">
        <v>74.7</v>
      </c>
      <c r="Y22" s="18">
        <v>67.2</v>
      </c>
      <c r="Z22" s="18">
        <v>66</v>
      </c>
      <c r="AA22" s="18">
        <v>71.599999999999994</v>
      </c>
      <c r="AB22" s="18">
        <v>67.8</v>
      </c>
    </row>
    <row r="23" spans="1:28">
      <c r="A23" s="17">
        <f t="shared" si="0"/>
        <v>38899</v>
      </c>
      <c r="B23" s="18">
        <v>85.9</v>
      </c>
      <c r="C23" s="18">
        <v>61.3</v>
      </c>
      <c r="D23" s="18">
        <v>83.2</v>
      </c>
      <c r="E23" s="18">
        <v>79.599999999999994</v>
      </c>
      <c r="F23" s="18">
        <v>42.3</v>
      </c>
      <c r="G23" s="18">
        <v>69.7</v>
      </c>
      <c r="H23" s="18">
        <v>57.9</v>
      </c>
      <c r="I23" s="18">
        <v>44.4</v>
      </c>
      <c r="J23" s="18">
        <v>74.900000000000006</v>
      </c>
      <c r="K23" s="18">
        <v>66.7</v>
      </c>
      <c r="L23" s="18">
        <v>67</v>
      </c>
      <c r="M23" s="18">
        <v>73</v>
      </c>
      <c r="N23" s="18">
        <v>68.5</v>
      </c>
      <c r="P23" s="18">
        <v>79.2</v>
      </c>
      <c r="Q23" s="18">
        <v>61.6</v>
      </c>
      <c r="R23" s="18">
        <v>81.8</v>
      </c>
      <c r="S23" s="18">
        <v>79.7</v>
      </c>
      <c r="T23" s="18">
        <v>54.7</v>
      </c>
      <c r="U23" s="18">
        <v>68.5</v>
      </c>
      <c r="V23" s="18">
        <v>59.6</v>
      </c>
      <c r="W23" s="18">
        <v>46.9</v>
      </c>
      <c r="X23" s="18">
        <v>75</v>
      </c>
      <c r="Y23" s="18">
        <v>67.3</v>
      </c>
      <c r="Z23" s="18">
        <v>66.400000000000006</v>
      </c>
      <c r="AA23" s="18">
        <v>71.5</v>
      </c>
      <c r="AB23" s="18">
        <v>68.599999999999994</v>
      </c>
    </row>
    <row r="24" spans="1:28">
      <c r="A24" s="17">
        <f t="shared" si="0"/>
        <v>38930</v>
      </c>
      <c r="B24" s="18">
        <v>89.1</v>
      </c>
      <c r="C24" s="18">
        <v>58.8</v>
      </c>
      <c r="D24" s="18">
        <v>89</v>
      </c>
      <c r="E24" s="18">
        <v>80.3</v>
      </c>
      <c r="F24" s="18">
        <v>63.6</v>
      </c>
      <c r="G24" s="18">
        <v>67.8</v>
      </c>
      <c r="H24" s="18">
        <v>57</v>
      </c>
      <c r="I24" s="18">
        <v>45.8</v>
      </c>
      <c r="J24" s="18">
        <v>75.3</v>
      </c>
      <c r="K24" s="18">
        <v>65.2</v>
      </c>
      <c r="L24" s="18">
        <v>63.2</v>
      </c>
      <c r="M24" s="18">
        <v>72.3</v>
      </c>
      <c r="N24" s="18">
        <v>69.8</v>
      </c>
      <c r="P24" s="18">
        <v>81.900000000000006</v>
      </c>
      <c r="Q24" s="18">
        <v>58.3</v>
      </c>
      <c r="R24" s="18">
        <v>85.9</v>
      </c>
      <c r="S24" s="18">
        <v>80.3</v>
      </c>
      <c r="T24" s="18">
        <v>58.1</v>
      </c>
      <c r="U24" s="18">
        <v>68.8</v>
      </c>
      <c r="V24" s="18">
        <v>59</v>
      </c>
      <c r="W24" s="18">
        <v>48.2</v>
      </c>
      <c r="X24" s="18">
        <v>75.3</v>
      </c>
      <c r="Y24" s="18">
        <v>67.7</v>
      </c>
      <c r="Z24" s="18">
        <v>66.8</v>
      </c>
      <c r="AA24" s="18">
        <v>71.3</v>
      </c>
      <c r="AB24" s="18">
        <v>69.5</v>
      </c>
    </row>
    <row r="25" spans="1:28">
      <c r="A25" s="17">
        <f t="shared" si="0"/>
        <v>38961</v>
      </c>
      <c r="B25" s="18">
        <v>86.9</v>
      </c>
      <c r="C25" s="18">
        <v>58.4</v>
      </c>
      <c r="D25" s="18">
        <v>91.4</v>
      </c>
      <c r="E25" s="18">
        <v>81.8</v>
      </c>
      <c r="F25" s="18">
        <v>66.3</v>
      </c>
      <c r="G25" s="18">
        <v>69.099999999999994</v>
      </c>
      <c r="H25" s="18">
        <v>59.5</v>
      </c>
      <c r="I25" s="18">
        <v>49.8</v>
      </c>
      <c r="J25" s="18">
        <v>75.5</v>
      </c>
      <c r="K25" s="18">
        <v>67.099999999999994</v>
      </c>
      <c r="L25" s="18">
        <v>66</v>
      </c>
      <c r="M25" s="18">
        <v>69.400000000000006</v>
      </c>
      <c r="N25" s="18">
        <v>71.2</v>
      </c>
      <c r="P25" s="18">
        <v>81.8</v>
      </c>
      <c r="Q25" s="18">
        <v>58.4</v>
      </c>
      <c r="R25" s="18">
        <v>86.6</v>
      </c>
      <c r="S25" s="18">
        <v>81.099999999999994</v>
      </c>
      <c r="T25" s="18">
        <v>59.5</v>
      </c>
      <c r="U25" s="18">
        <v>69.8</v>
      </c>
      <c r="V25" s="18">
        <v>59</v>
      </c>
      <c r="W25" s="18">
        <v>47.9</v>
      </c>
      <c r="X25" s="18">
        <v>75.5</v>
      </c>
      <c r="Y25" s="18">
        <v>68.2</v>
      </c>
      <c r="Z25" s="18">
        <v>67.2</v>
      </c>
      <c r="AA25" s="18">
        <v>71.599999999999994</v>
      </c>
      <c r="AB25" s="18">
        <v>70.2</v>
      </c>
    </row>
    <row r="26" spans="1:28">
      <c r="A26" s="17">
        <f t="shared" si="0"/>
        <v>38991</v>
      </c>
      <c r="B26" s="18">
        <v>85.4</v>
      </c>
      <c r="C26" s="18">
        <v>60.6</v>
      </c>
      <c r="D26" s="18">
        <v>89.5</v>
      </c>
      <c r="E26" s="18">
        <v>84.1</v>
      </c>
      <c r="F26" s="18">
        <v>59.8</v>
      </c>
      <c r="G26" s="18">
        <v>69.8</v>
      </c>
      <c r="H26" s="18">
        <v>63.6</v>
      </c>
      <c r="I26" s="18">
        <v>46.5</v>
      </c>
      <c r="J26" s="18">
        <v>75.7</v>
      </c>
      <c r="K26" s="18">
        <v>68.099999999999994</v>
      </c>
      <c r="L26" s="18">
        <v>64.2</v>
      </c>
      <c r="M26" s="18">
        <v>76.8</v>
      </c>
      <c r="N26" s="18">
        <v>71.099999999999994</v>
      </c>
      <c r="P26" s="18">
        <v>82.5</v>
      </c>
      <c r="Q26" s="18">
        <v>58.9</v>
      </c>
      <c r="R26" s="18">
        <v>84.7</v>
      </c>
      <c r="S26" s="18">
        <v>81.2</v>
      </c>
      <c r="T26" s="18">
        <v>60.9</v>
      </c>
      <c r="U26" s="18">
        <v>69.400000000000006</v>
      </c>
      <c r="V26" s="18">
        <v>61</v>
      </c>
      <c r="W26" s="18">
        <v>47.3</v>
      </c>
      <c r="X26" s="18">
        <v>75.8</v>
      </c>
      <c r="Y26" s="18">
        <v>68.2</v>
      </c>
      <c r="Z26" s="18">
        <v>67.400000000000006</v>
      </c>
      <c r="AA26" s="18">
        <v>71.2</v>
      </c>
      <c r="AB26" s="18">
        <v>70.099999999999994</v>
      </c>
    </row>
    <row r="27" spans="1:28">
      <c r="A27" s="17">
        <f t="shared" si="0"/>
        <v>39022</v>
      </c>
      <c r="B27" s="18">
        <v>82.3</v>
      </c>
      <c r="C27" s="18">
        <v>62.6</v>
      </c>
      <c r="D27" s="18">
        <v>92.3</v>
      </c>
      <c r="E27" s="18">
        <v>81.8</v>
      </c>
      <c r="F27" s="18">
        <v>80.900000000000006</v>
      </c>
      <c r="G27" s="18">
        <v>71.400000000000006</v>
      </c>
      <c r="H27" s="18">
        <v>68.400000000000006</v>
      </c>
      <c r="I27" s="18">
        <v>52.7</v>
      </c>
      <c r="J27" s="18">
        <v>76.400000000000006</v>
      </c>
      <c r="K27" s="18">
        <v>73.5</v>
      </c>
      <c r="L27" s="18">
        <v>72.400000000000006</v>
      </c>
      <c r="M27" s="18">
        <v>72.599999999999994</v>
      </c>
      <c r="N27" s="18">
        <v>74.599999999999994</v>
      </c>
      <c r="P27" s="18">
        <v>81.900000000000006</v>
      </c>
      <c r="Q27" s="18">
        <v>59.9</v>
      </c>
      <c r="R27" s="18">
        <v>87.4</v>
      </c>
      <c r="S27" s="18">
        <v>81.3</v>
      </c>
      <c r="T27" s="18">
        <v>62.4</v>
      </c>
      <c r="U27" s="18">
        <v>69.599999999999994</v>
      </c>
      <c r="V27" s="18">
        <v>64.400000000000006</v>
      </c>
      <c r="W27" s="18">
        <v>49.6</v>
      </c>
      <c r="X27" s="18">
        <v>76</v>
      </c>
      <c r="Y27" s="18">
        <v>68.8</v>
      </c>
      <c r="Z27" s="18">
        <v>67.7</v>
      </c>
      <c r="AA27" s="18">
        <v>71.8</v>
      </c>
      <c r="AB27" s="18">
        <v>70.900000000000006</v>
      </c>
    </row>
    <row r="28" spans="1:28">
      <c r="A28" s="17">
        <f t="shared" si="0"/>
        <v>39052</v>
      </c>
      <c r="B28" s="18">
        <v>83.5</v>
      </c>
      <c r="C28" s="18">
        <v>61.1</v>
      </c>
      <c r="D28" s="18">
        <v>87.3</v>
      </c>
      <c r="E28" s="18">
        <v>80.5</v>
      </c>
      <c r="F28" s="18">
        <v>66.099999999999994</v>
      </c>
      <c r="G28" s="18">
        <v>85.7</v>
      </c>
      <c r="H28" s="18">
        <v>72.7</v>
      </c>
      <c r="I28" s="18">
        <v>47.3</v>
      </c>
      <c r="J28" s="18">
        <v>76.599999999999994</v>
      </c>
      <c r="K28" s="18">
        <v>85</v>
      </c>
      <c r="L28" s="18">
        <v>83</v>
      </c>
      <c r="M28" s="18">
        <v>72.5</v>
      </c>
      <c r="N28" s="18">
        <v>77.5</v>
      </c>
      <c r="P28" s="18">
        <v>80.8</v>
      </c>
      <c r="Q28" s="18">
        <v>57.8</v>
      </c>
      <c r="R28" s="18">
        <v>85</v>
      </c>
      <c r="S28" s="18">
        <v>80.8</v>
      </c>
      <c r="T28" s="18">
        <v>63.5</v>
      </c>
      <c r="U28" s="18">
        <v>70</v>
      </c>
      <c r="V28" s="18">
        <v>62.8</v>
      </c>
      <c r="W28" s="18">
        <v>47.8</v>
      </c>
      <c r="X28" s="18">
        <v>76.3</v>
      </c>
      <c r="Y28" s="18">
        <v>69.2</v>
      </c>
      <c r="Z28" s="18">
        <v>67.8</v>
      </c>
      <c r="AA28" s="18">
        <v>70.099999999999994</v>
      </c>
      <c r="AB28" s="18">
        <v>70.3</v>
      </c>
    </row>
    <row r="29" spans="1:28">
      <c r="A29" s="17">
        <f t="shared" si="0"/>
        <v>39083</v>
      </c>
      <c r="B29" s="18">
        <v>76.900000000000006</v>
      </c>
      <c r="C29" s="18">
        <v>57</v>
      </c>
      <c r="D29" s="18">
        <v>77.5</v>
      </c>
      <c r="E29" s="18">
        <v>82.2</v>
      </c>
      <c r="F29" s="18">
        <v>55.5</v>
      </c>
      <c r="G29" s="18">
        <v>65.900000000000006</v>
      </c>
      <c r="H29" s="18">
        <v>61</v>
      </c>
      <c r="I29" s="18">
        <v>50.3</v>
      </c>
      <c r="J29" s="18">
        <v>76.900000000000006</v>
      </c>
      <c r="K29" s="18">
        <v>62.4</v>
      </c>
      <c r="L29" s="18">
        <v>61.2</v>
      </c>
      <c r="M29" s="18">
        <v>68.2</v>
      </c>
      <c r="N29" s="18">
        <v>66.3</v>
      </c>
      <c r="P29" s="18">
        <v>80.599999999999994</v>
      </c>
      <c r="Q29" s="18">
        <v>56.2</v>
      </c>
      <c r="R29" s="18">
        <v>86.6</v>
      </c>
      <c r="S29" s="18">
        <v>83</v>
      </c>
      <c r="T29" s="18">
        <v>63.3</v>
      </c>
      <c r="U29" s="18">
        <v>70.900000000000006</v>
      </c>
      <c r="V29" s="18">
        <v>66</v>
      </c>
      <c r="W29" s="18">
        <v>49.9</v>
      </c>
      <c r="X29" s="18">
        <v>76.5</v>
      </c>
      <c r="Y29" s="18">
        <v>69.900000000000006</v>
      </c>
      <c r="Z29" s="18">
        <v>67.8</v>
      </c>
      <c r="AA29" s="18">
        <v>72.8</v>
      </c>
      <c r="AB29" s="18">
        <v>70.8</v>
      </c>
    </row>
    <row r="30" spans="1:28">
      <c r="A30" s="17">
        <f t="shared" si="0"/>
        <v>39114</v>
      </c>
      <c r="B30" s="18">
        <v>77.2</v>
      </c>
      <c r="C30" s="18">
        <v>55</v>
      </c>
      <c r="D30" s="18">
        <v>81.5</v>
      </c>
      <c r="E30" s="18">
        <v>79.8</v>
      </c>
      <c r="F30" s="18">
        <v>65</v>
      </c>
      <c r="G30" s="18">
        <v>66</v>
      </c>
      <c r="H30" s="18">
        <v>64.2</v>
      </c>
      <c r="I30" s="18">
        <v>52.8</v>
      </c>
      <c r="J30" s="18">
        <v>76.5</v>
      </c>
      <c r="K30" s="18">
        <v>67.900000000000006</v>
      </c>
      <c r="L30" s="18">
        <v>67.5</v>
      </c>
      <c r="M30" s="18">
        <v>76</v>
      </c>
      <c r="N30" s="18">
        <v>68.8</v>
      </c>
      <c r="P30" s="18">
        <v>84.3</v>
      </c>
      <c r="Q30" s="18">
        <v>60</v>
      </c>
      <c r="R30" s="18">
        <v>87.4</v>
      </c>
      <c r="S30" s="18">
        <v>84.3</v>
      </c>
      <c r="T30" s="18">
        <v>62.5</v>
      </c>
      <c r="U30" s="18">
        <v>71</v>
      </c>
      <c r="V30" s="18">
        <v>67.2</v>
      </c>
      <c r="W30" s="18">
        <v>51.4</v>
      </c>
      <c r="X30" s="18">
        <v>76.8</v>
      </c>
      <c r="Y30" s="18">
        <v>70.3</v>
      </c>
      <c r="Z30" s="18">
        <v>68</v>
      </c>
      <c r="AA30" s="18">
        <v>73.599999999999994</v>
      </c>
      <c r="AB30" s="18">
        <v>71.8</v>
      </c>
    </row>
    <row r="31" spans="1:28">
      <c r="A31" s="17">
        <f t="shared" si="0"/>
        <v>39142</v>
      </c>
      <c r="B31" s="18">
        <v>77.2</v>
      </c>
      <c r="C31" s="18">
        <v>57.4</v>
      </c>
      <c r="D31" s="18">
        <v>88.5</v>
      </c>
      <c r="E31" s="18">
        <v>87.6</v>
      </c>
      <c r="F31" s="18">
        <v>58.1</v>
      </c>
      <c r="G31" s="18">
        <v>69</v>
      </c>
      <c r="H31" s="18">
        <v>64.7</v>
      </c>
      <c r="I31" s="18">
        <v>54.7</v>
      </c>
      <c r="J31" s="18">
        <v>76.599999999999994</v>
      </c>
      <c r="K31" s="18">
        <v>71.099999999999994</v>
      </c>
      <c r="L31" s="18">
        <v>70.2</v>
      </c>
      <c r="M31" s="18">
        <v>70.8</v>
      </c>
      <c r="N31" s="18">
        <v>71.099999999999994</v>
      </c>
      <c r="P31" s="18">
        <v>81.900000000000006</v>
      </c>
      <c r="Q31" s="18">
        <v>58.4</v>
      </c>
      <c r="R31" s="18">
        <v>88.7</v>
      </c>
      <c r="S31" s="18">
        <v>83.9</v>
      </c>
      <c r="T31" s="18">
        <v>62.7</v>
      </c>
      <c r="U31" s="18">
        <v>72.400000000000006</v>
      </c>
      <c r="V31" s="18">
        <v>67.099999999999994</v>
      </c>
      <c r="W31" s="18">
        <v>52.4</v>
      </c>
      <c r="X31" s="18">
        <v>77</v>
      </c>
      <c r="Y31" s="18">
        <v>70.8</v>
      </c>
      <c r="Z31" s="18">
        <v>67.8</v>
      </c>
      <c r="AA31" s="18">
        <v>73.5</v>
      </c>
      <c r="AB31" s="18">
        <v>72.099999999999994</v>
      </c>
    </row>
    <row r="32" spans="1:28">
      <c r="A32" s="17">
        <f t="shared" si="0"/>
        <v>39173</v>
      </c>
      <c r="B32" s="18">
        <v>75.7</v>
      </c>
      <c r="C32" s="18">
        <v>59.4</v>
      </c>
      <c r="D32" s="18">
        <v>80.900000000000006</v>
      </c>
      <c r="E32" s="18">
        <v>80.3</v>
      </c>
      <c r="F32" s="18">
        <v>50.8</v>
      </c>
      <c r="G32" s="18">
        <v>70.3</v>
      </c>
      <c r="H32" s="18">
        <v>62.8</v>
      </c>
      <c r="I32" s="18">
        <v>52.1</v>
      </c>
      <c r="J32" s="18">
        <v>76.7</v>
      </c>
      <c r="K32" s="18">
        <v>66.400000000000006</v>
      </c>
      <c r="L32" s="18">
        <v>63.9</v>
      </c>
      <c r="M32" s="18">
        <v>74</v>
      </c>
      <c r="N32" s="18">
        <v>68.2</v>
      </c>
      <c r="P32" s="18">
        <v>82.2</v>
      </c>
      <c r="Q32" s="18">
        <v>59.5</v>
      </c>
      <c r="R32" s="18">
        <v>85.8</v>
      </c>
      <c r="S32" s="18">
        <v>82.6</v>
      </c>
      <c r="T32" s="18">
        <v>61.9</v>
      </c>
      <c r="U32" s="18">
        <v>71.5</v>
      </c>
      <c r="V32" s="18">
        <v>66.099999999999994</v>
      </c>
      <c r="W32" s="18">
        <v>53.7</v>
      </c>
      <c r="X32" s="18">
        <v>77.2</v>
      </c>
      <c r="Y32" s="18">
        <v>70.5</v>
      </c>
      <c r="Z32" s="18">
        <v>67.900000000000006</v>
      </c>
      <c r="AA32" s="18">
        <v>73.3</v>
      </c>
      <c r="AB32" s="18">
        <v>71.3</v>
      </c>
    </row>
    <row r="33" spans="1:28">
      <c r="A33" s="17">
        <f t="shared" si="0"/>
        <v>39203</v>
      </c>
      <c r="B33" s="18">
        <v>79.599999999999994</v>
      </c>
      <c r="C33" s="18">
        <v>58.4</v>
      </c>
      <c r="D33" s="18">
        <v>89.1</v>
      </c>
      <c r="E33" s="18">
        <v>85.7</v>
      </c>
      <c r="F33" s="18">
        <v>62.7</v>
      </c>
      <c r="G33" s="18">
        <v>71</v>
      </c>
      <c r="H33" s="18">
        <v>65.900000000000006</v>
      </c>
      <c r="I33" s="18">
        <v>54.3</v>
      </c>
      <c r="J33" s="18">
        <v>77.5</v>
      </c>
      <c r="K33" s="18">
        <v>68.8</v>
      </c>
      <c r="L33" s="18">
        <v>64.900000000000006</v>
      </c>
      <c r="M33" s="18">
        <v>71.7</v>
      </c>
      <c r="N33" s="18">
        <v>71.2</v>
      </c>
      <c r="P33" s="18">
        <v>80.5</v>
      </c>
      <c r="Q33" s="18">
        <v>58.7</v>
      </c>
      <c r="R33" s="18">
        <v>89.4</v>
      </c>
      <c r="S33" s="18">
        <v>83.1</v>
      </c>
      <c r="T33" s="18">
        <v>61.1</v>
      </c>
      <c r="U33" s="18">
        <v>72.900000000000006</v>
      </c>
      <c r="V33" s="18">
        <v>67</v>
      </c>
      <c r="W33" s="18">
        <v>54.7</v>
      </c>
      <c r="X33" s="18">
        <v>77.400000000000006</v>
      </c>
      <c r="Y33" s="18">
        <v>71.3</v>
      </c>
      <c r="Z33" s="18">
        <v>68.2</v>
      </c>
      <c r="AA33" s="18">
        <v>74.099999999999994</v>
      </c>
      <c r="AB33" s="18">
        <v>72.400000000000006</v>
      </c>
    </row>
    <row r="34" spans="1:28">
      <c r="A34" s="17">
        <f t="shared" si="0"/>
        <v>39234</v>
      </c>
      <c r="B34" s="18">
        <v>82.9</v>
      </c>
      <c r="C34" s="18">
        <v>55.6</v>
      </c>
      <c r="D34" s="18">
        <v>89.6</v>
      </c>
      <c r="E34" s="18">
        <v>80.900000000000006</v>
      </c>
      <c r="F34" s="18">
        <v>58.7</v>
      </c>
      <c r="G34" s="18">
        <v>71.5</v>
      </c>
      <c r="H34" s="18">
        <v>70.599999999999994</v>
      </c>
      <c r="I34" s="18">
        <v>52.7</v>
      </c>
      <c r="J34" s="18">
        <v>77.7</v>
      </c>
      <c r="K34" s="18">
        <v>70.7</v>
      </c>
      <c r="L34" s="18">
        <v>67.599999999999994</v>
      </c>
      <c r="M34" s="18">
        <v>71.400000000000006</v>
      </c>
      <c r="N34" s="18">
        <v>71.7</v>
      </c>
      <c r="P34" s="18">
        <v>86.1</v>
      </c>
      <c r="Q34" s="18">
        <v>56.9</v>
      </c>
      <c r="R34" s="18">
        <v>89.6</v>
      </c>
      <c r="S34" s="18">
        <v>83.4</v>
      </c>
      <c r="T34" s="18">
        <v>59.8</v>
      </c>
      <c r="U34" s="18">
        <v>73.8</v>
      </c>
      <c r="V34" s="18">
        <v>70.3</v>
      </c>
      <c r="W34" s="18">
        <v>54.2</v>
      </c>
      <c r="X34" s="18">
        <v>77.599999999999994</v>
      </c>
      <c r="Y34" s="18">
        <v>71.8</v>
      </c>
      <c r="Z34" s="18">
        <v>68.599999999999994</v>
      </c>
      <c r="AA34" s="18">
        <v>74.7</v>
      </c>
      <c r="AB34" s="18">
        <v>72.8</v>
      </c>
    </row>
    <row r="35" spans="1:28">
      <c r="A35" s="17">
        <f t="shared" si="0"/>
        <v>39264</v>
      </c>
      <c r="B35" s="18">
        <v>90.3</v>
      </c>
      <c r="C35" s="18">
        <v>57.8</v>
      </c>
      <c r="D35" s="18">
        <v>89.4</v>
      </c>
      <c r="E35" s="18">
        <v>83</v>
      </c>
      <c r="F35" s="18">
        <v>48.1</v>
      </c>
      <c r="G35" s="18">
        <v>74.7</v>
      </c>
      <c r="H35" s="18">
        <v>71.400000000000006</v>
      </c>
      <c r="I35" s="18">
        <v>50.7</v>
      </c>
      <c r="J35" s="18">
        <v>77.7</v>
      </c>
      <c r="K35" s="18">
        <v>71.5</v>
      </c>
      <c r="L35" s="18">
        <v>70.099999999999994</v>
      </c>
      <c r="M35" s="18">
        <v>75.400000000000006</v>
      </c>
      <c r="N35" s="18">
        <v>72.900000000000006</v>
      </c>
      <c r="P35" s="18">
        <v>83.1</v>
      </c>
      <c r="Q35" s="18">
        <v>58.1</v>
      </c>
      <c r="R35" s="18">
        <v>88.1</v>
      </c>
      <c r="S35" s="18">
        <v>83</v>
      </c>
      <c r="T35" s="18">
        <v>60.1</v>
      </c>
      <c r="U35" s="18">
        <v>73.3</v>
      </c>
      <c r="V35" s="18">
        <v>73.5</v>
      </c>
      <c r="W35" s="18">
        <v>53.4</v>
      </c>
      <c r="X35" s="18">
        <v>77.8</v>
      </c>
      <c r="Y35" s="18">
        <v>72.099999999999994</v>
      </c>
      <c r="Z35" s="18">
        <v>69.400000000000006</v>
      </c>
      <c r="AA35" s="18">
        <v>73.900000000000006</v>
      </c>
      <c r="AB35" s="18">
        <v>72.900000000000006</v>
      </c>
    </row>
    <row r="36" spans="1:28">
      <c r="A36" s="17">
        <f t="shared" si="0"/>
        <v>39295</v>
      </c>
      <c r="B36" s="18">
        <v>92</v>
      </c>
      <c r="C36" s="18">
        <v>60.2</v>
      </c>
      <c r="D36" s="18">
        <v>93.9</v>
      </c>
      <c r="E36" s="18">
        <v>83.5</v>
      </c>
      <c r="F36" s="18">
        <v>66</v>
      </c>
      <c r="G36" s="18">
        <v>72.7</v>
      </c>
      <c r="H36" s="18">
        <v>72.3</v>
      </c>
      <c r="I36" s="18">
        <v>51.2</v>
      </c>
      <c r="J36" s="18">
        <v>78</v>
      </c>
      <c r="K36" s="18">
        <v>70.099999999999994</v>
      </c>
      <c r="L36" s="18">
        <v>66.099999999999994</v>
      </c>
      <c r="M36" s="18">
        <v>75.5</v>
      </c>
      <c r="N36" s="18">
        <v>74.099999999999994</v>
      </c>
      <c r="P36" s="18">
        <v>84.4</v>
      </c>
      <c r="Q36" s="18">
        <v>59.7</v>
      </c>
      <c r="R36" s="18">
        <v>91.2</v>
      </c>
      <c r="S36" s="18">
        <v>83.4</v>
      </c>
      <c r="T36" s="18">
        <v>59.5</v>
      </c>
      <c r="U36" s="18">
        <v>73.900000000000006</v>
      </c>
      <c r="V36" s="18">
        <v>74.599999999999994</v>
      </c>
      <c r="W36" s="18">
        <v>54</v>
      </c>
      <c r="X36" s="18">
        <v>78</v>
      </c>
      <c r="Y36" s="18">
        <v>72.8</v>
      </c>
      <c r="Z36" s="18">
        <v>70</v>
      </c>
      <c r="AA36" s="18">
        <v>74.5</v>
      </c>
      <c r="AB36" s="18">
        <v>73.8</v>
      </c>
    </row>
    <row r="37" spans="1:28">
      <c r="A37" s="17">
        <f t="shared" si="0"/>
        <v>39326</v>
      </c>
      <c r="B37" s="18">
        <v>92.4</v>
      </c>
      <c r="C37" s="18">
        <v>61.4</v>
      </c>
      <c r="D37" s="18">
        <v>94.6</v>
      </c>
      <c r="E37" s="18">
        <v>83.5</v>
      </c>
      <c r="F37" s="18">
        <v>66.599999999999994</v>
      </c>
      <c r="G37" s="18">
        <v>73.8</v>
      </c>
      <c r="H37" s="18">
        <v>74.8</v>
      </c>
      <c r="I37" s="18">
        <v>56.7</v>
      </c>
      <c r="J37" s="18">
        <v>78.099999999999994</v>
      </c>
      <c r="K37" s="18">
        <v>72.099999999999994</v>
      </c>
      <c r="L37" s="18">
        <v>69.099999999999994</v>
      </c>
      <c r="M37" s="18">
        <v>72.599999999999994</v>
      </c>
      <c r="N37" s="18">
        <v>75.3</v>
      </c>
      <c r="P37" s="18">
        <v>86.8</v>
      </c>
      <c r="Q37" s="18">
        <v>61.7</v>
      </c>
      <c r="R37" s="18">
        <v>90</v>
      </c>
      <c r="S37" s="18">
        <v>82.8</v>
      </c>
      <c r="T37" s="18">
        <v>59.5</v>
      </c>
      <c r="U37" s="18">
        <v>74.7</v>
      </c>
      <c r="V37" s="18">
        <v>73.900000000000006</v>
      </c>
      <c r="W37" s="18">
        <v>54.4</v>
      </c>
      <c r="X37" s="18">
        <v>78.2</v>
      </c>
      <c r="Y37" s="18">
        <v>73.3</v>
      </c>
      <c r="Z37" s="18">
        <v>70.400000000000006</v>
      </c>
      <c r="AA37" s="18">
        <v>74.8</v>
      </c>
      <c r="AB37" s="18">
        <v>74.2</v>
      </c>
    </row>
    <row r="38" spans="1:28">
      <c r="A38" s="17">
        <f t="shared" si="0"/>
        <v>39356</v>
      </c>
      <c r="B38" s="18">
        <v>86.7</v>
      </c>
      <c r="C38" s="18">
        <v>62</v>
      </c>
      <c r="D38" s="18">
        <v>97.8</v>
      </c>
      <c r="E38" s="18">
        <v>86.2</v>
      </c>
      <c r="F38" s="18">
        <v>61.1</v>
      </c>
      <c r="G38" s="18">
        <v>75</v>
      </c>
      <c r="H38" s="18">
        <v>73.900000000000006</v>
      </c>
      <c r="I38" s="18">
        <v>55.8</v>
      </c>
      <c r="J38" s="18">
        <v>78.3</v>
      </c>
      <c r="K38" s="18">
        <v>73</v>
      </c>
      <c r="L38" s="18">
        <v>67.099999999999994</v>
      </c>
      <c r="M38" s="18">
        <v>82.8</v>
      </c>
      <c r="N38" s="18">
        <v>75.599999999999994</v>
      </c>
      <c r="P38" s="18">
        <v>83.9</v>
      </c>
      <c r="Q38" s="18">
        <v>60.4</v>
      </c>
      <c r="R38" s="18">
        <v>92.9</v>
      </c>
      <c r="S38" s="18">
        <v>83.3</v>
      </c>
      <c r="T38" s="18">
        <v>62</v>
      </c>
      <c r="U38" s="18">
        <v>74.599999999999994</v>
      </c>
      <c r="V38" s="18">
        <v>71.2</v>
      </c>
      <c r="W38" s="18">
        <v>56.8</v>
      </c>
      <c r="X38" s="18">
        <v>78.400000000000006</v>
      </c>
      <c r="Y38" s="18">
        <v>73.099999999999994</v>
      </c>
      <c r="Z38" s="18">
        <v>70.5</v>
      </c>
      <c r="AA38" s="18">
        <v>76.599999999999994</v>
      </c>
      <c r="AB38" s="18">
        <v>74.5</v>
      </c>
    </row>
    <row r="39" spans="1:28">
      <c r="A39" s="17">
        <f t="shared" si="0"/>
        <v>39387</v>
      </c>
      <c r="B39" s="18">
        <v>86.5</v>
      </c>
      <c r="C39" s="18">
        <v>66.5</v>
      </c>
      <c r="D39" s="18">
        <v>98</v>
      </c>
      <c r="E39" s="18">
        <v>84.1</v>
      </c>
      <c r="F39" s="18">
        <v>80.900000000000006</v>
      </c>
      <c r="G39" s="18">
        <v>77.8</v>
      </c>
      <c r="H39" s="18">
        <v>73.400000000000006</v>
      </c>
      <c r="I39" s="18">
        <v>63.1</v>
      </c>
      <c r="J39" s="18">
        <v>79</v>
      </c>
      <c r="K39" s="18">
        <v>78.3</v>
      </c>
      <c r="L39" s="18">
        <v>75.7</v>
      </c>
      <c r="M39" s="18">
        <v>76.400000000000006</v>
      </c>
      <c r="N39" s="18">
        <v>79.099999999999994</v>
      </c>
      <c r="P39" s="18">
        <v>86.4</v>
      </c>
      <c r="Q39" s="18">
        <v>63.9</v>
      </c>
      <c r="R39" s="18">
        <v>93.3</v>
      </c>
      <c r="S39" s="18">
        <v>83.6</v>
      </c>
      <c r="T39" s="18">
        <v>62.7</v>
      </c>
      <c r="U39" s="18">
        <v>75.599999999999994</v>
      </c>
      <c r="V39" s="18">
        <v>69.5</v>
      </c>
      <c r="W39" s="18">
        <v>59.4</v>
      </c>
      <c r="X39" s="18">
        <v>78.5</v>
      </c>
      <c r="Y39" s="18">
        <v>73.099999999999994</v>
      </c>
      <c r="Z39" s="18">
        <v>70.7</v>
      </c>
      <c r="AA39" s="18">
        <v>75.8</v>
      </c>
      <c r="AB39" s="18">
        <v>75.2</v>
      </c>
    </row>
    <row r="40" spans="1:28">
      <c r="A40" s="17">
        <f t="shared" si="0"/>
        <v>39417</v>
      </c>
      <c r="B40" s="18">
        <v>85.9</v>
      </c>
      <c r="C40" s="18">
        <v>65.7</v>
      </c>
      <c r="D40" s="18">
        <v>93.2</v>
      </c>
      <c r="E40" s="18">
        <v>83.7</v>
      </c>
      <c r="F40" s="18">
        <v>65.5</v>
      </c>
      <c r="G40" s="18">
        <v>92.5</v>
      </c>
      <c r="H40" s="18">
        <v>84.4</v>
      </c>
      <c r="I40" s="18">
        <v>52.4</v>
      </c>
      <c r="J40" s="18">
        <v>79</v>
      </c>
      <c r="K40" s="18">
        <v>90.1</v>
      </c>
      <c r="L40" s="18">
        <v>86.5</v>
      </c>
      <c r="M40" s="18">
        <v>78.8</v>
      </c>
      <c r="N40" s="18">
        <v>82.4</v>
      </c>
      <c r="P40" s="18">
        <v>83.1</v>
      </c>
      <c r="Q40" s="18">
        <v>62.8</v>
      </c>
      <c r="R40" s="18">
        <v>91.1</v>
      </c>
      <c r="S40" s="18">
        <v>84.1</v>
      </c>
      <c r="T40" s="18">
        <v>63.8</v>
      </c>
      <c r="U40" s="18">
        <v>75.5</v>
      </c>
      <c r="V40" s="18">
        <v>73.099999999999994</v>
      </c>
      <c r="W40" s="18">
        <v>52.4</v>
      </c>
      <c r="X40" s="18">
        <v>78.599999999999994</v>
      </c>
      <c r="Y40" s="18">
        <v>73.400000000000006</v>
      </c>
      <c r="Z40" s="18">
        <v>70.599999999999994</v>
      </c>
      <c r="AA40" s="18">
        <v>76.099999999999994</v>
      </c>
      <c r="AB40" s="18">
        <v>74.8</v>
      </c>
    </row>
    <row r="41" spans="1:28">
      <c r="A41" s="17">
        <f t="shared" si="0"/>
        <v>39448</v>
      </c>
      <c r="B41" s="18">
        <v>83.5</v>
      </c>
      <c r="C41" s="18">
        <v>67.099999999999994</v>
      </c>
      <c r="D41" s="18">
        <v>84.3</v>
      </c>
      <c r="E41" s="18">
        <v>81.8</v>
      </c>
      <c r="F41" s="18">
        <v>54.1</v>
      </c>
      <c r="G41" s="18">
        <v>69.8</v>
      </c>
      <c r="H41" s="18">
        <v>65.599999999999994</v>
      </c>
      <c r="I41" s="18">
        <v>58</v>
      </c>
      <c r="J41" s="18">
        <v>79</v>
      </c>
      <c r="K41" s="18">
        <v>65.7</v>
      </c>
      <c r="L41" s="18">
        <v>63.4</v>
      </c>
      <c r="M41" s="18">
        <v>71.400000000000006</v>
      </c>
      <c r="N41" s="18">
        <v>70.599999999999994</v>
      </c>
      <c r="P41" s="18">
        <v>87.3</v>
      </c>
      <c r="Q41" s="18">
        <v>66.8</v>
      </c>
      <c r="R41" s="18">
        <v>93.5</v>
      </c>
      <c r="S41" s="18">
        <v>82.7</v>
      </c>
      <c r="T41" s="18">
        <v>63.3</v>
      </c>
      <c r="U41" s="18">
        <v>75.3</v>
      </c>
      <c r="V41" s="18">
        <v>70.8</v>
      </c>
      <c r="W41" s="18">
        <v>57.8</v>
      </c>
      <c r="X41" s="18">
        <v>78.599999999999994</v>
      </c>
      <c r="Y41" s="18">
        <v>73.7</v>
      </c>
      <c r="Z41" s="18">
        <v>70.400000000000006</v>
      </c>
      <c r="AA41" s="18">
        <v>76.3</v>
      </c>
      <c r="AB41" s="18">
        <v>75.5</v>
      </c>
    </row>
    <row r="42" spans="1:28">
      <c r="A42" s="17">
        <f t="shared" si="0"/>
        <v>39479</v>
      </c>
      <c r="B42" s="18">
        <v>77.900000000000006</v>
      </c>
      <c r="C42" s="18">
        <v>59.8</v>
      </c>
      <c r="D42" s="18">
        <v>90</v>
      </c>
      <c r="E42" s="18">
        <v>80.5</v>
      </c>
      <c r="F42" s="18">
        <v>65.7</v>
      </c>
      <c r="G42" s="18">
        <v>72.099999999999994</v>
      </c>
      <c r="H42" s="18">
        <v>70.400000000000006</v>
      </c>
      <c r="I42" s="18">
        <v>58.7</v>
      </c>
      <c r="J42" s="18">
        <v>78.5</v>
      </c>
      <c r="K42" s="18">
        <v>71.8</v>
      </c>
      <c r="L42" s="18">
        <v>70</v>
      </c>
      <c r="M42" s="18">
        <v>78.7</v>
      </c>
      <c r="N42" s="18">
        <v>73.2</v>
      </c>
      <c r="P42" s="18">
        <v>85.4</v>
      </c>
      <c r="Q42" s="18">
        <v>62.5</v>
      </c>
      <c r="R42" s="18">
        <v>93.1</v>
      </c>
      <c r="S42" s="18">
        <v>82.9</v>
      </c>
      <c r="T42" s="18">
        <v>64.900000000000006</v>
      </c>
      <c r="U42" s="18">
        <v>75.400000000000006</v>
      </c>
      <c r="V42" s="18">
        <v>72.3</v>
      </c>
      <c r="W42" s="18">
        <v>57.9</v>
      </c>
      <c r="X42" s="18">
        <v>78.8</v>
      </c>
      <c r="Y42" s="18">
        <v>74.5</v>
      </c>
      <c r="Z42" s="18">
        <v>70.400000000000006</v>
      </c>
      <c r="AA42" s="18">
        <v>76.599999999999994</v>
      </c>
      <c r="AB42" s="18">
        <v>75.5</v>
      </c>
    </row>
    <row r="43" spans="1:28">
      <c r="A43" s="17">
        <f t="shared" si="0"/>
        <v>39508</v>
      </c>
      <c r="B43" s="18">
        <v>75.3</v>
      </c>
      <c r="C43" s="18">
        <v>61.1</v>
      </c>
      <c r="D43" s="18">
        <v>83.7</v>
      </c>
      <c r="E43" s="18">
        <v>83.3</v>
      </c>
      <c r="F43" s="18">
        <v>61.4</v>
      </c>
      <c r="G43" s="18">
        <v>71.5</v>
      </c>
      <c r="H43" s="18">
        <v>68.099999999999994</v>
      </c>
      <c r="I43" s="18">
        <v>59.7</v>
      </c>
      <c r="J43" s="18">
        <v>78.5</v>
      </c>
      <c r="K43" s="18">
        <v>73.7</v>
      </c>
      <c r="L43" s="18">
        <v>73.099999999999994</v>
      </c>
      <c r="M43" s="18">
        <v>73.099999999999994</v>
      </c>
      <c r="N43" s="18">
        <v>72.2</v>
      </c>
      <c r="P43" s="18">
        <v>83</v>
      </c>
      <c r="Q43" s="18">
        <v>62.2</v>
      </c>
      <c r="R43" s="18">
        <v>88.5</v>
      </c>
      <c r="S43" s="18">
        <v>81.2</v>
      </c>
      <c r="T43" s="18">
        <v>66.900000000000006</v>
      </c>
      <c r="U43" s="18">
        <v>75.8</v>
      </c>
      <c r="V43" s="18">
        <v>70.400000000000006</v>
      </c>
      <c r="W43" s="18">
        <v>57.3</v>
      </c>
      <c r="X43" s="18">
        <v>79</v>
      </c>
      <c r="Y43" s="18">
        <v>73.400000000000006</v>
      </c>
      <c r="Z43" s="18">
        <v>70.5</v>
      </c>
      <c r="AA43" s="18">
        <v>75.900000000000006</v>
      </c>
      <c r="AB43" s="18">
        <v>74.3</v>
      </c>
    </row>
    <row r="44" spans="1:28">
      <c r="A44" s="17">
        <f t="shared" si="0"/>
        <v>39539</v>
      </c>
      <c r="B44" s="18">
        <v>81.7</v>
      </c>
      <c r="C44" s="18">
        <v>62.4</v>
      </c>
      <c r="D44" s="18">
        <v>92</v>
      </c>
      <c r="E44" s="18">
        <v>82.1</v>
      </c>
      <c r="F44" s="18">
        <v>56.6</v>
      </c>
      <c r="G44" s="18">
        <v>74.900000000000006</v>
      </c>
      <c r="H44" s="18">
        <v>67.2</v>
      </c>
      <c r="I44" s="18">
        <v>55.2</v>
      </c>
      <c r="J44" s="18">
        <v>78.7</v>
      </c>
      <c r="K44" s="18">
        <v>69.599999999999994</v>
      </c>
      <c r="L44" s="18">
        <v>66.8</v>
      </c>
      <c r="M44" s="18">
        <v>77.8</v>
      </c>
      <c r="N44" s="18">
        <v>73.2</v>
      </c>
      <c r="P44" s="18">
        <v>84.3</v>
      </c>
      <c r="Q44" s="18">
        <v>62.6</v>
      </c>
      <c r="R44" s="18">
        <v>92.8</v>
      </c>
      <c r="S44" s="18">
        <v>83.7</v>
      </c>
      <c r="T44" s="18">
        <v>67.2</v>
      </c>
      <c r="U44" s="18">
        <v>75.599999999999994</v>
      </c>
      <c r="V44" s="18">
        <v>70.900000000000006</v>
      </c>
      <c r="W44" s="18">
        <v>57</v>
      </c>
      <c r="X44" s="18">
        <v>79.2</v>
      </c>
      <c r="Y44" s="18">
        <v>74</v>
      </c>
      <c r="Z44" s="18">
        <v>70.8</v>
      </c>
      <c r="AA44" s="18">
        <v>76.900000000000006</v>
      </c>
      <c r="AB44" s="18">
        <v>75.400000000000006</v>
      </c>
    </row>
    <row r="45" spans="1:28">
      <c r="A45" s="17">
        <f t="shared" si="0"/>
        <v>39569</v>
      </c>
      <c r="B45" s="18">
        <v>78.8</v>
      </c>
      <c r="C45" s="18">
        <v>65.099999999999994</v>
      </c>
      <c r="D45" s="18">
        <v>87.5</v>
      </c>
      <c r="E45" s="18">
        <v>85.9</v>
      </c>
      <c r="F45" s="18">
        <v>74.2</v>
      </c>
      <c r="G45" s="18">
        <v>73.2</v>
      </c>
      <c r="H45" s="18">
        <v>69.599999999999994</v>
      </c>
      <c r="I45" s="18">
        <v>57.2</v>
      </c>
      <c r="J45" s="18">
        <v>79.599999999999994</v>
      </c>
      <c r="K45" s="18">
        <v>71.5</v>
      </c>
      <c r="L45" s="18">
        <v>67.599999999999994</v>
      </c>
      <c r="M45" s="18">
        <v>73.599999999999994</v>
      </c>
      <c r="N45" s="18">
        <v>73.7</v>
      </c>
      <c r="P45" s="18">
        <v>79.3</v>
      </c>
      <c r="Q45" s="18">
        <v>65.3</v>
      </c>
      <c r="R45" s="18">
        <v>87.9</v>
      </c>
      <c r="S45" s="18">
        <v>83.6</v>
      </c>
      <c r="T45" s="18">
        <v>70.099999999999994</v>
      </c>
      <c r="U45" s="18">
        <v>75.400000000000006</v>
      </c>
      <c r="V45" s="18">
        <v>70.8</v>
      </c>
      <c r="W45" s="18">
        <v>57.5</v>
      </c>
      <c r="X45" s="18">
        <v>79.5</v>
      </c>
      <c r="Y45" s="18">
        <v>74</v>
      </c>
      <c r="Z45" s="18">
        <v>70.900000000000006</v>
      </c>
      <c r="AA45" s="18">
        <v>76.2</v>
      </c>
      <c r="AB45" s="18">
        <v>74.599999999999994</v>
      </c>
    </row>
    <row r="46" spans="1:28">
      <c r="A46" s="17">
        <f t="shared" si="0"/>
        <v>39600</v>
      </c>
      <c r="B46" s="18">
        <v>78.3</v>
      </c>
      <c r="C46" s="18">
        <v>63.7</v>
      </c>
      <c r="D46" s="18">
        <v>88.4</v>
      </c>
      <c r="E46" s="18">
        <v>81</v>
      </c>
      <c r="F46" s="18">
        <v>71.5</v>
      </c>
      <c r="G46" s="18">
        <v>73.3</v>
      </c>
      <c r="H46" s="18">
        <v>72.599999999999994</v>
      </c>
      <c r="I46" s="18">
        <v>56.3</v>
      </c>
      <c r="J46" s="18">
        <v>79.8</v>
      </c>
      <c r="K46" s="18">
        <v>73.099999999999994</v>
      </c>
      <c r="L46" s="18">
        <v>70</v>
      </c>
      <c r="M46" s="18">
        <v>72.400000000000006</v>
      </c>
      <c r="N46" s="18">
        <v>73.8</v>
      </c>
      <c r="P46" s="18">
        <v>81.400000000000006</v>
      </c>
      <c r="Q46" s="18">
        <v>65</v>
      </c>
      <c r="R46" s="18">
        <v>88.7</v>
      </c>
      <c r="S46" s="18">
        <v>83.7</v>
      </c>
      <c r="T46" s="18">
        <v>70.8</v>
      </c>
      <c r="U46" s="18">
        <v>75.599999999999994</v>
      </c>
      <c r="V46" s="18">
        <v>72.2</v>
      </c>
      <c r="W46" s="18">
        <v>57.9</v>
      </c>
      <c r="X46" s="18">
        <v>79.7</v>
      </c>
      <c r="Y46" s="18">
        <v>74</v>
      </c>
      <c r="Z46" s="18">
        <v>70.900000000000006</v>
      </c>
      <c r="AA46" s="18">
        <v>75.900000000000006</v>
      </c>
      <c r="AB46" s="18">
        <v>75</v>
      </c>
    </row>
    <row r="47" spans="1:28">
      <c r="A47" s="17">
        <f t="shared" si="0"/>
        <v>39630</v>
      </c>
      <c r="B47" s="18">
        <v>91.5</v>
      </c>
      <c r="C47" s="18">
        <v>64.3</v>
      </c>
      <c r="D47" s="18">
        <v>93.1</v>
      </c>
      <c r="E47" s="18">
        <v>84.4</v>
      </c>
      <c r="F47" s="18">
        <v>61.3</v>
      </c>
      <c r="G47" s="18">
        <v>76.7</v>
      </c>
      <c r="H47" s="18">
        <v>72.3</v>
      </c>
      <c r="I47" s="18">
        <v>57.6</v>
      </c>
      <c r="J47" s="18">
        <v>79.900000000000006</v>
      </c>
      <c r="K47" s="18">
        <v>73.8</v>
      </c>
      <c r="L47" s="18">
        <v>71.400000000000006</v>
      </c>
      <c r="M47" s="18">
        <v>78.400000000000006</v>
      </c>
      <c r="N47" s="18">
        <v>76.2</v>
      </c>
      <c r="P47" s="18">
        <v>84.1</v>
      </c>
      <c r="Q47" s="18">
        <v>64.900000000000006</v>
      </c>
      <c r="R47" s="18">
        <v>92</v>
      </c>
      <c r="S47" s="18">
        <v>84.6</v>
      </c>
      <c r="T47" s="18">
        <v>74.5</v>
      </c>
      <c r="U47" s="18">
        <v>75.400000000000006</v>
      </c>
      <c r="V47" s="18">
        <v>74.099999999999994</v>
      </c>
      <c r="W47" s="18">
        <v>60.5</v>
      </c>
      <c r="X47" s="18">
        <v>79.900000000000006</v>
      </c>
      <c r="Y47" s="18">
        <v>74.5</v>
      </c>
      <c r="Z47" s="18">
        <v>70.599999999999994</v>
      </c>
      <c r="AA47" s="18">
        <v>76.7</v>
      </c>
      <c r="AB47" s="18">
        <v>76.099999999999994</v>
      </c>
    </row>
    <row r="48" spans="1:28">
      <c r="A48" s="17">
        <f t="shared" si="0"/>
        <v>39661</v>
      </c>
      <c r="B48" s="18">
        <v>93</v>
      </c>
      <c r="C48" s="18">
        <v>68</v>
      </c>
      <c r="D48" s="18">
        <v>89.9</v>
      </c>
      <c r="E48" s="18">
        <v>83.7</v>
      </c>
      <c r="F48" s="18">
        <v>82.6</v>
      </c>
      <c r="G48" s="18">
        <v>74.599999999999994</v>
      </c>
      <c r="H48" s="18">
        <v>72</v>
      </c>
      <c r="I48" s="18">
        <v>54.2</v>
      </c>
      <c r="J48" s="18">
        <v>80.2</v>
      </c>
      <c r="K48" s="18">
        <v>72</v>
      </c>
      <c r="L48" s="18">
        <v>66.5</v>
      </c>
      <c r="M48" s="18">
        <v>78.2</v>
      </c>
      <c r="N48" s="18">
        <v>76.099999999999994</v>
      </c>
      <c r="P48" s="18">
        <v>85.3</v>
      </c>
      <c r="Q48" s="18">
        <v>67.900000000000006</v>
      </c>
      <c r="R48" s="18">
        <v>87.7</v>
      </c>
      <c r="S48" s="18">
        <v>83.7</v>
      </c>
      <c r="T48" s="18">
        <v>73.900000000000006</v>
      </c>
      <c r="U48" s="18">
        <v>75.7</v>
      </c>
      <c r="V48" s="18">
        <v>74</v>
      </c>
      <c r="W48" s="18">
        <v>57.2</v>
      </c>
      <c r="X48" s="18">
        <v>80.2</v>
      </c>
      <c r="Y48" s="18">
        <v>74.599999999999994</v>
      </c>
      <c r="Z48" s="18">
        <v>70.5</v>
      </c>
      <c r="AA48" s="18">
        <v>77.099999999999994</v>
      </c>
      <c r="AB48" s="18">
        <v>75.8</v>
      </c>
    </row>
    <row r="49" spans="1:28">
      <c r="A49" s="17">
        <f t="shared" si="0"/>
        <v>39692</v>
      </c>
      <c r="B49" s="18">
        <v>87.3</v>
      </c>
      <c r="C49" s="18">
        <v>67.099999999999994</v>
      </c>
      <c r="D49" s="18">
        <v>94.6</v>
      </c>
      <c r="E49" s="18">
        <v>85.5</v>
      </c>
      <c r="F49" s="18">
        <v>77.900000000000006</v>
      </c>
      <c r="G49" s="18">
        <v>74.900000000000006</v>
      </c>
      <c r="H49" s="18">
        <v>75</v>
      </c>
      <c r="I49" s="18">
        <v>63.5</v>
      </c>
      <c r="J49" s="18">
        <v>80.3</v>
      </c>
      <c r="K49" s="18">
        <v>74.3</v>
      </c>
      <c r="L49" s="18">
        <v>69</v>
      </c>
      <c r="M49" s="18">
        <v>74.900000000000006</v>
      </c>
      <c r="N49" s="18">
        <v>77.3</v>
      </c>
      <c r="P49" s="18">
        <v>81.8</v>
      </c>
      <c r="Q49" s="18">
        <v>68</v>
      </c>
      <c r="R49" s="18">
        <v>90.4</v>
      </c>
      <c r="S49" s="18">
        <v>85</v>
      </c>
      <c r="T49" s="18">
        <v>69.900000000000006</v>
      </c>
      <c r="U49" s="18">
        <v>76.099999999999994</v>
      </c>
      <c r="V49" s="18">
        <v>73.8</v>
      </c>
      <c r="W49" s="18">
        <v>60.9</v>
      </c>
      <c r="X49" s="18">
        <v>80.400000000000006</v>
      </c>
      <c r="Y49" s="18">
        <v>75.400000000000006</v>
      </c>
      <c r="Z49" s="18">
        <v>70.599999999999994</v>
      </c>
      <c r="AA49" s="18">
        <v>76.900000000000006</v>
      </c>
      <c r="AB49" s="18">
        <v>76.3</v>
      </c>
    </row>
    <row r="50" spans="1:28">
      <c r="A50" s="17">
        <f t="shared" si="0"/>
        <v>39722</v>
      </c>
      <c r="B50" s="18">
        <v>84.7</v>
      </c>
      <c r="C50" s="18">
        <v>70.3</v>
      </c>
      <c r="D50" s="18">
        <v>94.6</v>
      </c>
      <c r="E50" s="18">
        <v>88.5</v>
      </c>
      <c r="F50" s="18">
        <v>63.6</v>
      </c>
      <c r="G50" s="18">
        <v>76.099999999999994</v>
      </c>
      <c r="H50" s="18">
        <v>75.099999999999994</v>
      </c>
      <c r="I50" s="18">
        <v>61.6</v>
      </c>
      <c r="J50" s="18">
        <v>80.5</v>
      </c>
      <c r="K50" s="18">
        <v>75.8</v>
      </c>
      <c r="L50" s="18">
        <v>67.099999999999994</v>
      </c>
      <c r="M50" s="18">
        <v>83.7</v>
      </c>
      <c r="N50" s="18">
        <v>77</v>
      </c>
      <c r="P50" s="18">
        <v>82.1</v>
      </c>
      <c r="Q50" s="18">
        <v>69</v>
      </c>
      <c r="R50" s="18">
        <v>89.7</v>
      </c>
      <c r="S50" s="18">
        <v>85.8</v>
      </c>
      <c r="T50" s="18">
        <v>64.8</v>
      </c>
      <c r="U50" s="18">
        <v>75.8</v>
      </c>
      <c r="V50" s="18">
        <v>72.599999999999994</v>
      </c>
      <c r="W50" s="18">
        <v>62.6</v>
      </c>
      <c r="X50" s="18">
        <v>80.599999999999994</v>
      </c>
      <c r="Y50" s="18">
        <v>75.7</v>
      </c>
      <c r="Z50" s="18">
        <v>70.5</v>
      </c>
      <c r="AA50" s="18">
        <v>77.2</v>
      </c>
      <c r="AB50" s="18">
        <v>75.900000000000006</v>
      </c>
    </row>
    <row r="51" spans="1:28">
      <c r="A51" s="17">
        <f t="shared" si="0"/>
        <v>39753</v>
      </c>
      <c r="B51" s="18">
        <v>78.400000000000006</v>
      </c>
      <c r="C51" s="18">
        <v>66.2</v>
      </c>
      <c r="D51" s="18">
        <v>89.8</v>
      </c>
      <c r="E51" s="18">
        <v>85.2</v>
      </c>
      <c r="F51" s="18">
        <v>80.900000000000006</v>
      </c>
      <c r="G51" s="18">
        <v>77.7</v>
      </c>
      <c r="H51" s="18">
        <v>71.900000000000006</v>
      </c>
      <c r="I51" s="18">
        <v>66.2</v>
      </c>
      <c r="J51" s="18">
        <v>81.3</v>
      </c>
      <c r="K51" s="18">
        <v>80.8</v>
      </c>
      <c r="L51" s="18">
        <v>75.7</v>
      </c>
      <c r="M51" s="18">
        <v>77.5</v>
      </c>
      <c r="N51" s="18">
        <v>78</v>
      </c>
      <c r="P51" s="18">
        <v>78.599999999999994</v>
      </c>
      <c r="Q51" s="18">
        <v>63.9</v>
      </c>
      <c r="R51" s="18">
        <v>85.4</v>
      </c>
      <c r="S51" s="18">
        <v>84.7</v>
      </c>
      <c r="T51" s="18">
        <v>63.6</v>
      </c>
      <c r="U51" s="18">
        <v>75.400000000000006</v>
      </c>
      <c r="V51" s="18">
        <v>68.400000000000006</v>
      </c>
      <c r="W51" s="18">
        <v>62.7</v>
      </c>
      <c r="X51" s="18">
        <v>80.8</v>
      </c>
      <c r="Y51" s="18">
        <v>75.400000000000006</v>
      </c>
      <c r="Z51" s="18">
        <v>70.7</v>
      </c>
      <c r="AA51" s="18">
        <v>77</v>
      </c>
      <c r="AB51" s="18">
        <v>74.2</v>
      </c>
    </row>
    <row r="52" spans="1:28">
      <c r="A52" s="17">
        <f t="shared" si="0"/>
        <v>39783</v>
      </c>
      <c r="B52" s="18">
        <v>85</v>
      </c>
      <c r="C52" s="18">
        <v>68.400000000000006</v>
      </c>
      <c r="D52" s="18">
        <v>90</v>
      </c>
      <c r="E52" s="18">
        <v>83.8</v>
      </c>
      <c r="F52" s="18">
        <v>62.6</v>
      </c>
      <c r="G52" s="18">
        <v>92.2</v>
      </c>
      <c r="H52" s="18">
        <v>77.5</v>
      </c>
      <c r="I52" s="18">
        <v>64.2</v>
      </c>
      <c r="J52" s="18">
        <v>81.5</v>
      </c>
      <c r="K52" s="18">
        <v>92.8</v>
      </c>
      <c r="L52" s="18">
        <v>86.9</v>
      </c>
      <c r="M52" s="18">
        <v>80.599999999999994</v>
      </c>
      <c r="N52" s="18">
        <v>82.5</v>
      </c>
      <c r="P52" s="18">
        <v>82.6</v>
      </c>
      <c r="Q52" s="18">
        <v>65.599999999999994</v>
      </c>
      <c r="R52" s="18">
        <v>88.1</v>
      </c>
      <c r="S52" s="18">
        <v>84.3</v>
      </c>
      <c r="T52" s="18">
        <v>62.3</v>
      </c>
      <c r="U52" s="18">
        <v>75.3</v>
      </c>
      <c r="V52" s="18">
        <v>67.2</v>
      </c>
      <c r="W52" s="18">
        <v>63</v>
      </c>
      <c r="X52" s="18">
        <v>81.099999999999994</v>
      </c>
      <c r="Y52" s="18">
        <v>75.599999999999994</v>
      </c>
      <c r="Z52" s="18">
        <v>70.8</v>
      </c>
      <c r="AA52" s="18">
        <v>77.7</v>
      </c>
      <c r="AB52" s="18">
        <v>75</v>
      </c>
    </row>
    <row r="53" spans="1:28">
      <c r="A53" s="17">
        <f t="shared" si="0"/>
        <v>39814</v>
      </c>
      <c r="B53" s="18">
        <v>77.099999999999994</v>
      </c>
      <c r="C53" s="18">
        <v>66.400000000000006</v>
      </c>
      <c r="D53" s="18">
        <v>78</v>
      </c>
      <c r="E53" s="18">
        <v>83.3</v>
      </c>
      <c r="F53" s="18">
        <v>50.9</v>
      </c>
      <c r="G53" s="18">
        <v>68.7</v>
      </c>
      <c r="H53" s="18">
        <v>64.099999999999994</v>
      </c>
      <c r="I53" s="18">
        <v>61.9</v>
      </c>
      <c r="J53" s="18">
        <v>81.7</v>
      </c>
      <c r="K53" s="18">
        <v>67.400000000000006</v>
      </c>
      <c r="L53" s="18">
        <v>63.9</v>
      </c>
      <c r="M53" s="18">
        <v>72</v>
      </c>
      <c r="N53" s="18">
        <v>69.5</v>
      </c>
      <c r="P53" s="18">
        <v>80.2</v>
      </c>
      <c r="Q53" s="18">
        <v>65.900000000000006</v>
      </c>
      <c r="R53" s="18">
        <v>86.8</v>
      </c>
      <c r="S53" s="18">
        <v>84</v>
      </c>
      <c r="T53" s="18">
        <v>61.2</v>
      </c>
      <c r="U53" s="18">
        <v>74.099999999999994</v>
      </c>
      <c r="V53" s="18">
        <v>69.2</v>
      </c>
      <c r="W53" s="18">
        <v>62.1</v>
      </c>
      <c r="X53" s="18">
        <v>81.400000000000006</v>
      </c>
      <c r="Y53" s="18">
        <v>75.599999999999994</v>
      </c>
      <c r="Z53" s="18">
        <v>71</v>
      </c>
      <c r="AA53" s="18">
        <v>77</v>
      </c>
      <c r="AB53" s="18">
        <v>74.3</v>
      </c>
    </row>
    <row r="54" spans="1:28">
      <c r="A54" s="17">
        <f t="shared" si="0"/>
        <v>39845</v>
      </c>
      <c r="B54" s="18">
        <v>73.400000000000006</v>
      </c>
      <c r="C54" s="18">
        <v>67.5</v>
      </c>
      <c r="D54" s="18">
        <v>82.7</v>
      </c>
      <c r="E54" s="18">
        <v>78.3</v>
      </c>
      <c r="F54" s="18">
        <v>62.5</v>
      </c>
      <c r="G54" s="18">
        <v>70.400000000000006</v>
      </c>
      <c r="H54" s="18">
        <v>63.8</v>
      </c>
      <c r="I54" s="18">
        <v>61.8</v>
      </c>
      <c r="J54" s="18">
        <v>81.400000000000006</v>
      </c>
      <c r="K54" s="18">
        <v>73.2</v>
      </c>
      <c r="L54" s="18">
        <v>71.2</v>
      </c>
      <c r="M54" s="18">
        <v>79.7</v>
      </c>
      <c r="N54" s="18">
        <v>72.400000000000006</v>
      </c>
      <c r="P54" s="18">
        <v>81</v>
      </c>
      <c r="Q54" s="18">
        <v>73.5</v>
      </c>
      <c r="R54" s="18">
        <v>88.5</v>
      </c>
      <c r="S54" s="18">
        <v>83.4</v>
      </c>
      <c r="T54" s="18">
        <v>63.2</v>
      </c>
      <c r="U54" s="18">
        <v>75.3</v>
      </c>
      <c r="V54" s="18">
        <v>66.2</v>
      </c>
      <c r="W54" s="18">
        <v>61.8</v>
      </c>
      <c r="X54" s="18">
        <v>81.7</v>
      </c>
      <c r="Y54" s="18">
        <v>76.099999999999994</v>
      </c>
      <c r="Z54" s="18">
        <v>71.5</v>
      </c>
      <c r="AA54" s="18">
        <v>77.3</v>
      </c>
      <c r="AB54" s="18">
        <v>75.7</v>
      </c>
    </row>
    <row r="55" spans="1:28">
      <c r="A55" s="17">
        <f t="shared" si="0"/>
        <v>39873</v>
      </c>
      <c r="B55" s="18">
        <v>78.900000000000006</v>
      </c>
      <c r="C55" s="18">
        <v>69.099999999999994</v>
      </c>
      <c r="D55" s="18">
        <v>86.3</v>
      </c>
      <c r="E55" s="18">
        <v>85.2</v>
      </c>
      <c r="F55" s="18">
        <v>61.8</v>
      </c>
      <c r="G55" s="18">
        <v>70.8</v>
      </c>
      <c r="H55" s="18">
        <v>64.5</v>
      </c>
      <c r="I55" s="18">
        <v>65.2</v>
      </c>
      <c r="J55" s="18">
        <v>81.400000000000006</v>
      </c>
      <c r="K55" s="18">
        <v>76.3</v>
      </c>
      <c r="L55" s="18">
        <v>74.599999999999994</v>
      </c>
      <c r="M55" s="18">
        <v>74.599999999999994</v>
      </c>
      <c r="N55" s="18">
        <v>74.5</v>
      </c>
      <c r="P55" s="18">
        <v>82.1</v>
      </c>
      <c r="Q55" s="18">
        <v>69.5</v>
      </c>
      <c r="R55" s="18">
        <v>86.2</v>
      </c>
      <c r="S55" s="18">
        <v>81.8</v>
      </c>
      <c r="T55" s="18">
        <v>68.099999999999994</v>
      </c>
      <c r="U55" s="18">
        <v>74.3</v>
      </c>
      <c r="V55" s="18">
        <v>66.3</v>
      </c>
      <c r="W55" s="18">
        <v>62.5</v>
      </c>
      <c r="X55" s="18">
        <v>82</v>
      </c>
      <c r="Y55" s="18">
        <v>76</v>
      </c>
      <c r="Z55" s="18">
        <v>71.8</v>
      </c>
      <c r="AA55" s="18">
        <v>77.5</v>
      </c>
      <c r="AB55" s="18">
        <v>75.400000000000006</v>
      </c>
    </row>
    <row r="56" spans="1:28">
      <c r="A56" s="17">
        <f t="shared" si="0"/>
        <v>39904</v>
      </c>
      <c r="B56" s="18">
        <v>77.5</v>
      </c>
      <c r="C56" s="18">
        <v>70.5</v>
      </c>
      <c r="D56" s="18">
        <v>81.599999999999994</v>
      </c>
      <c r="E56" s="18">
        <v>81.400000000000006</v>
      </c>
      <c r="F56" s="18">
        <v>62.8</v>
      </c>
      <c r="G56" s="18">
        <v>73.7</v>
      </c>
      <c r="H56" s="18">
        <v>62.5</v>
      </c>
      <c r="I56" s="18">
        <v>56.5</v>
      </c>
      <c r="J56" s="18">
        <v>81.7</v>
      </c>
      <c r="K56" s="18">
        <v>71.900000000000006</v>
      </c>
      <c r="L56" s="18">
        <v>68.3</v>
      </c>
      <c r="M56" s="18">
        <v>79.400000000000006</v>
      </c>
      <c r="N56" s="18">
        <v>72.7</v>
      </c>
      <c r="P56" s="18">
        <v>84.1</v>
      </c>
      <c r="Q56" s="18">
        <v>70.400000000000006</v>
      </c>
      <c r="R56" s="18">
        <v>86.6</v>
      </c>
      <c r="S56" s="18">
        <v>84.2</v>
      </c>
      <c r="T56" s="18">
        <v>72.5</v>
      </c>
      <c r="U56" s="18">
        <v>74.900000000000006</v>
      </c>
      <c r="V56" s="18">
        <v>66</v>
      </c>
      <c r="W56" s="18">
        <v>58.4</v>
      </c>
      <c r="X56" s="18">
        <v>82.2</v>
      </c>
      <c r="Y56" s="18">
        <v>76.400000000000006</v>
      </c>
      <c r="Z56" s="18">
        <v>72.2</v>
      </c>
      <c r="AA56" s="18">
        <v>78.599999999999994</v>
      </c>
      <c r="AB56" s="18">
        <v>76</v>
      </c>
    </row>
    <row r="57" spans="1:28">
      <c r="A57" s="17">
        <f t="shared" si="0"/>
        <v>39934</v>
      </c>
      <c r="B57" s="18">
        <v>80.7</v>
      </c>
      <c r="C57" s="18">
        <v>69.7</v>
      </c>
      <c r="D57" s="18">
        <v>84.7</v>
      </c>
      <c r="E57" s="18">
        <v>87.2</v>
      </c>
      <c r="F57" s="18">
        <v>80.7</v>
      </c>
      <c r="G57" s="18">
        <v>73.2</v>
      </c>
      <c r="H57" s="18">
        <v>64.3</v>
      </c>
      <c r="I57" s="18">
        <v>61.5</v>
      </c>
      <c r="J57" s="18">
        <v>82.6</v>
      </c>
      <c r="K57" s="18">
        <v>74.7</v>
      </c>
      <c r="L57" s="18">
        <v>69.3</v>
      </c>
      <c r="M57" s="18">
        <v>75.599999999999994</v>
      </c>
      <c r="N57" s="18">
        <v>75.2</v>
      </c>
      <c r="P57" s="18">
        <v>80.900000000000006</v>
      </c>
      <c r="Q57" s="18">
        <v>69.099999999999994</v>
      </c>
      <c r="R57" s="18">
        <v>84.7</v>
      </c>
      <c r="S57" s="18">
        <v>84.6</v>
      </c>
      <c r="T57" s="18">
        <v>74.599999999999994</v>
      </c>
      <c r="U57" s="18">
        <v>75.099999999999994</v>
      </c>
      <c r="V57" s="18">
        <v>65.400000000000006</v>
      </c>
      <c r="W57" s="18">
        <v>61.5</v>
      </c>
      <c r="X57" s="18">
        <v>82.5</v>
      </c>
      <c r="Y57" s="18">
        <v>77</v>
      </c>
      <c r="Z57" s="18">
        <v>72.599999999999994</v>
      </c>
      <c r="AA57" s="18">
        <v>78.400000000000006</v>
      </c>
      <c r="AB57" s="18">
        <v>76</v>
      </c>
    </row>
    <row r="58" spans="1:28">
      <c r="A58" s="17">
        <f t="shared" si="0"/>
        <v>39965</v>
      </c>
      <c r="B58" s="18">
        <v>73.8</v>
      </c>
      <c r="C58" s="18">
        <v>71.8</v>
      </c>
      <c r="D58" s="18">
        <v>84.2</v>
      </c>
      <c r="E58" s="18">
        <v>82.6</v>
      </c>
      <c r="F58" s="18">
        <v>76</v>
      </c>
      <c r="G58" s="18">
        <v>73.099999999999994</v>
      </c>
      <c r="H58" s="18">
        <v>64.599999999999994</v>
      </c>
      <c r="I58" s="18">
        <v>60.4</v>
      </c>
      <c r="J58" s="18">
        <v>82.9</v>
      </c>
      <c r="K58" s="18">
        <v>75.900000000000006</v>
      </c>
      <c r="L58" s="18">
        <v>72.2</v>
      </c>
      <c r="M58" s="18">
        <v>74.3</v>
      </c>
      <c r="N58" s="18">
        <v>74.8</v>
      </c>
      <c r="P58" s="18">
        <v>76.900000000000006</v>
      </c>
      <c r="Q58" s="18">
        <v>72.5</v>
      </c>
      <c r="R58" s="18">
        <v>84.3</v>
      </c>
      <c r="S58" s="18">
        <v>85</v>
      </c>
      <c r="T58" s="18">
        <v>73.8</v>
      </c>
      <c r="U58" s="18">
        <v>75.099999999999994</v>
      </c>
      <c r="V58" s="18">
        <v>64.2</v>
      </c>
      <c r="W58" s="18">
        <v>61.9</v>
      </c>
      <c r="X58" s="18">
        <v>82.7</v>
      </c>
      <c r="Y58" s="18">
        <v>76.8</v>
      </c>
      <c r="Z58" s="18">
        <v>73</v>
      </c>
      <c r="AA58" s="18">
        <v>78.3</v>
      </c>
      <c r="AB58" s="18">
        <v>75.8</v>
      </c>
    </row>
    <row r="59" spans="1:28">
      <c r="A59" s="17">
        <f t="shared" si="0"/>
        <v>39995</v>
      </c>
      <c r="B59" s="18">
        <v>93</v>
      </c>
      <c r="C59" s="18">
        <v>75.099999999999994</v>
      </c>
      <c r="D59" s="18">
        <v>91</v>
      </c>
      <c r="E59" s="18">
        <v>86.2</v>
      </c>
      <c r="F59" s="18">
        <v>60.3</v>
      </c>
      <c r="G59" s="18">
        <v>78.2</v>
      </c>
      <c r="H59" s="18">
        <v>60.5</v>
      </c>
      <c r="I59" s="18">
        <v>59.9</v>
      </c>
      <c r="J59" s="18">
        <v>82.9</v>
      </c>
      <c r="K59" s="18">
        <v>76.400000000000006</v>
      </c>
      <c r="L59" s="18">
        <v>74.3</v>
      </c>
      <c r="M59" s="18">
        <v>80.5</v>
      </c>
      <c r="N59" s="18">
        <v>77.900000000000006</v>
      </c>
      <c r="P59" s="18">
        <v>85.7</v>
      </c>
      <c r="Q59" s="18">
        <v>75.400000000000006</v>
      </c>
      <c r="R59" s="18">
        <v>89.4</v>
      </c>
      <c r="S59" s="18">
        <v>86</v>
      </c>
      <c r="T59" s="18">
        <v>72.3</v>
      </c>
      <c r="U59" s="18">
        <v>76.5</v>
      </c>
      <c r="V59" s="18">
        <v>62</v>
      </c>
      <c r="W59" s="18">
        <v>62.6</v>
      </c>
      <c r="X59" s="18">
        <v>83</v>
      </c>
      <c r="Y59" s="18">
        <v>77.2</v>
      </c>
      <c r="Z59" s="18">
        <v>73.5</v>
      </c>
      <c r="AA59" s="18">
        <v>78.8</v>
      </c>
      <c r="AB59" s="18">
        <v>77.7</v>
      </c>
    </row>
    <row r="60" spans="1:28">
      <c r="A60" s="17">
        <f t="shared" si="0"/>
        <v>40026</v>
      </c>
      <c r="B60" s="18">
        <v>90.9</v>
      </c>
      <c r="C60" s="18">
        <v>72.900000000000006</v>
      </c>
      <c r="D60" s="18">
        <v>85.9</v>
      </c>
      <c r="E60" s="18">
        <v>86.6</v>
      </c>
      <c r="F60" s="18">
        <v>78</v>
      </c>
      <c r="G60" s="18">
        <v>74.8</v>
      </c>
      <c r="H60" s="18">
        <v>60.4</v>
      </c>
      <c r="I60" s="18">
        <v>57.8</v>
      </c>
      <c r="J60" s="18">
        <v>83.2</v>
      </c>
      <c r="K60" s="18">
        <v>74.2</v>
      </c>
      <c r="L60" s="18">
        <v>69</v>
      </c>
      <c r="M60" s="18">
        <v>79.099999999999994</v>
      </c>
      <c r="N60" s="18">
        <v>76.3</v>
      </c>
      <c r="P60" s="18">
        <v>83.7</v>
      </c>
      <c r="Q60" s="18">
        <v>72.8</v>
      </c>
      <c r="R60" s="18">
        <v>83.6</v>
      </c>
      <c r="S60" s="18">
        <v>86</v>
      </c>
      <c r="T60" s="18">
        <v>70.2</v>
      </c>
      <c r="U60" s="18">
        <v>75.599999999999994</v>
      </c>
      <c r="V60" s="18">
        <v>62</v>
      </c>
      <c r="W60" s="18">
        <v>60.8</v>
      </c>
      <c r="X60" s="18">
        <v>83.2</v>
      </c>
      <c r="Y60" s="18">
        <v>76.8</v>
      </c>
      <c r="Z60" s="18">
        <v>73.599999999999994</v>
      </c>
      <c r="AA60" s="18">
        <v>77.7</v>
      </c>
      <c r="AB60" s="18">
        <v>75.900000000000006</v>
      </c>
    </row>
    <row r="61" spans="1:28">
      <c r="A61" s="17">
        <f t="shared" si="0"/>
        <v>40057</v>
      </c>
      <c r="B61" s="18">
        <v>92.8</v>
      </c>
      <c r="C61" s="18">
        <v>71.2</v>
      </c>
      <c r="D61" s="18">
        <v>91.1</v>
      </c>
      <c r="E61" s="18">
        <v>88.6</v>
      </c>
      <c r="F61" s="18">
        <v>75.599999999999994</v>
      </c>
      <c r="G61" s="18">
        <v>73.599999999999994</v>
      </c>
      <c r="H61" s="18">
        <v>65</v>
      </c>
      <c r="I61" s="18">
        <v>64.900000000000006</v>
      </c>
      <c r="J61" s="18">
        <v>83.5</v>
      </c>
      <c r="K61" s="18">
        <v>75.8</v>
      </c>
      <c r="L61" s="18">
        <v>71.7</v>
      </c>
      <c r="M61" s="18">
        <v>76.3</v>
      </c>
      <c r="N61" s="18">
        <v>77.8</v>
      </c>
      <c r="P61" s="18">
        <v>87.1</v>
      </c>
      <c r="Q61" s="18">
        <v>72.099999999999994</v>
      </c>
      <c r="R61" s="18">
        <v>86.7</v>
      </c>
      <c r="S61" s="18">
        <v>87.8</v>
      </c>
      <c r="T61" s="18">
        <v>68.900000000000006</v>
      </c>
      <c r="U61" s="18">
        <v>75.099999999999994</v>
      </c>
      <c r="V61" s="18">
        <v>63.8</v>
      </c>
      <c r="W61" s="18">
        <v>62.2</v>
      </c>
      <c r="X61" s="18">
        <v>83.5</v>
      </c>
      <c r="Y61" s="18">
        <v>77</v>
      </c>
      <c r="Z61" s="18">
        <v>73.599999999999994</v>
      </c>
      <c r="AA61" s="18">
        <v>78.099999999999994</v>
      </c>
      <c r="AB61" s="18">
        <v>77</v>
      </c>
    </row>
    <row r="62" spans="1:28">
      <c r="A62" s="17">
        <f t="shared" si="0"/>
        <v>40087</v>
      </c>
      <c r="B62" s="18">
        <v>86.6</v>
      </c>
      <c r="C62" s="18">
        <v>73.900000000000006</v>
      </c>
      <c r="D62" s="18">
        <v>93.4</v>
      </c>
      <c r="E62" s="18">
        <v>91.4</v>
      </c>
      <c r="F62" s="18">
        <v>68.5</v>
      </c>
      <c r="G62" s="18">
        <v>76.7</v>
      </c>
      <c r="H62" s="18">
        <v>66.8</v>
      </c>
      <c r="I62" s="18">
        <v>59.5</v>
      </c>
      <c r="J62" s="18">
        <v>83.8</v>
      </c>
      <c r="K62" s="18">
        <v>77.099999999999994</v>
      </c>
      <c r="L62" s="18">
        <v>69.3</v>
      </c>
      <c r="M62" s="18">
        <v>85.9</v>
      </c>
      <c r="N62" s="18">
        <v>78.099999999999994</v>
      </c>
      <c r="P62" s="18">
        <v>84.4</v>
      </c>
      <c r="Q62" s="18">
        <v>72.400000000000006</v>
      </c>
      <c r="R62" s="18">
        <v>88.2</v>
      </c>
      <c r="S62" s="18">
        <v>88.6</v>
      </c>
      <c r="T62" s="18">
        <v>70.099999999999994</v>
      </c>
      <c r="U62" s="18">
        <v>76.5</v>
      </c>
      <c r="V62" s="18">
        <v>64.8</v>
      </c>
      <c r="W62" s="18">
        <v>60.7</v>
      </c>
      <c r="X62" s="18">
        <v>83.8</v>
      </c>
      <c r="Y62" s="18">
        <v>76.900000000000006</v>
      </c>
      <c r="Z62" s="18">
        <v>73.099999999999994</v>
      </c>
      <c r="AA62" s="18">
        <v>79.099999999999994</v>
      </c>
      <c r="AB62" s="18">
        <v>77.2</v>
      </c>
    </row>
    <row r="63" spans="1:28">
      <c r="A63" s="17">
        <f t="shared" si="0"/>
        <v>40118</v>
      </c>
      <c r="B63" s="18">
        <v>81.400000000000006</v>
      </c>
      <c r="C63" s="18">
        <v>80.099999999999994</v>
      </c>
      <c r="D63" s="18">
        <v>89.6</v>
      </c>
      <c r="E63" s="18">
        <v>89.5</v>
      </c>
      <c r="F63" s="18">
        <v>87.3</v>
      </c>
      <c r="G63" s="18">
        <v>78.599999999999994</v>
      </c>
      <c r="H63" s="18">
        <v>69.599999999999994</v>
      </c>
      <c r="I63" s="18">
        <v>64.900000000000006</v>
      </c>
      <c r="J63" s="18">
        <v>84.6</v>
      </c>
      <c r="K63" s="18">
        <v>82.3</v>
      </c>
      <c r="L63" s="18">
        <v>78.599999999999994</v>
      </c>
      <c r="M63" s="18">
        <v>80.099999999999994</v>
      </c>
      <c r="N63" s="18">
        <v>81</v>
      </c>
      <c r="P63" s="18">
        <v>82.2</v>
      </c>
      <c r="Q63" s="18">
        <v>77.7</v>
      </c>
      <c r="R63" s="18">
        <v>85.4</v>
      </c>
      <c r="S63" s="18">
        <v>88.7</v>
      </c>
      <c r="T63" s="18">
        <v>69.3</v>
      </c>
      <c r="U63" s="18">
        <v>76.099999999999994</v>
      </c>
      <c r="V63" s="18">
        <v>66.599999999999994</v>
      </c>
      <c r="W63" s="18">
        <v>62.1</v>
      </c>
      <c r="X63" s="18">
        <v>84.1</v>
      </c>
      <c r="Y63" s="18">
        <v>76.7</v>
      </c>
      <c r="Z63" s="18">
        <v>73.400000000000006</v>
      </c>
      <c r="AA63" s="18">
        <v>79.8</v>
      </c>
      <c r="AB63" s="18">
        <v>77.2</v>
      </c>
    </row>
    <row r="64" spans="1:28">
      <c r="A64" s="17">
        <f t="shared" si="0"/>
        <v>40148</v>
      </c>
      <c r="B64" s="18">
        <v>86.7</v>
      </c>
      <c r="C64" s="18">
        <v>85</v>
      </c>
      <c r="D64" s="18">
        <v>90</v>
      </c>
      <c r="E64" s="18">
        <v>89.6</v>
      </c>
      <c r="F64" s="18">
        <v>69.099999999999994</v>
      </c>
      <c r="G64" s="18">
        <v>93.6</v>
      </c>
      <c r="H64" s="18">
        <v>78.5</v>
      </c>
      <c r="I64" s="18">
        <v>62.9</v>
      </c>
      <c r="J64" s="18">
        <v>84.8</v>
      </c>
      <c r="K64" s="18">
        <v>94.8</v>
      </c>
      <c r="L64" s="18">
        <v>91.1</v>
      </c>
      <c r="M64" s="18">
        <v>84.2</v>
      </c>
      <c r="N64" s="18">
        <v>86.2</v>
      </c>
      <c r="P64" s="18">
        <v>84.8</v>
      </c>
      <c r="Q64" s="18">
        <v>81.900000000000006</v>
      </c>
      <c r="R64" s="18">
        <v>87.9</v>
      </c>
      <c r="S64" s="18">
        <v>89.9</v>
      </c>
      <c r="T64" s="18">
        <v>69.400000000000006</v>
      </c>
      <c r="U64" s="18">
        <v>76.599999999999994</v>
      </c>
      <c r="V64" s="18">
        <v>68.2</v>
      </c>
      <c r="W64" s="18">
        <v>60.6</v>
      </c>
      <c r="X64" s="18">
        <v>84.4</v>
      </c>
      <c r="Y64" s="18">
        <v>77.400000000000006</v>
      </c>
      <c r="Z64" s="18">
        <v>74.2</v>
      </c>
      <c r="AA64" s="18">
        <v>81.2</v>
      </c>
      <c r="AB64" s="18">
        <v>78.400000000000006</v>
      </c>
    </row>
    <row r="65" spans="1:28">
      <c r="A65" s="17">
        <f t="shared" si="0"/>
        <v>40179</v>
      </c>
      <c r="B65" s="18">
        <v>73.5</v>
      </c>
      <c r="C65" s="18">
        <v>79.7</v>
      </c>
      <c r="D65" s="18">
        <v>76.900000000000006</v>
      </c>
      <c r="E65" s="18">
        <v>88.8</v>
      </c>
      <c r="F65" s="18">
        <v>56.7</v>
      </c>
      <c r="G65" s="18">
        <v>71.8</v>
      </c>
      <c r="H65" s="18">
        <v>63.4</v>
      </c>
      <c r="I65" s="18">
        <v>60</v>
      </c>
      <c r="J65" s="18">
        <v>84.9</v>
      </c>
      <c r="K65" s="18">
        <v>69</v>
      </c>
      <c r="L65" s="18">
        <v>67.3</v>
      </c>
      <c r="M65" s="18">
        <v>75.099999999999994</v>
      </c>
      <c r="N65" s="18">
        <v>72.2</v>
      </c>
      <c r="P65" s="18">
        <v>75.8</v>
      </c>
      <c r="Q65" s="18">
        <v>79</v>
      </c>
      <c r="R65" s="18">
        <v>85.3</v>
      </c>
      <c r="S65" s="18">
        <v>89.3</v>
      </c>
      <c r="T65" s="18">
        <v>69.5</v>
      </c>
      <c r="U65" s="18">
        <v>77.400000000000006</v>
      </c>
      <c r="V65" s="18">
        <v>68.5</v>
      </c>
      <c r="W65" s="18">
        <v>60.5</v>
      </c>
      <c r="X65" s="18">
        <v>84.6</v>
      </c>
      <c r="Y65" s="18">
        <v>77.400000000000006</v>
      </c>
      <c r="Z65" s="18">
        <v>74.599999999999994</v>
      </c>
      <c r="AA65" s="18">
        <v>80.5</v>
      </c>
      <c r="AB65" s="18">
        <v>77.3</v>
      </c>
    </row>
    <row r="66" spans="1:28">
      <c r="A66" s="17">
        <f t="shared" si="0"/>
        <v>40210</v>
      </c>
      <c r="B66" s="18">
        <v>73.7</v>
      </c>
      <c r="C66" s="18">
        <v>73.099999999999994</v>
      </c>
      <c r="D66" s="18">
        <v>82.6</v>
      </c>
      <c r="E66" s="18">
        <v>85.3</v>
      </c>
      <c r="F66" s="18">
        <v>66.5</v>
      </c>
      <c r="G66" s="18">
        <v>73</v>
      </c>
      <c r="H66" s="18">
        <v>68.5</v>
      </c>
      <c r="I66" s="18">
        <v>59.2</v>
      </c>
      <c r="J66" s="18">
        <v>84.5</v>
      </c>
      <c r="K66" s="18">
        <v>74.599999999999994</v>
      </c>
      <c r="L66" s="18">
        <v>74.7</v>
      </c>
      <c r="M66" s="18">
        <v>82.5</v>
      </c>
      <c r="N66" s="18">
        <v>74.8</v>
      </c>
      <c r="P66" s="18">
        <v>81.5</v>
      </c>
      <c r="Q66" s="18">
        <v>79.7</v>
      </c>
      <c r="R66" s="18">
        <v>88.6</v>
      </c>
      <c r="S66" s="18">
        <v>90.4</v>
      </c>
      <c r="T66" s="18">
        <v>67.8</v>
      </c>
      <c r="U66" s="18">
        <v>77.900000000000006</v>
      </c>
      <c r="V66" s="18">
        <v>70.900000000000006</v>
      </c>
      <c r="W66" s="18">
        <v>59.8</v>
      </c>
      <c r="X66" s="18">
        <v>84.8</v>
      </c>
      <c r="Y66" s="18">
        <v>77.8</v>
      </c>
      <c r="Z66" s="18">
        <v>75</v>
      </c>
      <c r="AA66" s="18">
        <v>80.099999999999994</v>
      </c>
      <c r="AB66" s="18">
        <v>78.400000000000006</v>
      </c>
    </row>
    <row r="67" spans="1:28">
      <c r="A67" s="17">
        <f t="shared" si="0"/>
        <v>40238</v>
      </c>
      <c r="B67" s="18">
        <v>81.400000000000006</v>
      </c>
      <c r="C67" s="18">
        <v>80.099999999999994</v>
      </c>
      <c r="D67" s="18">
        <v>88.2</v>
      </c>
      <c r="E67" s="18">
        <v>93.1</v>
      </c>
      <c r="F67" s="18">
        <v>61</v>
      </c>
      <c r="G67" s="18">
        <v>74.599999999999994</v>
      </c>
      <c r="H67" s="18">
        <v>71.599999999999994</v>
      </c>
      <c r="I67" s="18">
        <v>64.099999999999994</v>
      </c>
      <c r="J67" s="18">
        <v>84.5</v>
      </c>
      <c r="K67" s="18">
        <v>78.3</v>
      </c>
      <c r="L67" s="18">
        <v>78.2</v>
      </c>
      <c r="M67" s="18">
        <v>77.099999999999994</v>
      </c>
      <c r="N67" s="18">
        <v>78</v>
      </c>
      <c r="P67" s="18">
        <v>84.1</v>
      </c>
      <c r="Q67" s="18">
        <v>80</v>
      </c>
      <c r="R67" s="18">
        <v>87.7</v>
      </c>
      <c r="S67" s="18">
        <v>89.7</v>
      </c>
      <c r="T67" s="18">
        <v>67.099999999999994</v>
      </c>
      <c r="U67" s="18">
        <v>78.400000000000006</v>
      </c>
      <c r="V67" s="18">
        <v>73.400000000000006</v>
      </c>
      <c r="W67" s="18">
        <v>61.3</v>
      </c>
      <c r="X67" s="18">
        <v>85.1</v>
      </c>
      <c r="Y67" s="18">
        <v>78.099999999999994</v>
      </c>
      <c r="Z67" s="18">
        <v>75.3</v>
      </c>
      <c r="AA67" s="18">
        <v>80.099999999999994</v>
      </c>
      <c r="AB67" s="18">
        <v>78.8</v>
      </c>
    </row>
    <row r="68" spans="1:28">
      <c r="A68" s="17">
        <f t="shared" si="0"/>
        <v>40269</v>
      </c>
      <c r="B68" s="18">
        <v>76</v>
      </c>
      <c r="C68" s="18">
        <v>81.2</v>
      </c>
      <c r="D68" s="18">
        <v>84.3</v>
      </c>
      <c r="E68" s="18">
        <v>86.9</v>
      </c>
      <c r="F68" s="18">
        <v>58.8</v>
      </c>
      <c r="G68" s="18">
        <v>76.400000000000006</v>
      </c>
      <c r="H68" s="18">
        <v>71.099999999999994</v>
      </c>
      <c r="I68" s="18">
        <v>63.4</v>
      </c>
      <c r="J68" s="18">
        <v>84.8</v>
      </c>
      <c r="K68" s="18">
        <v>73.900000000000006</v>
      </c>
      <c r="L68" s="18">
        <v>71.5</v>
      </c>
      <c r="M68" s="18">
        <v>80.5</v>
      </c>
      <c r="N68" s="18">
        <v>75.900000000000006</v>
      </c>
      <c r="P68" s="18">
        <v>82.4</v>
      </c>
      <c r="Q68" s="18">
        <v>80.900000000000006</v>
      </c>
      <c r="R68" s="18">
        <v>89.4</v>
      </c>
      <c r="S68" s="18">
        <v>89.8</v>
      </c>
      <c r="T68" s="18">
        <v>66.5</v>
      </c>
      <c r="U68" s="18">
        <v>77.7</v>
      </c>
      <c r="V68" s="18">
        <v>75.3</v>
      </c>
      <c r="W68" s="18">
        <v>65.5</v>
      </c>
      <c r="X68" s="18">
        <v>85.3</v>
      </c>
      <c r="Y68" s="18">
        <v>78.5</v>
      </c>
      <c r="Z68" s="18">
        <v>75.599999999999994</v>
      </c>
      <c r="AA68" s="18">
        <v>79.8</v>
      </c>
      <c r="AB68" s="18">
        <v>79.2</v>
      </c>
    </row>
    <row r="69" spans="1:28">
      <c r="A69" s="17">
        <f t="shared" si="0"/>
        <v>40299</v>
      </c>
      <c r="B69" s="18">
        <v>83.5</v>
      </c>
      <c r="C69" s="18">
        <v>83</v>
      </c>
      <c r="D69" s="18">
        <v>86.9</v>
      </c>
      <c r="E69" s="18">
        <v>91.9</v>
      </c>
      <c r="F69" s="18">
        <v>72.599999999999994</v>
      </c>
      <c r="G69" s="18">
        <v>76.900000000000006</v>
      </c>
      <c r="H69" s="18">
        <v>75.3</v>
      </c>
      <c r="I69" s="18">
        <v>61.9</v>
      </c>
      <c r="J69" s="18">
        <v>85.6</v>
      </c>
      <c r="K69" s="18">
        <v>76.5</v>
      </c>
      <c r="L69" s="18">
        <v>72.3</v>
      </c>
      <c r="M69" s="18">
        <v>76.7</v>
      </c>
      <c r="N69" s="18">
        <v>78.5</v>
      </c>
      <c r="P69" s="18">
        <v>83.2</v>
      </c>
      <c r="Q69" s="18">
        <v>81.900000000000006</v>
      </c>
      <c r="R69" s="18">
        <v>86.8</v>
      </c>
      <c r="S69" s="18">
        <v>89.2</v>
      </c>
      <c r="T69" s="18">
        <v>66.099999999999994</v>
      </c>
      <c r="U69" s="18">
        <v>78.900000000000006</v>
      </c>
      <c r="V69" s="18">
        <v>76.900000000000006</v>
      </c>
      <c r="W69" s="18">
        <v>61.5</v>
      </c>
      <c r="X69" s="18">
        <v>85.5</v>
      </c>
      <c r="Y69" s="18">
        <v>78.8</v>
      </c>
      <c r="Z69" s="18">
        <v>75.8</v>
      </c>
      <c r="AA69" s="18">
        <v>79.7</v>
      </c>
      <c r="AB69" s="18">
        <v>79</v>
      </c>
    </row>
    <row r="70" spans="1:28">
      <c r="A70" s="17">
        <f t="shared" si="0"/>
        <v>40330</v>
      </c>
      <c r="B70" s="18">
        <v>78.2</v>
      </c>
      <c r="C70" s="18">
        <v>80.8</v>
      </c>
      <c r="D70" s="18">
        <v>88.2</v>
      </c>
      <c r="E70" s="18">
        <v>86.9</v>
      </c>
      <c r="F70" s="18">
        <v>68</v>
      </c>
      <c r="G70" s="18">
        <v>76.900000000000006</v>
      </c>
      <c r="H70" s="18">
        <v>77</v>
      </c>
      <c r="I70" s="18">
        <v>63.1</v>
      </c>
      <c r="J70" s="18">
        <v>85.9</v>
      </c>
      <c r="K70" s="18">
        <v>77.900000000000006</v>
      </c>
      <c r="L70" s="18">
        <v>75.3</v>
      </c>
      <c r="M70" s="18">
        <v>76</v>
      </c>
      <c r="N70" s="18">
        <v>78.400000000000006</v>
      </c>
      <c r="P70" s="18">
        <v>81.099999999999994</v>
      </c>
      <c r="Q70" s="18">
        <v>81.2</v>
      </c>
      <c r="R70" s="18">
        <v>88.4</v>
      </c>
      <c r="S70" s="18">
        <v>89.1</v>
      </c>
      <c r="T70" s="18">
        <v>65.5</v>
      </c>
      <c r="U70" s="18">
        <v>79</v>
      </c>
      <c r="V70" s="18">
        <v>77</v>
      </c>
      <c r="W70" s="18">
        <v>64.5</v>
      </c>
      <c r="X70" s="18">
        <v>85.8</v>
      </c>
      <c r="Y70" s="18">
        <v>78.900000000000006</v>
      </c>
      <c r="Z70" s="18">
        <v>76.099999999999994</v>
      </c>
      <c r="AA70" s="18">
        <v>80.3</v>
      </c>
      <c r="AB70" s="18">
        <v>79.3</v>
      </c>
    </row>
    <row r="71" spans="1:28">
      <c r="A71" s="17">
        <f t="shared" si="0"/>
        <v>40360</v>
      </c>
      <c r="B71" s="18">
        <v>89.5</v>
      </c>
      <c r="C71" s="18">
        <v>79.8</v>
      </c>
      <c r="D71" s="18">
        <v>88.8</v>
      </c>
      <c r="E71" s="18">
        <v>89.6</v>
      </c>
      <c r="F71" s="18">
        <v>55</v>
      </c>
      <c r="G71" s="18">
        <v>81.599999999999994</v>
      </c>
      <c r="H71" s="18">
        <v>74.900000000000006</v>
      </c>
      <c r="I71" s="18">
        <v>61.2</v>
      </c>
      <c r="J71" s="18">
        <v>85.9</v>
      </c>
      <c r="K71" s="18">
        <v>78.2</v>
      </c>
      <c r="L71" s="18">
        <v>77</v>
      </c>
      <c r="M71" s="18">
        <v>81.599999999999994</v>
      </c>
      <c r="N71" s="18">
        <v>79.599999999999994</v>
      </c>
      <c r="P71" s="18">
        <v>82.5</v>
      </c>
      <c r="Q71" s="18">
        <v>80.099999999999994</v>
      </c>
      <c r="R71" s="18">
        <v>86.9</v>
      </c>
      <c r="S71" s="18">
        <v>89.1</v>
      </c>
      <c r="T71" s="18">
        <v>65.900000000000006</v>
      </c>
      <c r="U71" s="18">
        <v>79.7</v>
      </c>
      <c r="V71" s="18">
        <v>77.099999999999994</v>
      </c>
      <c r="W71" s="18">
        <v>63.7</v>
      </c>
      <c r="X71" s="18">
        <v>86</v>
      </c>
      <c r="Y71" s="18">
        <v>79.2</v>
      </c>
      <c r="Z71" s="18">
        <v>76.3</v>
      </c>
      <c r="AA71" s="18">
        <v>79.900000000000006</v>
      </c>
      <c r="AB71" s="18">
        <v>79.400000000000006</v>
      </c>
    </row>
    <row r="72" spans="1:28">
      <c r="A72" s="17">
        <f t="shared" ref="A72:A135" si="1">+EDATE(A71,1)</f>
        <v>40391</v>
      </c>
      <c r="B72" s="18">
        <v>91.4</v>
      </c>
      <c r="C72" s="18">
        <v>80.2</v>
      </c>
      <c r="D72" s="18">
        <v>88.4</v>
      </c>
      <c r="E72" s="18">
        <v>90.1</v>
      </c>
      <c r="F72" s="18">
        <v>74.7</v>
      </c>
      <c r="G72" s="18">
        <v>78.8</v>
      </c>
      <c r="H72" s="18">
        <v>75.900000000000006</v>
      </c>
      <c r="I72" s="18">
        <v>65.599999999999994</v>
      </c>
      <c r="J72" s="18">
        <v>86.3</v>
      </c>
      <c r="K72" s="18">
        <v>76.599999999999994</v>
      </c>
      <c r="L72" s="18">
        <v>71.3</v>
      </c>
      <c r="M72" s="18">
        <v>81.5</v>
      </c>
      <c r="N72" s="18">
        <v>79.8</v>
      </c>
      <c r="P72" s="18">
        <v>84.6</v>
      </c>
      <c r="Q72" s="18">
        <v>80.599999999999994</v>
      </c>
      <c r="R72" s="18">
        <v>86.2</v>
      </c>
      <c r="S72" s="18">
        <v>89.4</v>
      </c>
      <c r="T72" s="18">
        <v>67.5</v>
      </c>
      <c r="U72" s="18">
        <v>79.5</v>
      </c>
      <c r="V72" s="18">
        <v>78.099999999999994</v>
      </c>
      <c r="W72" s="18">
        <v>68.7</v>
      </c>
      <c r="X72" s="18">
        <v>86.2</v>
      </c>
      <c r="Y72" s="18">
        <v>79.099999999999994</v>
      </c>
      <c r="Z72" s="18">
        <v>76.3</v>
      </c>
      <c r="AA72" s="18">
        <v>79.5</v>
      </c>
      <c r="AB72" s="18">
        <v>79.400000000000006</v>
      </c>
    </row>
    <row r="73" spans="1:28">
      <c r="A73" s="17">
        <f t="shared" si="1"/>
        <v>40422</v>
      </c>
      <c r="B73" s="18">
        <v>88.7</v>
      </c>
      <c r="C73" s="18">
        <v>79.099999999999994</v>
      </c>
      <c r="D73" s="18">
        <v>93.4</v>
      </c>
      <c r="E73" s="18">
        <v>89.4</v>
      </c>
      <c r="F73" s="18">
        <v>75.8</v>
      </c>
      <c r="G73" s="18">
        <v>78.3</v>
      </c>
      <c r="H73" s="18">
        <v>80.099999999999994</v>
      </c>
      <c r="I73" s="18">
        <v>68.400000000000006</v>
      </c>
      <c r="J73" s="18">
        <v>86.4</v>
      </c>
      <c r="K73" s="18">
        <v>78.3</v>
      </c>
      <c r="L73" s="18">
        <v>74.400000000000006</v>
      </c>
      <c r="M73" s="18">
        <v>79.2</v>
      </c>
      <c r="N73" s="18">
        <v>81.2</v>
      </c>
      <c r="P73" s="18">
        <v>83.1</v>
      </c>
      <c r="Q73" s="18">
        <v>80.7</v>
      </c>
      <c r="R73" s="18">
        <v>89.1</v>
      </c>
      <c r="S73" s="18">
        <v>88.6</v>
      </c>
      <c r="T73" s="18">
        <v>69.8</v>
      </c>
      <c r="U73" s="18">
        <v>80.3</v>
      </c>
      <c r="V73" s="18">
        <v>78.8</v>
      </c>
      <c r="W73" s="18">
        <v>65.599999999999994</v>
      </c>
      <c r="X73" s="18">
        <v>86.4</v>
      </c>
      <c r="Y73" s="18">
        <v>79.599999999999994</v>
      </c>
      <c r="Z73" s="18">
        <v>76.5</v>
      </c>
      <c r="AA73" s="18">
        <v>80.599999999999994</v>
      </c>
      <c r="AB73" s="18">
        <v>80.5</v>
      </c>
    </row>
    <row r="74" spans="1:28">
      <c r="A74" s="17">
        <f t="shared" si="1"/>
        <v>40452</v>
      </c>
      <c r="B74" s="18">
        <v>87.6</v>
      </c>
      <c r="C74" s="18">
        <v>82.5</v>
      </c>
      <c r="D74" s="18">
        <v>93.5</v>
      </c>
      <c r="E74" s="18">
        <v>91.4</v>
      </c>
      <c r="F74" s="18">
        <v>71</v>
      </c>
      <c r="G74" s="18">
        <v>81.2</v>
      </c>
      <c r="H74" s="18">
        <v>81.099999999999994</v>
      </c>
      <c r="I74" s="18">
        <v>63.6</v>
      </c>
      <c r="J74" s="18">
        <v>86.5</v>
      </c>
      <c r="K74" s="18">
        <v>80</v>
      </c>
      <c r="L74" s="18">
        <v>72.599999999999994</v>
      </c>
      <c r="M74" s="18">
        <v>88.3</v>
      </c>
      <c r="N74" s="18">
        <v>81.8</v>
      </c>
      <c r="P74" s="18">
        <v>85.6</v>
      </c>
      <c r="Q74" s="18">
        <v>81.3</v>
      </c>
      <c r="R74" s="18">
        <v>88.6</v>
      </c>
      <c r="S74" s="18">
        <v>88.9</v>
      </c>
      <c r="T74" s="18">
        <v>73.099999999999994</v>
      </c>
      <c r="U74" s="18">
        <v>81.5</v>
      </c>
      <c r="V74" s="18">
        <v>78.7</v>
      </c>
      <c r="W74" s="18">
        <v>65</v>
      </c>
      <c r="X74" s="18">
        <v>86.6</v>
      </c>
      <c r="Y74" s="18">
        <v>79.7</v>
      </c>
      <c r="Z74" s="18">
        <v>76.5</v>
      </c>
      <c r="AA74" s="18">
        <v>81.099999999999994</v>
      </c>
      <c r="AB74" s="18">
        <v>81.099999999999994</v>
      </c>
    </row>
    <row r="75" spans="1:28">
      <c r="A75" s="17">
        <f t="shared" si="1"/>
        <v>40483</v>
      </c>
      <c r="B75" s="18">
        <v>82.9</v>
      </c>
      <c r="C75" s="18">
        <v>81.8</v>
      </c>
      <c r="D75" s="18">
        <v>92.9</v>
      </c>
      <c r="E75" s="18">
        <v>88.4</v>
      </c>
      <c r="F75" s="18">
        <v>93.6</v>
      </c>
      <c r="G75" s="18">
        <v>84.5</v>
      </c>
      <c r="H75" s="18">
        <v>83.4</v>
      </c>
      <c r="I75" s="18">
        <v>68.3</v>
      </c>
      <c r="J75" s="18">
        <v>87.3</v>
      </c>
      <c r="K75" s="18">
        <v>85.8</v>
      </c>
      <c r="L75" s="18">
        <v>83</v>
      </c>
      <c r="M75" s="18">
        <v>81.400000000000006</v>
      </c>
      <c r="N75" s="18">
        <v>85.1</v>
      </c>
      <c r="P75" s="18">
        <v>83.9</v>
      </c>
      <c r="Q75" s="18">
        <v>79.400000000000006</v>
      </c>
      <c r="R75" s="18">
        <v>89</v>
      </c>
      <c r="S75" s="18">
        <v>87.8</v>
      </c>
      <c r="T75" s="18">
        <v>74.7</v>
      </c>
      <c r="U75" s="18">
        <v>81.8</v>
      </c>
      <c r="V75" s="18">
        <v>80</v>
      </c>
      <c r="W75" s="18">
        <v>66.2</v>
      </c>
      <c r="X75" s="18">
        <v>86.7</v>
      </c>
      <c r="Y75" s="18">
        <v>80</v>
      </c>
      <c r="Z75" s="18">
        <v>77.5</v>
      </c>
      <c r="AA75" s="18">
        <v>81.3</v>
      </c>
      <c r="AB75" s="18">
        <v>81.2</v>
      </c>
    </row>
    <row r="76" spans="1:28">
      <c r="A76" s="17">
        <f t="shared" si="1"/>
        <v>40513</v>
      </c>
      <c r="B76" s="18">
        <v>89.6</v>
      </c>
      <c r="C76" s="18">
        <v>86.9</v>
      </c>
      <c r="D76" s="18">
        <v>93.9</v>
      </c>
      <c r="E76" s="18">
        <v>88.1</v>
      </c>
      <c r="F76" s="18">
        <v>74.2</v>
      </c>
      <c r="G76" s="18">
        <v>99.7</v>
      </c>
      <c r="H76" s="18">
        <v>92</v>
      </c>
      <c r="I76" s="18">
        <v>73</v>
      </c>
      <c r="J76" s="18">
        <v>87.4</v>
      </c>
      <c r="K76" s="18">
        <v>99.3</v>
      </c>
      <c r="L76" s="18">
        <v>96.5</v>
      </c>
      <c r="M76" s="18">
        <v>84.7</v>
      </c>
      <c r="N76" s="18">
        <v>91</v>
      </c>
      <c r="P76" s="18">
        <v>88.3</v>
      </c>
      <c r="Q76" s="18">
        <v>83.3</v>
      </c>
      <c r="R76" s="18">
        <v>91.9</v>
      </c>
      <c r="S76" s="18">
        <v>88.6</v>
      </c>
      <c r="T76" s="18">
        <v>74.5</v>
      </c>
      <c r="U76" s="18">
        <v>81.8</v>
      </c>
      <c r="V76" s="18">
        <v>79.7</v>
      </c>
      <c r="W76" s="18">
        <v>69.5</v>
      </c>
      <c r="X76" s="18">
        <v>86.9</v>
      </c>
      <c r="Y76" s="18">
        <v>81.099999999999994</v>
      </c>
      <c r="Z76" s="18">
        <v>78.3</v>
      </c>
      <c r="AA76" s="18">
        <v>81.7</v>
      </c>
      <c r="AB76" s="18">
        <v>82.7</v>
      </c>
    </row>
    <row r="77" spans="1:28">
      <c r="A77" s="17">
        <f t="shared" si="1"/>
        <v>40544</v>
      </c>
      <c r="B77" s="18">
        <v>83.3</v>
      </c>
      <c r="C77" s="18">
        <v>86.1</v>
      </c>
      <c r="D77" s="18">
        <v>82.5</v>
      </c>
      <c r="E77" s="18">
        <v>91.4</v>
      </c>
      <c r="F77" s="18">
        <v>57.8</v>
      </c>
      <c r="G77" s="18">
        <v>76.7</v>
      </c>
      <c r="H77" s="18">
        <v>75.400000000000006</v>
      </c>
      <c r="I77" s="18">
        <v>67.7</v>
      </c>
      <c r="J77" s="18">
        <v>87.4</v>
      </c>
      <c r="K77" s="18">
        <v>72.7</v>
      </c>
      <c r="L77" s="18">
        <v>71.3</v>
      </c>
      <c r="M77" s="18">
        <v>76.8</v>
      </c>
      <c r="N77" s="18">
        <v>77.5</v>
      </c>
      <c r="P77" s="18">
        <v>84.9</v>
      </c>
      <c r="Q77" s="18">
        <v>84.9</v>
      </c>
      <c r="R77" s="18">
        <v>90.7</v>
      </c>
      <c r="S77" s="18">
        <v>91.7</v>
      </c>
      <c r="T77" s="18">
        <v>71.400000000000006</v>
      </c>
      <c r="U77" s="18">
        <v>82.7</v>
      </c>
      <c r="V77" s="18">
        <v>81.7</v>
      </c>
      <c r="W77" s="18">
        <v>68.7</v>
      </c>
      <c r="X77" s="18">
        <v>87.1</v>
      </c>
      <c r="Y77" s="18">
        <v>81.7</v>
      </c>
      <c r="Z77" s="18">
        <v>79</v>
      </c>
      <c r="AA77" s="18">
        <v>82.4</v>
      </c>
      <c r="AB77" s="18">
        <v>82.9</v>
      </c>
    </row>
    <row r="78" spans="1:28">
      <c r="A78" s="17">
        <f t="shared" si="1"/>
        <v>40575</v>
      </c>
      <c r="B78" s="18">
        <v>78.400000000000006</v>
      </c>
      <c r="C78" s="18">
        <v>80.599999999999994</v>
      </c>
      <c r="D78" s="18">
        <v>85.4</v>
      </c>
      <c r="E78" s="18">
        <v>86.5</v>
      </c>
      <c r="F78" s="18">
        <v>66.8</v>
      </c>
      <c r="G78" s="18">
        <v>77.7</v>
      </c>
      <c r="H78" s="18">
        <v>79.599999999999994</v>
      </c>
      <c r="I78" s="18">
        <v>67.7</v>
      </c>
      <c r="J78" s="18">
        <v>87</v>
      </c>
      <c r="K78" s="18">
        <v>78.900000000000006</v>
      </c>
      <c r="L78" s="18">
        <v>79</v>
      </c>
      <c r="M78" s="18">
        <v>85.5</v>
      </c>
      <c r="N78" s="18">
        <v>79.099999999999994</v>
      </c>
      <c r="P78" s="18">
        <v>86.7</v>
      </c>
      <c r="Q78" s="18">
        <v>87.8</v>
      </c>
      <c r="R78" s="18">
        <v>91.7</v>
      </c>
      <c r="S78" s="18">
        <v>91.5</v>
      </c>
      <c r="T78" s="18">
        <v>68.099999999999994</v>
      </c>
      <c r="U78" s="18">
        <v>82.7</v>
      </c>
      <c r="V78" s="18">
        <v>82</v>
      </c>
      <c r="W78" s="18">
        <v>68.900000000000006</v>
      </c>
      <c r="X78" s="18">
        <v>87.3</v>
      </c>
      <c r="Y78" s="18">
        <v>82.5</v>
      </c>
      <c r="Z78" s="18">
        <v>79.5</v>
      </c>
      <c r="AA78" s="18">
        <v>83.1</v>
      </c>
      <c r="AB78" s="18">
        <v>83</v>
      </c>
    </row>
    <row r="79" spans="1:28">
      <c r="A79" s="17">
        <f t="shared" si="1"/>
        <v>40603</v>
      </c>
      <c r="B79" s="18">
        <v>82.6</v>
      </c>
      <c r="C79" s="18">
        <v>89.5</v>
      </c>
      <c r="D79" s="18">
        <v>95.2</v>
      </c>
      <c r="E79" s="18">
        <v>95.9</v>
      </c>
      <c r="F79" s="18">
        <v>63.5</v>
      </c>
      <c r="G79" s="18">
        <v>79.400000000000006</v>
      </c>
      <c r="H79" s="18">
        <v>81.2</v>
      </c>
      <c r="I79" s="18">
        <v>72.3</v>
      </c>
      <c r="J79" s="18">
        <v>86.9</v>
      </c>
      <c r="K79" s="18">
        <v>83</v>
      </c>
      <c r="L79" s="18">
        <v>82.5</v>
      </c>
      <c r="M79" s="18">
        <v>81.3</v>
      </c>
      <c r="N79" s="18">
        <v>83.1</v>
      </c>
      <c r="P79" s="18">
        <v>84.5</v>
      </c>
      <c r="Q79" s="18">
        <v>89.2</v>
      </c>
      <c r="R79" s="18">
        <v>94.3</v>
      </c>
      <c r="S79" s="18">
        <v>92.6</v>
      </c>
      <c r="T79" s="18">
        <v>69.2</v>
      </c>
      <c r="U79" s="18">
        <v>83.3</v>
      </c>
      <c r="V79" s="18">
        <v>82.7</v>
      </c>
      <c r="W79" s="18">
        <v>68.900000000000006</v>
      </c>
      <c r="X79" s="18">
        <v>87.5</v>
      </c>
      <c r="Y79" s="18">
        <v>83.1</v>
      </c>
      <c r="Z79" s="18">
        <v>79.599999999999994</v>
      </c>
      <c r="AA79" s="18">
        <v>84.4</v>
      </c>
      <c r="AB79" s="18">
        <v>83.7</v>
      </c>
    </row>
    <row r="80" spans="1:28">
      <c r="A80" s="17">
        <f t="shared" si="1"/>
        <v>40634</v>
      </c>
      <c r="B80" s="18">
        <v>76.2</v>
      </c>
      <c r="C80" s="18">
        <v>90</v>
      </c>
      <c r="D80" s="18">
        <v>86.3</v>
      </c>
      <c r="E80" s="18">
        <v>88.4</v>
      </c>
      <c r="F80" s="18">
        <v>63</v>
      </c>
      <c r="G80" s="18">
        <v>84</v>
      </c>
      <c r="H80" s="18">
        <v>77.8</v>
      </c>
      <c r="I80" s="18">
        <v>67</v>
      </c>
      <c r="J80" s="18">
        <v>87.1</v>
      </c>
      <c r="K80" s="18">
        <v>78.5</v>
      </c>
      <c r="L80" s="18">
        <v>75.2</v>
      </c>
      <c r="M80" s="18">
        <v>86</v>
      </c>
      <c r="N80" s="18">
        <v>80.400000000000006</v>
      </c>
      <c r="P80" s="18">
        <v>82.4</v>
      </c>
      <c r="Q80" s="18">
        <v>89.9</v>
      </c>
      <c r="R80" s="18">
        <v>91.4</v>
      </c>
      <c r="S80" s="18">
        <v>91.2</v>
      </c>
      <c r="T80" s="18">
        <v>70.2</v>
      </c>
      <c r="U80" s="18">
        <v>85.1</v>
      </c>
      <c r="V80" s="18">
        <v>82.2</v>
      </c>
      <c r="W80" s="18">
        <v>68.8</v>
      </c>
      <c r="X80" s="18">
        <v>87.7</v>
      </c>
      <c r="Y80" s="18">
        <v>83.5</v>
      </c>
      <c r="Z80" s="18">
        <v>79.599999999999994</v>
      </c>
      <c r="AA80" s="18">
        <v>85.5</v>
      </c>
      <c r="AB80" s="18">
        <v>83.8</v>
      </c>
    </row>
    <row r="81" spans="1:28">
      <c r="A81" s="17">
        <f t="shared" si="1"/>
        <v>40664</v>
      </c>
      <c r="B81" s="18">
        <v>84.6</v>
      </c>
      <c r="C81" s="18">
        <v>92.6</v>
      </c>
      <c r="D81" s="18">
        <v>93.1</v>
      </c>
      <c r="E81" s="18">
        <v>94.4</v>
      </c>
      <c r="F81" s="18">
        <v>78.5</v>
      </c>
      <c r="G81" s="18">
        <v>81.7</v>
      </c>
      <c r="H81" s="18">
        <v>80.8</v>
      </c>
      <c r="I81" s="18">
        <v>72.8</v>
      </c>
      <c r="J81" s="18">
        <v>88</v>
      </c>
      <c r="K81" s="18">
        <v>81.2</v>
      </c>
      <c r="L81" s="18">
        <v>76</v>
      </c>
      <c r="M81" s="18">
        <v>82.6</v>
      </c>
      <c r="N81" s="18">
        <v>83.7</v>
      </c>
      <c r="P81" s="18">
        <v>83.7</v>
      </c>
      <c r="Q81" s="18">
        <v>91.2</v>
      </c>
      <c r="R81" s="18">
        <v>92.9</v>
      </c>
      <c r="S81" s="18">
        <v>91.5</v>
      </c>
      <c r="T81" s="18">
        <v>70.5</v>
      </c>
      <c r="U81" s="18">
        <v>83.9</v>
      </c>
      <c r="V81" s="18">
        <v>82.3</v>
      </c>
      <c r="W81" s="18">
        <v>72</v>
      </c>
      <c r="X81" s="18">
        <v>87.9</v>
      </c>
      <c r="Y81" s="18">
        <v>83.8</v>
      </c>
      <c r="Z81" s="18">
        <v>79.7</v>
      </c>
      <c r="AA81" s="18">
        <v>86.2</v>
      </c>
      <c r="AB81" s="18">
        <v>84.1</v>
      </c>
    </row>
    <row r="82" spans="1:28">
      <c r="A82" s="17">
        <f t="shared" si="1"/>
        <v>40695</v>
      </c>
      <c r="B82" s="18">
        <v>81.099999999999994</v>
      </c>
      <c r="C82" s="18">
        <v>92.7</v>
      </c>
      <c r="D82" s="18">
        <v>92.3</v>
      </c>
      <c r="E82" s="18">
        <v>89.6</v>
      </c>
      <c r="F82" s="18">
        <v>75.900000000000006</v>
      </c>
      <c r="G82" s="18">
        <v>82.6</v>
      </c>
      <c r="H82" s="18">
        <v>83.2</v>
      </c>
      <c r="I82" s="18">
        <v>69.3</v>
      </c>
      <c r="J82" s="18">
        <v>88.2</v>
      </c>
      <c r="K82" s="18">
        <v>82.8</v>
      </c>
      <c r="L82" s="18">
        <v>79.099999999999994</v>
      </c>
      <c r="M82" s="18">
        <v>80.400000000000006</v>
      </c>
      <c r="N82" s="18">
        <v>83.7</v>
      </c>
      <c r="P82" s="18">
        <v>83.4</v>
      </c>
      <c r="Q82" s="18">
        <v>93</v>
      </c>
      <c r="R82" s="18">
        <v>92.7</v>
      </c>
      <c r="S82" s="18">
        <v>91.6</v>
      </c>
      <c r="T82" s="18">
        <v>72.599999999999994</v>
      </c>
      <c r="U82" s="18">
        <v>84.7</v>
      </c>
      <c r="V82" s="18">
        <v>83.2</v>
      </c>
      <c r="W82" s="18">
        <v>70.599999999999994</v>
      </c>
      <c r="X82" s="18">
        <v>88.1</v>
      </c>
      <c r="Y82" s="18">
        <v>84</v>
      </c>
      <c r="Z82" s="18">
        <v>80</v>
      </c>
      <c r="AA82" s="18">
        <v>85.3</v>
      </c>
      <c r="AB82" s="18">
        <v>84.4</v>
      </c>
    </row>
    <row r="83" spans="1:28">
      <c r="A83" s="17">
        <f t="shared" si="1"/>
        <v>40725</v>
      </c>
      <c r="B83" s="18">
        <v>88.2</v>
      </c>
      <c r="C83" s="18">
        <v>94.4</v>
      </c>
      <c r="D83" s="18">
        <v>93.9</v>
      </c>
      <c r="E83" s="18">
        <v>92.1</v>
      </c>
      <c r="F83" s="18">
        <v>62.5</v>
      </c>
      <c r="G83" s="18">
        <v>88</v>
      </c>
      <c r="H83" s="18">
        <v>83.5</v>
      </c>
      <c r="I83" s="18">
        <v>65.900000000000006</v>
      </c>
      <c r="J83" s="18">
        <v>88.2</v>
      </c>
      <c r="K83" s="18">
        <v>83.6</v>
      </c>
      <c r="L83" s="18">
        <v>80.900000000000006</v>
      </c>
      <c r="M83" s="18">
        <v>86.2</v>
      </c>
      <c r="N83" s="18">
        <v>85.1</v>
      </c>
      <c r="P83" s="18">
        <v>81.5</v>
      </c>
      <c r="Q83" s="18">
        <v>94.7</v>
      </c>
      <c r="R83" s="18">
        <v>91.6</v>
      </c>
      <c r="S83" s="18">
        <v>91.3</v>
      </c>
      <c r="T83" s="18">
        <v>74.599999999999994</v>
      </c>
      <c r="U83" s="18">
        <v>85.4</v>
      </c>
      <c r="V83" s="18">
        <v>86.1</v>
      </c>
      <c r="W83" s="18">
        <v>68.5</v>
      </c>
      <c r="X83" s="18">
        <v>88.3</v>
      </c>
      <c r="Y83" s="18">
        <v>84.9</v>
      </c>
      <c r="Z83" s="18">
        <v>80.400000000000006</v>
      </c>
      <c r="AA83" s="18">
        <v>84.3</v>
      </c>
      <c r="AB83" s="18">
        <v>84.9</v>
      </c>
    </row>
    <row r="84" spans="1:28">
      <c r="A84" s="17">
        <f t="shared" si="1"/>
        <v>40756</v>
      </c>
      <c r="B84" s="18">
        <v>90.8</v>
      </c>
      <c r="C84" s="18">
        <v>99.5</v>
      </c>
      <c r="D84" s="18">
        <v>98.1</v>
      </c>
      <c r="E84" s="18">
        <v>93.3</v>
      </c>
      <c r="F84" s="18">
        <v>84.1</v>
      </c>
      <c r="G84" s="18">
        <v>85.2</v>
      </c>
      <c r="H84" s="18">
        <v>84.6</v>
      </c>
      <c r="I84" s="18">
        <v>70.2</v>
      </c>
      <c r="J84" s="18">
        <v>88.6</v>
      </c>
      <c r="K84" s="18">
        <v>83</v>
      </c>
      <c r="L84" s="18">
        <v>75.400000000000006</v>
      </c>
      <c r="M84" s="18">
        <v>89.8</v>
      </c>
      <c r="N84" s="18">
        <v>87.1</v>
      </c>
      <c r="P84" s="18">
        <v>84.4</v>
      </c>
      <c r="Q84" s="18">
        <v>100.3</v>
      </c>
      <c r="R84" s="18">
        <v>96</v>
      </c>
      <c r="S84" s="18">
        <v>92.4</v>
      </c>
      <c r="T84" s="18">
        <v>75.900000000000006</v>
      </c>
      <c r="U84" s="18">
        <v>86.1</v>
      </c>
      <c r="V84" s="18">
        <v>87.1</v>
      </c>
      <c r="W84" s="18">
        <v>73</v>
      </c>
      <c r="X84" s="18">
        <v>88.6</v>
      </c>
      <c r="Y84" s="18">
        <v>85.7</v>
      </c>
      <c r="Z84" s="18">
        <v>80.7</v>
      </c>
      <c r="AA84" s="18">
        <v>87.2</v>
      </c>
      <c r="AB84" s="18">
        <v>86.5</v>
      </c>
    </row>
    <row r="85" spans="1:28">
      <c r="A85" s="17">
        <f t="shared" si="1"/>
        <v>40787</v>
      </c>
      <c r="B85" s="18">
        <v>92.3</v>
      </c>
      <c r="C85" s="18">
        <v>88.4</v>
      </c>
      <c r="D85" s="18">
        <v>99.3</v>
      </c>
      <c r="E85" s="18">
        <v>92.8</v>
      </c>
      <c r="F85" s="18">
        <v>82.9</v>
      </c>
      <c r="G85" s="18">
        <v>83.8</v>
      </c>
      <c r="H85" s="18">
        <v>86.1</v>
      </c>
      <c r="I85" s="18">
        <v>77.2</v>
      </c>
      <c r="J85" s="18">
        <v>88.8</v>
      </c>
      <c r="K85" s="18">
        <v>84.8</v>
      </c>
      <c r="L85" s="18">
        <v>78.900000000000006</v>
      </c>
      <c r="M85" s="18">
        <v>86.3</v>
      </c>
      <c r="N85" s="18">
        <v>86.6</v>
      </c>
      <c r="P85" s="18">
        <v>86.7</v>
      </c>
      <c r="Q85" s="18">
        <v>90.4</v>
      </c>
      <c r="R85" s="18">
        <v>94.9</v>
      </c>
      <c r="S85" s="18">
        <v>92</v>
      </c>
      <c r="T85" s="18">
        <v>77</v>
      </c>
      <c r="U85" s="18">
        <v>86.2</v>
      </c>
      <c r="V85" s="18">
        <v>84.9</v>
      </c>
      <c r="W85" s="18">
        <v>74.400000000000006</v>
      </c>
      <c r="X85" s="18">
        <v>88.8</v>
      </c>
      <c r="Y85" s="18">
        <v>86.1</v>
      </c>
      <c r="Z85" s="18">
        <v>81.2</v>
      </c>
      <c r="AA85" s="18">
        <v>87.5</v>
      </c>
      <c r="AB85" s="18">
        <v>86.1</v>
      </c>
    </row>
    <row r="86" spans="1:28">
      <c r="A86" s="17">
        <f t="shared" si="1"/>
        <v>40817</v>
      </c>
      <c r="B86" s="18">
        <v>87.7</v>
      </c>
      <c r="C86" s="18">
        <v>96.9</v>
      </c>
      <c r="D86" s="18">
        <v>96.5</v>
      </c>
      <c r="E86" s="18">
        <v>93.6</v>
      </c>
      <c r="F86" s="18">
        <v>73.5</v>
      </c>
      <c r="G86" s="18">
        <v>85.1</v>
      </c>
      <c r="H86" s="18">
        <v>88.6</v>
      </c>
      <c r="I86" s="18">
        <v>73.400000000000006</v>
      </c>
      <c r="J86" s="18">
        <v>89</v>
      </c>
      <c r="K86" s="18">
        <v>86.9</v>
      </c>
      <c r="L86" s="18">
        <v>77.5</v>
      </c>
      <c r="M86" s="18">
        <v>94.6</v>
      </c>
      <c r="N86" s="18">
        <v>86.8</v>
      </c>
      <c r="P86" s="18">
        <v>85.9</v>
      </c>
      <c r="Q86" s="18">
        <v>95.7</v>
      </c>
      <c r="R86" s="18">
        <v>91.8</v>
      </c>
      <c r="S86" s="18">
        <v>91.5</v>
      </c>
      <c r="T86" s="18">
        <v>76.7</v>
      </c>
      <c r="U86" s="18">
        <v>85.9</v>
      </c>
      <c r="V86" s="18">
        <v>85.8</v>
      </c>
      <c r="W86" s="18">
        <v>75.5</v>
      </c>
      <c r="X86" s="18">
        <v>89</v>
      </c>
      <c r="Y86" s="18">
        <v>86.5</v>
      </c>
      <c r="Z86" s="18">
        <v>81.5</v>
      </c>
      <c r="AA86" s="18">
        <v>86.7</v>
      </c>
      <c r="AB86" s="18">
        <v>86.4</v>
      </c>
    </row>
    <row r="87" spans="1:28">
      <c r="A87" s="17">
        <f t="shared" si="1"/>
        <v>40848</v>
      </c>
      <c r="B87" s="18">
        <v>85.9</v>
      </c>
      <c r="C87" s="18">
        <v>98.1</v>
      </c>
      <c r="D87" s="18">
        <v>98.2</v>
      </c>
      <c r="E87" s="18">
        <v>93</v>
      </c>
      <c r="F87" s="18">
        <v>94.7</v>
      </c>
      <c r="G87" s="18">
        <v>89.5</v>
      </c>
      <c r="H87" s="18">
        <v>89.5</v>
      </c>
      <c r="I87" s="18">
        <v>74.599999999999994</v>
      </c>
      <c r="J87" s="18">
        <v>89.8</v>
      </c>
      <c r="K87" s="18">
        <v>93.1</v>
      </c>
      <c r="L87" s="18">
        <v>88.3</v>
      </c>
      <c r="M87" s="18">
        <v>86.5</v>
      </c>
      <c r="N87" s="18">
        <v>90.9</v>
      </c>
      <c r="P87" s="18">
        <v>87.4</v>
      </c>
      <c r="Q87" s="18">
        <v>95.9</v>
      </c>
      <c r="R87" s="18">
        <v>94.7</v>
      </c>
      <c r="S87" s="18">
        <v>92.7</v>
      </c>
      <c r="T87" s="18">
        <v>76.3</v>
      </c>
      <c r="U87" s="18">
        <v>86.5</v>
      </c>
      <c r="V87" s="18">
        <v>85.8</v>
      </c>
      <c r="W87" s="18">
        <v>73.099999999999994</v>
      </c>
      <c r="X87" s="18">
        <v>89.3</v>
      </c>
      <c r="Y87" s="18">
        <v>86.6</v>
      </c>
      <c r="Z87" s="18">
        <v>82.3</v>
      </c>
      <c r="AA87" s="18">
        <v>86.5</v>
      </c>
      <c r="AB87" s="18">
        <v>86.8</v>
      </c>
    </row>
    <row r="88" spans="1:28">
      <c r="A88" s="17">
        <f t="shared" si="1"/>
        <v>40878</v>
      </c>
      <c r="B88" s="18">
        <v>84.1</v>
      </c>
      <c r="C88" s="18">
        <v>99.1</v>
      </c>
      <c r="D88" s="18">
        <v>96.4</v>
      </c>
      <c r="E88" s="18">
        <v>92</v>
      </c>
      <c r="F88" s="18">
        <v>76.3</v>
      </c>
      <c r="G88" s="18">
        <v>105.9</v>
      </c>
      <c r="H88" s="18">
        <v>99</v>
      </c>
      <c r="I88" s="18">
        <v>78.099999999999994</v>
      </c>
      <c r="J88" s="18">
        <v>90</v>
      </c>
      <c r="K88" s="18">
        <v>106.9</v>
      </c>
      <c r="L88" s="18">
        <v>102.3</v>
      </c>
      <c r="M88" s="18">
        <v>87.3</v>
      </c>
      <c r="N88" s="18">
        <v>95.5</v>
      </c>
      <c r="P88" s="18">
        <v>83.5</v>
      </c>
      <c r="Q88" s="18">
        <v>94.9</v>
      </c>
      <c r="R88" s="18">
        <v>94.4</v>
      </c>
      <c r="S88" s="18">
        <v>92.8</v>
      </c>
      <c r="T88" s="18">
        <v>76.8</v>
      </c>
      <c r="U88" s="18">
        <v>87</v>
      </c>
      <c r="V88" s="18">
        <v>85.5</v>
      </c>
      <c r="W88" s="18">
        <v>73.7</v>
      </c>
      <c r="X88" s="18">
        <v>89.5</v>
      </c>
      <c r="Y88" s="18">
        <v>87.1</v>
      </c>
      <c r="Z88" s="18">
        <v>82.8</v>
      </c>
      <c r="AA88" s="18">
        <v>84.2</v>
      </c>
      <c r="AB88" s="18">
        <v>86.8</v>
      </c>
    </row>
    <row r="89" spans="1:28">
      <c r="A89" s="17">
        <f t="shared" si="1"/>
        <v>40909</v>
      </c>
      <c r="B89" s="18">
        <v>84.8</v>
      </c>
      <c r="C89" s="18">
        <v>98</v>
      </c>
      <c r="D89" s="18">
        <v>85.1</v>
      </c>
      <c r="E89" s="18">
        <v>92.1</v>
      </c>
      <c r="F89" s="18">
        <v>63.5</v>
      </c>
      <c r="G89" s="18">
        <v>79.900000000000006</v>
      </c>
      <c r="H89" s="18">
        <v>77.099999999999994</v>
      </c>
      <c r="I89" s="18">
        <v>73.099999999999994</v>
      </c>
      <c r="J89" s="18">
        <v>90.1</v>
      </c>
      <c r="K89" s="18">
        <v>77.3</v>
      </c>
      <c r="L89" s="18">
        <v>75.099999999999994</v>
      </c>
      <c r="M89" s="18">
        <v>80.5</v>
      </c>
      <c r="N89" s="18">
        <v>81.7</v>
      </c>
      <c r="P89" s="18">
        <v>85.8</v>
      </c>
      <c r="Q89" s="18">
        <v>96.6</v>
      </c>
      <c r="R89" s="18">
        <v>93.4</v>
      </c>
      <c r="S89" s="18">
        <v>92.5</v>
      </c>
      <c r="T89" s="18">
        <v>78.5</v>
      </c>
      <c r="U89" s="18">
        <v>86.5</v>
      </c>
      <c r="V89" s="18">
        <v>83.6</v>
      </c>
      <c r="W89" s="18">
        <v>74.5</v>
      </c>
      <c r="X89" s="18">
        <v>89.7</v>
      </c>
      <c r="Y89" s="18">
        <v>87</v>
      </c>
      <c r="Z89" s="18">
        <v>83.2</v>
      </c>
      <c r="AA89" s="18">
        <v>86.4</v>
      </c>
      <c r="AB89" s="18">
        <v>87.5</v>
      </c>
    </row>
    <row r="90" spans="1:28">
      <c r="A90" s="17">
        <f t="shared" si="1"/>
        <v>40940</v>
      </c>
      <c r="B90" s="18">
        <v>78.099999999999994</v>
      </c>
      <c r="C90" s="18">
        <v>89.6</v>
      </c>
      <c r="D90" s="18">
        <v>89.9</v>
      </c>
      <c r="E90" s="18">
        <v>90.3</v>
      </c>
      <c r="F90" s="18">
        <v>79.900000000000006</v>
      </c>
      <c r="G90" s="18">
        <v>84.2</v>
      </c>
      <c r="H90" s="18">
        <v>83.3</v>
      </c>
      <c r="I90" s="18">
        <v>73.8</v>
      </c>
      <c r="J90" s="18">
        <v>89.6</v>
      </c>
      <c r="K90" s="18">
        <v>84.1</v>
      </c>
      <c r="L90" s="18">
        <v>82.9</v>
      </c>
      <c r="M90" s="18">
        <v>87.9</v>
      </c>
      <c r="N90" s="18">
        <v>84.5</v>
      </c>
      <c r="P90" s="18">
        <v>85.9</v>
      </c>
      <c r="Q90" s="18">
        <v>94.3</v>
      </c>
      <c r="R90" s="18">
        <v>94</v>
      </c>
      <c r="S90" s="18">
        <v>93</v>
      </c>
      <c r="T90" s="18">
        <v>80.5</v>
      </c>
      <c r="U90" s="18">
        <v>87.3</v>
      </c>
      <c r="V90" s="18">
        <v>84.6</v>
      </c>
      <c r="W90" s="18">
        <v>75.400000000000006</v>
      </c>
      <c r="X90" s="18">
        <v>90</v>
      </c>
      <c r="Y90" s="18">
        <v>88.1</v>
      </c>
      <c r="Z90" s="18">
        <v>83.6</v>
      </c>
      <c r="AA90" s="18">
        <v>85.8</v>
      </c>
      <c r="AB90" s="18">
        <v>87.7</v>
      </c>
    </row>
    <row r="91" spans="1:28">
      <c r="A91" s="17">
        <f t="shared" si="1"/>
        <v>40969</v>
      </c>
      <c r="B91" s="18">
        <v>85.4</v>
      </c>
      <c r="C91" s="18">
        <v>97.9</v>
      </c>
      <c r="D91" s="18">
        <v>96.3</v>
      </c>
      <c r="E91" s="18">
        <v>97.3</v>
      </c>
      <c r="F91" s="18">
        <v>78</v>
      </c>
      <c r="G91" s="18">
        <v>84.2</v>
      </c>
      <c r="H91" s="18">
        <v>82.7</v>
      </c>
      <c r="I91" s="18">
        <v>78.8</v>
      </c>
      <c r="J91" s="18">
        <v>89.6</v>
      </c>
      <c r="K91" s="18">
        <v>87.7</v>
      </c>
      <c r="L91" s="18">
        <v>86.6</v>
      </c>
      <c r="M91" s="18">
        <v>83.8</v>
      </c>
      <c r="N91" s="18">
        <v>87.8</v>
      </c>
      <c r="P91" s="18">
        <v>87.1</v>
      </c>
      <c r="Q91" s="18">
        <v>97.8</v>
      </c>
      <c r="R91" s="18">
        <v>95.5</v>
      </c>
      <c r="S91" s="18">
        <v>94.3</v>
      </c>
      <c r="T91" s="18">
        <v>83</v>
      </c>
      <c r="U91" s="18">
        <v>88.5</v>
      </c>
      <c r="V91" s="18">
        <v>84.2</v>
      </c>
      <c r="W91" s="18">
        <v>74.599999999999994</v>
      </c>
      <c r="X91" s="18">
        <v>90.2</v>
      </c>
      <c r="Y91" s="18">
        <v>87.9</v>
      </c>
      <c r="Z91" s="18">
        <v>83.9</v>
      </c>
      <c r="AA91" s="18">
        <v>87</v>
      </c>
      <c r="AB91" s="18">
        <v>88.4</v>
      </c>
    </row>
    <row r="92" spans="1:28">
      <c r="A92" s="17">
        <f t="shared" si="1"/>
        <v>41000</v>
      </c>
      <c r="B92" s="18">
        <v>80.3</v>
      </c>
      <c r="C92" s="18">
        <v>96.7</v>
      </c>
      <c r="D92" s="18">
        <v>85.8</v>
      </c>
      <c r="E92" s="18">
        <v>90.2</v>
      </c>
      <c r="F92" s="18">
        <v>75.400000000000006</v>
      </c>
      <c r="G92" s="18">
        <v>85.9</v>
      </c>
      <c r="H92" s="18">
        <v>78.5</v>
      </c>
      <c r="I92" s="18">
        <v>73.7</v>
      </c>
      <c r="J92" s="18">
        <v>89.8</v>
      </c>
      <c r="K92" s="18">
        <v>82.5</v>
      </c>
      <c r="L92" s="18">
        <v>79.2</v>
      </c>
      <c r="M92" s="18">
        <v>85.2</v>
      </c>
      <c r="N92" s="18">
        <v>84.1</v>
      </c>
      <c r="P92" s="18">
        <v>86.6</v>
      </c>
      <c r="Q92" s="18">
        <v>97.1</v>
      </c>
      <c r="R92" s="18">
        <v>91.3</v>
      </c>
      <c r="S92" s="18">
        <v>93.3</v>
      </c>
      <c r="T92" s="18">
        <v>83.2</v>
      </c>
      <c r="U92" s="18">
        <v>87.2</v>
      </c>
      <c r="V92" s="18">
        <v>83.2</v>
      </c>
      <c r="W92" s="18">
        <v>75.099999999999994</v>
      </c>
      <c r="X92" s="18">
        <v>90.4</v>
      </c>
      <c r="Y92" s="18">
        <v>87.8</v>
      </c>
      <c r="Z92" s="18">
        <v>83.9</v>
      </c>
      <c r="AA92" s="18">
        <v>84.8</v>
      </c>
      <c r="AB92" s="18">
        <v>87.7</v>
      </c>
    </row>
    <row r="93" spans="1:28">
      <c r="A93" s="17">
        <f t="shared" si="1"/>
        <v>41030</v>
      </c>
      <c r="B93" s="18">
        <v>88.8</v>
      </c>
      <c r="C93" s="18">
        <v>98.1</v>
      </c>
      <c r="D93" s="18">
        <v>93.9</v>
      </c>
      <c r="E93" s="18">
        <v>96.3</v>
      </c>
      <c r="F93" s="18">
        <v>91.7</v>
      </c>
      <c r="G93" s="18">
        <v>85.4</v>
      </c>
      <c r="H93" s="18">
        <v>82.1</v>
      </c>
      <c r="I93" s="18">
        <v>79.099999999999994</v>
      </c>
      <c r="J93" s="18">
        <v>90.7</v>
      </c>
      <c r="K93" s="18">
        <v>85.7</v>
      </c>
      <c r="L93" s="18">
        <v>80.2</v>
      </c>
      <c r="M93" s="18">
        <v>83.4</v>
      </c>
      <c r="N93" s="18">
        <v>87.9</v>
      </c>
      <c r="P93" s="18">
        <v>87.6</v>
      </c>
      <c r="Q93" s="18">
        <v>97.1</v>
      </c>
      <c r="R93" s="18">
        <v>94.1</v>
      </c>
      <c r="S93" s="18">
        <v>93.8</v>
      </c>
      <c r="T93" s="18">
        <v>81.5</v>
      </c>
      <c r="U93" s="18">
        <v>87.9</v>
      </c>
      <c r="V93" s="18">
        <v>84.2</v>
      </c>
      <c r="W93" s="18">
        <v>78.099999999999994</v>
      </c>
      <c r="X93" s="18">
        <v>90.6</v>
      </c>
      <c r="Y93" s="18">
        <v>88.5</v>
      </c>
      <c r="Z93" s="18">
        <v>84.2</v>
      </c>
      <c r="AA93" s="18">
        <v>87.3</v>
      </c>
      <c r="AB93" s="18">
        <v>88.5</v>
      </c>
    </row>
    <row r="94" spans="1:28">
      <c r="A94" s="17">
        <f t="shared" si="1"/>
        <v>41061</v>
      </c>
      <c r="B94" s="18">
        <v>85.7</v>
      </c>
      <c r="C94" s="18">
        <v>96.2</v>
      </c>
      <c r="D94" s="18">
        <v>95.1</v>
      </c>
      <c r="E94" s="18">
        <v>92</v>
      </c>
      <c r="F94" s="18">
        <v>82.6</v>
      </c>
      <c r="G94" s="18">
        <v>87.3</v>
      </c>
      <c r="H94" s="18">
        <v>83.6</v>
      </c>
      <c r="I94" s="18">
        <v>75.8</v>
      </c>
      <c r="J94" s="18">
        <v>91</v>
      </c>
      <c r="K94" s="18">
        <v>87.4</v>
      </c>
      <c r="L94" s="18">
        <v>83.5</v>
      </c>
      <c r="M94" s="18">
        <v>84.2</v>
      </c>
      <c r="N94" s="18">
        <v>87.8</v>
      </c>
      <c r="P94" s="18">
        <v>87.6</v>
      </c>
      <c r="Q94" s="18">
        <v>97.1</v>
      </c>
      <c r="R94" s="18">
        <v>96.1</v>
      </c>
      <c r="S94" s="18">
        <v>94.2</v>
      </c>
      <c r="T94" s="18">
        <v>78.7</v>
      </c>
      <c r="U94" s="18">
        <v>89.5</v>
      </c>
      <c r="V94" s="18">
        <v>84.1</v>
      </c>
      <c r="W94" s="18">
        <v>77.099999999999994</v>
      </c>
      <c r="X94" s="18">
        <v>90.9</v>
      </c>
      <c r="Y94" s="18">
        <v>88.5</v>
      </c>
      <c r="Z94" s="18">
        <v>84.4</v>
      </c>
      <c r="AA94" s="18">
        <v>89.6</v>
      </c>
      <c r="AB94" s="18">
        <v>88.5</v>
      </c>
    </row>
    <row r="95" spans="1:28">
      <c r="A95" s="17">
        <f t="shared" si="1"/>
        <v>41091</v>
      </c>
      <c r="B95" s="18">
        <v>94.2</v>
      </c>
      <c r="C95" s="18">
        <v>97.1</v>
      </c>
      <c r="D95" s="18">
        <v>95.7</v>
      </c>
      <c r="E95" s="18">
        <v>94.8</v>
      </c>
      <c r="F95" s="18">
        <v>61.1</v>
      </c>
      <c r="G95" s="18">
        <v>91.2</v>
      </c>
      <c r="H95" s="18">
        <v>81.400000000000006</v>
      </c>
      <c r="I95" s="18">
        <v>74.5</v>
      </c>
      <c r="J95" s="18">
        <v>91.1</v>
      </c>
      <c r="K95" s="18">
        <v>87.4</v>
      </c>
      <c r="L95" s="18">
        <v>85.5</v>
      </c>
      <c r="M95" s="18">
        <v>92</v>
      </c>
      <c r="N95" s="18">
        <v>88.3</v>
      </c>
      <c r="P95" s="18">
        <v>87.6</v>
      </c>
      <c r="Q95" s="18">
        <v>97.9</v>
      </c>
      <c r="R95" s="18">
        <v>93.2</v>
      </c>
      <c r="S95" s="18">
        <v>94.2</v>
      </c>
      <c r="T95" s="18">
        <v>72.2</v>
      </c>
      <c r="U95" s="18">
        <v>88.4</v>
      </c>
      <c r="V95" s="18">
        <v>84.2</v>
      </c>
      <c r="W95" s="18">
        <v>77.2</v>
      </c>
      <c r="X95" s="18">
        <v>91.2</v>
      </c>
      <c r="Y95" s="18">
        <v>88.7</v>
      </c>
      <c r="Z95" s="18">
        <v>84.9</v>
      </c>
      <c r="AA95" s="18">
        <v>89.8</v>
      </c>
      <c r="AB95" s="18">
        <v>88</v>
      </c>
    </row>
    <row r="96" spans="1:28">
      <c r="A96" s="17">
        <f t="shared" si="1"/>
        <v>41122</v>
      </c>
      <c r="B96" s="18">
        <v>92.2</v>
      </c>
      <c r="C96" s="18">
        <v>94</v>
      </c>
      <c r="D96" s="18">
        <v>97.1</v>
      </c>
      <c r="E96" s="18">
        <v>95</v>
      </c>
      <c r="F96" s="18">
        <v>75.7</v>
      </c>
      <c r="G96" s="18">
        <v>86.2</v>
      </c>
      <c r="H96" s="18">
        <v>82</v>
      </c>
      <c r="I96" s="18">
        <v>74.599999999999994</v>
      </c>
      <c r="J96" s="18">
        <v>91.5</v>
      </c>
      <c r="K96" s="18">
        <v>85.7</v>
      </c>
      <c r="L96" s="18">
        <v>80</v>
      </c>
      <c r="M96" s="18">
        <v>93.5</v>
      </c>
      <c r="N96" s="18">
        <v>87.4</v>
      </c>
      <c r="P96" s="18">
        <v>86.2</v>
      </c>
      <c r="Q96" s="18">
        <v>95.4</v>
      </c>
      <c r="R96" s="18">
        <v>95.3</v>
      </c>
      <c r="S96" s="18">
        <v>94.3</v>
      </c>
      <c r="T96" s="18">
        <v>67.599999999999994</v>
      </c>
      <c r="U96" s="18">
        <v>87.6</v>
      </c>
      <c r="V96" s="18">
        <v>84.7</v>
      </c>
      <c r="W96" s="18">
        <v>77.099999999999994</v>
      </c>
      <c r="X96" s="18">
        <v>91.5</v>
      </c>
      <c r="Y96" s="18">
        <v>88.5</v>
      </c>
      <c r="Z96" s="18">
        <v>85.5</v>
      </c>
      <c r="AA96" s="18">
        <v>90.4</v>
      </c>
      <c r="AB96" s="18">
        <v>86.8</v>
      </c>
    </row>
    <row r="97" spans="1:28">
      <c r="A97" s="17">
        <f t="shared" si="1"/>
        <v>41153</v>
      </c>
      <c r="B97" s="18">
        <v>91.4</v>
      </c>
      <c r="C97" s="18">
        <v>97.1</v>
      </c>
      <c r="D97" s="18">
        <v>98.4</v>
      </c>
      <c r="E97" s="18">
        <v>95.1</v>
      </c>
      <c r="F97" s="18">
        <v>75.3</v>
      </c>
      <c r="G97" s="18">
        <v>86.1</v>
      </c>
      <c r="H97" s="18">
        <v>86.8</v>
      </c>
      <c r="I97" s="18">
        <v>78.900000000000006</v>
      </c>
      <c r="J97" s="18">
        <v>91.7</v>
      </c>
      <c r="K97" s="18">
        <v>88.3</v>
      </c>
      <c r="L97" s="18">
        <v>83.9</v>
      </c>
      <c r="M97" s="18">
        <v>89.4</v>
      </c>
      <c r="N97" s="18">
        <v>88.9</v>
      </c>
      <c r="P97" s="18">
        <v>86.3</v>
      </c>
      <c r="Q97" s="18">
        <v>99.5</v>
      </c>
      <c r="R97" s="18">
        <v>94.2</v>
      </c>
      <c r="S97" s="18">
        <v>94.4</v>
      </c>
      <c r="T97" s="18">
        <v>70.099999999999994</v>
      </c>
      <c r="U97" s="18">
        <v>89</v>
      </c>
      <c r="V97" s="18">
        <v>85.9</v>
      </c>
      <c r="W97" s="18">
        <v>76.8</v>
      </c>
      <c r="X97" s="18">
        <v>91.7</v>
      </c>
      <c r="Y97" s="18">
        <v>89.5</v>
      </c>
      <c r="Z97" s="18">
        <v>86.1</v>
      </c>
      <c r="AA97" s="18">
        <v>90.3</v>
      </c>
      <c r="AB97" s="18">
        <v>88.6</v>
      </c>
    </row>
    <row r="98" spans="1:28">
      <c r="A98" s="17">
        <f t="shared" si="1"/>
        <v>41183</v>
      </c>
      <c r="B98" s="18">
        <v>87.7</v>
      </c>
      <c r="C98" s="18">
        <v>99.6</v>
      </c>
      <c r="D98" s="18">
        <v>98.5</v>
      </c>
      <c r="E98" s="18">
        <v>95.3</v>
      </c>
      <c r="F98" s="18">
        <v>71</v>
      </c>
      <c r="G98" s="18">
        <v>86.6</v>
      </c>
      <c r="H98" s="18">
        <v>89.5</v>
      </c>
      <c r="I98" s="18">
        <v>73.599999999999994</v>
      </c>
      <c r="J98" s="18">
        <v>91.9</v>
      </c>
      <c r="K98" s="18">
        <v>90.2</v>
      </c>
      <c r="L98" s="18">
        <v>82.4</v>
      </c>
      <c r="M98" s="18">
        <v>97.3</v>
      </c>
      <c r="N98" s="18">
        <v>88.7</v>
      </c>
      <c r="P98" s="18">
        <v>86.2</v>
      </c>
      <c r="Q98" s="18">
        <v>98.5</v>
      </c>
      <c r="R98" s="18">
        <v>94.2</v>
      </c>
      <c r="S98" s="18">
        <v>93.5</v>
      </c>
      <c r="T98" s="18">
        <v>75.5</v>
      </c>
      <c r="U98" s="18">
        <v>87.9</v>
      </c>
      <c r="V98" s="18">
        <v>86.7</v>
      </c>
      <c r="W98" s="18">
        <v>75.7</v>
      </c>
      <c r="X98" s="18">
        <v>91.9</v>
      </c>
      <c r="Y98" s="18">
        <v>89.5</v>
      </c>
      <c r="Z98" s="18">
        <v>86.5</v>
      </c>
      <c r="AA98" s="18">
        <v>88.9</v>
      </c>
      <c r="AB98" s="18">
        <v>88.7</v>
      </c>
    </row>
    <row r="99" spans="1:28">
      <c r="A99" s="17">
        <f t="shared" si="1"/>
        <v>41214</v>
      </c>
      <c r="B99" s="18">
        <v>85.6</v>
      </c>
      <c r="C99" s="18">
        <v>102.3</v>
      </c>
      <c r="D99" s="18">
        <v>96.9</v>
      </c>
      <c r="E99" s="18">
        <v>94.4</v>
      </c>
      <c r="F99" s="18">
        <v>98.4</v>
      </c>
      <c r="G99" s="18">
        <v>92.4</v>
      </c>
      <c r="H99" s="18">
        <v>91.3</v>
      </c>
      <c r="I99" s="18">
        <v>79</v>
      </c>
      <c r="J99" s="18">
        <v>92.7</v>
      </c>
      <c r="K99" s="18">
        <v>97</v>
      </c>
      <c r="L99" s="18">
        <v>93.5</v>
      </c>
      <c r="M99" s="18">
        <v>87.7</v>
      </c>
      <c r="N99" s="18">
        <v>93.6</v>
      </c>
      <c r="P99" s="18">
        <v>87.3</v>
      </c>
      <c r="Q99" s="18">
        <v>100.2</v>
      </c>
      <c r="R99" s="18">
        <v>93.7</v>
      </c>
      <c r="S99" s="18">
        <v>94.4</v>
      </c>
      <c r="T99" s="18">
        <v>80.400000000000006</v>
      </c>
      <c r="U99" s="18">
        <v>89.3</v>
      </c>
      <c r="V99" s="18">
        <v>87.7</v>
      </c>
      <c r="W99" s="18">
        <v>78</v>
      </c>
      <c r="X99" s="18">
        <v>92.1</v>
      </c>
      <c r="Y99" s="18">
        <v>90</v>
      </c>
      <c r="Z99" s="18">
        <v>87.1</v>
      </c>
      <c r="AA99" s="18">
        <v>87.8</v>
      </c>
      <c r="AB99" s="18">
        <v>89.3</v>
      </c>
    </row>
    <row r="100" spans="1:28">
      <c r="A100" s="17">
        <f t="shared" si="1"/>
        <v>41244</v>
      </c>
      <c r="B100" s="18">
        <v>86.1</v>
      </c>
      <c r="C100" s="18">
        <v>101</v>
      </c>
      <c r="D100" s="18">
        <v>93.6</v>
      </c>
      <c r="E100" s="18">
        <v>93.6</v>
      </c>
      <c r="F100" s="18">
        <v>78.8</v>
      </c>
      <c r="G100" s="18">
        <v>108.9</v>
      </c>
      <c r="H100" s="18">
        <v>104</v>
      </c>
      <c r="I100" s="18">
        <v>86.2</v>
      </c>
      <c r="J100" s="18">
        <v>92.9</v>
      </c>
      <c r="K100" s="18">
        <v>111.1</v>
      </c>
      <c r="L100" s="18">
        <v>107.4</v>
      </c>
      <c r="M100" s="18">
        <v>89.3</v>
      </c>
      <c r="N100" s="18">
        <v>98.1</v>
      </c>
      <c r="P100" s="18">
        <v>86.3</v>
      </c>
      <c r="Q100" s="18">
        <v>95.9</v>
      </c>
      <c r="R100" s="18">
        <v>91.5</v>
      </c>
      <c r="S100" s="18">
        <v>94.7</v>
      </c>
      <c r="T100" s="18">
        <v>80.099999999999994</v>
      </c>
      <c r="U100" s="18">
        <v>89.5</v>
      </c>
      <c r="V100" s="18">
        <v>89.5</v>
      </c>
      <c r="W100" s="18">
        <v>81.3</v>
      </c>
      <c r="X100" s="18">
        <v>92.4</v>
      </c>
      <c r="Y100" s="18">
        <v>90.4</v>
      </c>
      <c r="Z100" s="18">
        <v>86.8</v>
      </c>
      <c r="AA100" s="18">
        <v>86.2</v>
      </c>
      <c r="AB100" s="18">
        <v>89.2</v>
      </c>
    </row>
    <row r="101" spans="1:28">
      <c r="A101" s="17">
        <f t="shared" si="1"/>
        <v>41275</v>
      </c>
      <c r="B101" s="18">
        <v>90.9</v>
      </c>
      <c r="C101" s="18">
        <v>106.1</v>
      </c>
      <c r="D101" s="18">
        <v>85.6</v>
      </c>
      <c r="E101" s="18">
        <v>95.7</v>
      </c>
      <c r="F101" s="18">
        <v>65.5</v>
      </c>
      <c r="G101" s="18">
        <v>83.4</v>
      </c>
      <c r="H101" s="18">
        <v>83.4</v>
      </c>
      <c r="I101" s="18">
        <v>78.7</v>
      </c>
      <c r="J101" s="18">
        <v>92.9</v>
      </c>
      <c r="K101" s="18">
        <v>80.099999999999994</v>
      </c>
      <c r="L101" s="18">
        <v>78.400000000000006</v>
      </c>
      <c r="M101" s="18">
        <v>83</v>
      </c>
      <c r="N101" s="18">
        <v>85.1</v>
      </c>
      <c r="P101" s="18">
        <v>91.6</v>
      </c>
      <c r="Q101" s="18">
        <v>104.2</v>
      </c>
      <c r="R101" s="18">
        <v>93.8</v>
      </c>
      <c r="S101" s="18">
        <v>96.1</v>
      </c>
      <c r="T101" s="18">
        <v>80.8</v>
      </c>
      <c r="U101" s="18">
        <v>90.4</v>
      </c>
      <c r="V101" s="18">
        <v>90.6</v>
      </c>
      <c r="W101" s="18">
        <v>80.3</v>
      </c>
      <c r="X101" s="18">
        <v>92.6</v>
      </c>
      <c r="Y101" s="18">
        <v>90.4</v>
      </c>
      <c r="Z101" s="18">
        <v>86.9</v>
      </c>
      <c r="AA101" s="18">
        <v>89.2</v>
      </c>
      <c r="AB101" s="18">
        <v>91.3</v>
      </c>
    </row>
    <row r="102" spans="1:28">
      <c r="A102" s="17">
        <f t="shared" si="1"/>
        <v>41306</v>
      </c>
      <c r="B102" s="18">
        <v>81.2</v>
      </c>
      <c r="C102" s="18">
        <v>90</v>
      </c>
      <c r="D102" s="18">
        <v>87.1</v>
      </c>
      <c r="E102" s="18">
        <v>91.4</v>
      </c>
      <c r="F102" s="18">
        <v>81.599999999999994</v>
      </c>
      <c r="G102" s="18">
        <v>85.8</v>
      </c>
      <c r="H102" s="18">
        <v>88</v>
      </c>
      <c r="I102" s="18">
        <v>80.2</v>
      </c>
      <c r="J102" s="18">
        <v>92.4</v>
      </c>
      <c r="K102" s="18">
        <v>86.2</v>
      </c>
      <c r="L102" s="18">
        <v>85.8</v>
      </c>
      <c r="M102" s="18">
        <v>93.9</v>
      </c>
      <c r="N102" s="18">
        <v>86.4</v>
      </c>
      <c r="P102" s="18">
        <v>88.7</v>
      </c>
      <c r="Q102" s="18">
        <v>97.7</v>
      </c>
      <c r="R102" s="18">
        <v>94.3</v>
      </c>
      <c r="S102" s="18">
        <v>96.4</v>
      </c>
      <c r="T102" s="18">
        <v>81.3</v>
      </c>
      <c r="U102" s="18">
        <v>90.9</v>
      </c>
      <c r="V102" s="18">
        <v>90.6</v>
      </c>
      <c r="W102" s="18">
        <v>82</v>
      </c>
      <c r="X102" s="18">
        <v>92.8</v>
      </c>
      <c r="Y102" s="18">
        <v>90.7</v>
      </c>
      <c r="Z102" s="18">
        <v>87</v>
      </c>
      <c r="AA102" s="18">
        <v>91.3</v>
      </c>
      <c r="AB102" s="18">
        <v>90.7</v>
      </c>
    </row>
    <row r="103" spans="1:28">
      <c r="A103" s="17">
        <f t="shared" si="1"/>
        <v>41334</v>
      </c>
      <c r="B103" s="18">
        <v>84.8</v>
      </c>
      <c r="C103" s="18">
        <v>97.8</v>
      </c>
      <c r="D103" s="18">
        <v>86.9</v>
      </c>
      <c r="E103" s="18">
        <v>98.2</v>
      </c>
      <c r="F103" s="18">
        <v>78.2</v>
      </c>
      <c r="G103" s="18">
        <v>85.8</v>
      </c>
      <c r="H103" s="18">
        <v>87.5</v>
      </c>
      <c r="I103" s="18">
        <v>89.1</v>
      </c>
      <c r="J103" s="18">
        <v>92.5</v>
      </c>
      <c r="K103" s="18">
        <v>90.1</v>
      </c>
      <c r="L103" s="18">
        <v>90.1</v>
      </c>
      <c r="M103" s="18">
        <v>88</v>
      </c>
      <c r="N103" s="18">
        <v>88.6</v>
      </c>
      <c r="P103" s="18">
        <v>90.7</v>
      </c>
      <c r="Q103" s="18">
        <v>97.7</v>
      </c>
      <c r="R103" s="18">
        <v>90.3</v>
      </c>
      <c r="S103" s="18">
        <v>96.4</v>
      </c>
      <c r="T103" s="18">
        <v>82.1</v>
      </c>
      <c r="U103" s="18">
        <v>90.8</v>
      </c>
      <c r="V103" s="18">
        <v>88.9</v>
      </c>
      <c r="W103" s="18">
        <v>84</v>
      </c>
      <c r="X103" s="18">
        <v>93.1</v>
      </c>
      <c r="Y103" s="18">
        <v>90.6</v>
      </c>
      <c r="Z103" s="18">
        <v>87.6</v>
      </c>
      <c r="AA103" s="18">
        <v>91.5</v>
      </c>
      <c r="AB103" s="18">
        <v>90.3</v>
      </c>
    </row>
    <row r="104" spans="1:28">
      <c r="A104" s="17">
        <f t="shared" si="1"/>
        <v>41365</v>
      </c>
      <c r="B104" s="18">
        <v>94.5</v>
      </c>
      <c r="C104" s="18">
        <v>99.5</v>
      </c>
      <c r="D104" s="18">
        <v>95.7</v>
      </c>
      <c r="E104" s="18">
        <v>96.3</v>
      </c>
      <c r="F104" s="18">
        <v>75.5</v>
      </c>
      <c r="G104" s="18">
        <v>91.4</v>
      </c>
      <c r="H104" s="18">
        <v>85.3</v>
      </c>
      <c r="I104" s="18">
        <v>84</v>
      </c>
      <c r="J104" s="18">
        <v>92.8</v>
      </c>
      <c r="K104" s="18">
        <v>86.3</v>
      </c>
      <c r="L104" s="18">
        <v>83.6</v>
      </c>
      <c r="M104" s="18">
        <v>91.7</v>
      </c>
      <c r="N104" s="18">
        <v>89.8</v>
      </c>
      <c r="P104" s="18">
        <v>97</v>
      </c>
      <c r="Q104" s="18">
        <v>100.2</v>
      </c>
      <c r="R104" s="18">
        <v>96.7</v>
      </c>
      <c r="S104" s="18">
        <v>98</v>
      </c>
      <c r="T104" s="18">
        <v>83.7</v>
      </c>
      <c r="U104" s="18">
        <v>91.8</v>
      </c>
      <c r="V104" s="18">
        <v>90.5</v>
      </c>
      <c r="W104" s="18">
        <v>85.2</v>
      </c>
      <c r="X104" s="18">
        <v>93.4</v>
      </c>
      <c r="Y104" s="18">
        <v>92.1</v>
      </c>
      <c r="Z104" s="18">
        <v>88.8</v>
      </c>
      <c r="AA104" s="18">
        <v>91.6</v>
      </c>
      <c r="AB104" s="18">
        <v>92.4</v>
      </c>
    </row>
    <row r="105" spans="1:28">
      <c r="A105" s="17">
        <f t="shared" si="1"/>
        <v>41395</v>
      </c>
      <c r="B105" s="18">
        <v>95.2</v>
      </c>
      <c r="C105" s="18">
        <v>104.9</v>
      </c>
      <c r="D105" s="18">
        <v>95.6</v>
      </c>
      <c r="E105" s="18">
        <v>100.5</v>
      </c>
      <c r="F105" s="18">
        <v>97.1</v>
      </c>
      <c r="G105" s="18">
        <v>89.5</v>
      </c>
      <c r="H105" s="18">
        <v>88.9</v>
      </c>
      <c r="I105" s="18">
        <v>83.9</v>
      </c>
      <c r="J105" s="18">
        <v>93.7</v>
      </c>
      <c r="K105" s="18">
        <v>89.5</v>
      </c>
      <c r="L105" s="18">
        <v>85.4</v>
      </c>
      <c r="M105" s="18">
        <v>89.2</v>
      </c>
      <c r="N105" s="18">
        <v>92.5</v>
      </c>
      <c r="P105" s="18">
        <v>93.9</v>
      </c>
      <c r="Q105" s="18">
        <v>103.9</v>
      </c>
      <c r="R105" s="18">
        <v>95.5</v>
      </c>
      <c r="S105" s="18">
        <v>98</v>
      </c>
      <c r="T105" s="18">
        <v>86.5</v>
      </c>
      <c r="U105" s="18">
        <v>92.1</v>
      </c>
      <c r="V105" s="18">
        <v>91.3</v>
      </c>
      <c r="W105" s="18">
        <v>83.1</v>
      </c>
      <c r="X105" s="18">
        <v>93.7</v>
      </c>
      <c r="Y105" s="18">
        <v>92.7</v>
      </c>
      <c r="Z105" s="18">
        <v>89.5</v>
      </c>
      <c r="AA105" s="18">
        <v>93.8</v>
      </c>
      <c r="AB105" s="18">
        <v>93.1</v>
      </c>
    </row>
    <row r="106" spans="1:28">
      <c r="A106" s="17">
        <f t="shared" si="1"/>
        <v>41426</v>
      </c>
      <c r="B106" s="18">
        <v>93.6</v>
      </c>
      <c r="C106" s="18">
        <v>100.5</v>
      </c>
      <c r="D106" s="18">
        <v>93.8</v>
      </c>
      <c r="E106" s="18">
        <v>94.8</v>
      </c>
      <c r="F106" s="18">
        <v>91.1</v>
      </c>
      <c r="G106" s="18">
        <v>90.7</v>
      </c>
      <c r="H106" s="18">
        <v>92.1</v>
      </c>
      <c r="I106" s="18">
        <v>80.5</v>
      </c>
      <c r="J106" s="18">
        <v>94</v>
      </c>
      <c r="K106" s="18">
        <v>91.5</v>
      </c>
      <c r="L106" s="18">
        <v>89.1</v>
      </c>
      <c r="M106" s="18">
        <v>87.5</v>
      </c>
      <c r="N106" s="18">
        <v>91.9</v>
      </c>
      <c r="P106" s="18">
        <v>95.2</v>
      </c>
      <c r="Q106" s="18">
        <v>101.5</v>
      </c>
      <c r="R106" s="18">
        <v>94.7</v>
      </c>
      <c r="S106" s="18">
        <v>96.5</v>
      </c>
      <c r="T106" s="18">
        <v>87</v>
      </c>
      <c r="U106" s="18">
        <v>92.7</v>
      </c>
      <c r="V106" s="18">
        <v>92.4</v>
      </c>
      <c r="W106" s="18">
        <v>81.7</v>
      </c>
      <c r="X106" s="18">
        <v>93.9</v>
      </c>
      <c r="Y106" s="18">
        <v>92.5</v>
      </c>
      <c r="Z106" s="18">
        <v>89.7</v>
      </c>
      <c r="AA106" s="18">
        <v>93.6</v>
      </c>
      <c r="AB106" s="18">
        <v>92.4</v>
      </c>
    </row>
    <row r="107" spans="1:28">
      <c r="A107" s="17">
        <f t="shared" si="1"/>
        <v>41456</v>
      </c>
      <c r="B107" s="18">
        <v>100.4</v>
      </c>
      <c r="C107" s="18">
        <v>106.4</v>
      </c>
      <c r="D107" s="18">
        <v>101.1</v>
      </c>
      <c r="E107" s="18">
        <v>98.7</v>
      </c>
      <c r="F107" s="18">
        <v>75.099999999999994</v>
      </c>
      <c r="G107" s="18">
        <v>96.3</v>
      </c>
      <c r="H107" s="18">
        <v>90.6</v>
      </c>
      <c r="I107" s="18">
        <v>80</v>
      </c>
      <c r="J107" s="18">
        <v>94</v>
      </c>
      <c r="K107" s="18">
        <v>92.1</v>
      </c>
      <c r="L107" s="18">
        <v>90.9</v>
      </c>
      <c r="M107" s="18">
        <v>95.1</v>
      </c>
      <c r="N107" s="18">
        <v>94.4</v>
      </c>
      <c r="P107" s="18">
        <v>93.8</v>
      </c>
      <c r="Q107" s="18">
        <v>107.1</v>
      </c>
      <c r="R107" s="18">
        <v>98.1</v>
      </c>
      <c r="S107" s="18">
        <v>97.6</v>
      </c>
      <c r="T107" s="18">
        <v>88</v>
      </c>
      <c r="U107" s="18">
        <v>92.8</v>
      </c>
      <c r="V107" s="18">
        <v>93.5</v>
      </c>
      <c r="W107" s="18">
        <v>82.4</v>
      </c>
      <c r="X107" s="18">
        <v>94.1</v>
      </c>
      <c r="Y107" s="18">
        <v>93.4</v>
      </c>
      <c r="Z107" s="18">
        <v>90</v>
      </c>
      <c r="AA107" s="18">
        <v>92.8</v>
      </c>
      <c r="AB107" s="18">
        <v>94</v>
      </c>
    </row>
    <row r="108" spans="1:28">
      <c r="A108" s="17">
        <f t="shared" si="1"/>
        <v>41487</v>
      </c>
      <c r="B108" s="18">
        <v>99</v>
      </c>
      <c r="C108" s="18">
        <v>101.9</v>
      </c>
      <c r="D108" s="18">
        <v>96</v>
      </c>
      <c r="E108" s="18">
        <v>98.4</v>
      </c>
      <c r="F108" s="18">
        <v>100</v>
      </c>
      <c r="G108" s="18">
        <v>91.5</v>
      </c>
      <c r="H108" s="18">
        <v>91.5</v>
      </c>
      <c r="I108" s="18">
        <v>78.2</v>
      </c>
      <c r="J108" s="18">
        <v>94.4</v>
      </c>
      <c r="K108" s="18">
        <v>91.1</v>
      </c>
      <c r="L108" s="18">
        <v>84.6</v>
      </c>
      <c r="M108" s="18">
        <v>98.1</v>
      </c>
      <c r="N108" s="18">
        <v>93.3</v>
      </c>
      <c r="P108" s="18">
        <v>92.5</v>
      </c>
      <c r="Q108" s="18">
        <v>103</v>
      </c>
      <c r="R108" s="18">
        <v>93.7</v>
      </c>
      <c r="S108" s="18">
        <v>97.2</v>
      </c>
      <c r="T108" s="18">
        <v>89.1</v>
      </c>
      <c r="U108" s="18">
        <v>93</v>
      </c>
      <c r="V108" s="18">
        <v>94.2</v>
      </c>
      <c r="W108" s="18">
        <v>80.400000000000006</v>
      </c>
      <c r="X108" s="18">
        <v>94.4</v>
      </c>
      <c r="Y108" s="18">
        <v>93.9</v>
      </c>
      <c r="Z108" s="18">
        <v>90.1</v>
      </c>
      <c r="AA108" s="18">
        <v>94.6</v>
      </c>
      <c r="AB108" s="18">
        <v>92.4</v>
      </c>
    </row>
    <row r="109" spans="1:28">
      <c r="A109" s="17">
        <f t="shared" si="1"/>
        <v>41518</v>
      </c>
      <c r="B109" s="18">
        <v>98.7</v>
      </c>
      <c r="C109" s="18">
        <v>98.9</v>
      </c>
      <c r="D109" s="18">
        <v>100.6</v>
      </c>
      <c r="E109" s="18">
        <v>98.7</v>
      </c>
      <c r="F109" s="18">
        <v>95</v>
      </c>
      <c r="G109" s="18">
        <v>89.5</v>
      </c>
      <c r="H109" s="18">
        <v>97.9</v>
      </c>
      <c r="I109" s="18">
        <v>86.7</v>
      </c>
      <c r="J109" s="18">
        <v>94.6</v>
      </c>
      <c r="K109" s="18">
        <v>93.6</v>
      </c>
      <c r="L109" s="18">
        <v>88.6</v>
      </c>
      <c r="M109" s="18">
        <v>93.4</v>
      </c>
      <c r="N109" s="18">
        <v>94.1</v>
      </c>
      <c r="P109" s="18">
        <v>93.7</v>
      </c>
      <c r="Q109" s="18">
        <v>100.9</v>
      </c>
      <c r="R109" s="18">
        <v>96</v>
      </c>
      <c r="S109" s="18">
        <v>97.6</v>
      </c>
      <c r="T109" s="18">
        <v>89.1</v>
      </c>
      <c r="U109" s="18">
        <v>92.5</v>
      </c>
      <c r="V109" s="18">
        <v>96.6</v>
      </c>
      <c r="W109" s="18">
        <v>85.5</v>
      </c>
      <c r="X109" s="18">
        <v>94.6</v>
      </c>
      <c r="Y109" s="18">
        <v>94.8</v>
      </c>
      <c r="Z109" s="18">
        <v>90.8</v>
      </c>
      <c r="AA109" s="18">
        <v>94.2</v>
      </c>
      <c r="AB109" s="18">
        <v>93.8</v>
      </c>
    </row>
    <row r="110" spans="1:28">
      <c r="A110" s="17">
        <f t="shared" si="1"/>
        <v>41548</v>
      </c>
      <c r="B110" s="18">
        <v>96</v>
      </c>
      <c r="C110" s="18">
        <v>104</v>
      </c>
      <c r="D110" s="18">
        <v>101.6</v>
      </c>
      <c r="E110" s="18">
        <v>99.9</v>
      </c>
      <c r="F110" s="18">
        <v>81.7</v>
      </c>
      <c r="G110" s="18">
        <v>91.9</v>
      </c>
      <c r="H110" s="18">
        <v>97.9</v>
      </c>
      <c r="I110" s="18">
        <v>84.6</v>
      </c>
      <c r="J110" s="18">
        <v>94.9</v>
      </c>
      <c r="K110" s="18">
        <v>96.4</v>
      </c>
      <c r="L110" s="18">
        <v>86.9</v>
      </c>
      <c r="M110" s="18">
        <v>104.4</v>
      </c>
      <c r="N110" s="18">
        <v>94.2</v>
      </c>
      <c r="P110" s="18">
        <v>94.8</v>
      </c>
      <c r="Q110" s="18">
        <v>102.3</v>
      </c>
      <c r="R110" s="18">
        <v>97</v>
      </c>
      <c r="S110" s="18">
        <v>97.9</v>
      </c>
      <c r="T110" s="18">
        <v>88.6</v>
      </c>
      <c r="U110" s="18">
        <v>93.4</v>
      </c>
      <c r="V110" s="18">
        <v>94.3</v>
      </c>
      <c r="W110" s="18">
        <v>87</v>
      </c>
      <c r="X110" s="18">
        <v>94.8</v>
      </c>
      <c r="Y110" s="18">
        <v>95.6</v>
      </c>
      <c r="Z110" s="18">
        <v>91.3</v>
      </c>
      <c r="AA110" s="18">
        <v>95.2</v>
      </c>
      <c r="AB110" s="18">
        <v>94.3</v>
      </c>
    </row>
    <row r="111" spans="1:28">
      <c r="A111" s="17">
        <f t="shared" si="1"/>
        <v>41579</v>
      </c>
      <c r="B111" s="18">
        <v>91.1</v>
      </c>
      <c r="C111" s="18">
        <v>107.3</v>
      </c>
      <c r="D111" s="18">
        <v>99.7</v>
      </c>
      <c r="E111" s="18">
        <v>98.3</v>
      </c>
      <c r="F111" s="18">
        <v>108.6</v>
      </c>
      <c r="G111" s="18">
        <v>98.5</v>
      </c>
      <c r="H111" s="18">
        <v>98.4</v>
      </c>
      <c r="I111" s="18">
        <v>88.3</v>
      </c>
      <c r="J111" s="18">
        <v>95.7</v>
      </c>
      <c r="K111" s="18">
        <v>104.2</v>
      </c>
      <c r="L111" s="18">
        <v>98.8</v>
      </c>
      <c r="M111" s="18">
        <v>96</v>
      </c>
      <c r="N111" s="18">
        <v>99.4</v>
      </c>
      <c r="P111" s="18">
        <v>93.2</v>
      </c>
      <c r="Q111" s="18">
        <v>105.1</v>
      </c>
      <c r="R111" s="18">
        <v>96.2</v>
      </c>
      <c r="S111" s="18">
        <v>98.2</v>
      </c>
      <c r="T111" s="18">
        <v>90.2</v>
      </c>
      <c r="U111" s="18">
        <v>94.6</v>
      </c>
      <c r="V111" s="18">
        <v>94.5</v>
      </c>
      <c r="W111" s="18">
        <v>87.7</v>
      </c>
      <c r="X111" s="18">
        <v>95.1</v>
      </c>
      <c r="Y111" s="18">
        <v>96.6</v>
      </c>
      <c r="Z111" s="18">
        <v>92.3</v>
      </c>
      <c r="AA111" s="18">
        <v>96.1</v>
      </c>
      <c r="AB111" s="18">
        <v>94.8</v>
      </c>
    </row>
    <row r="112" spans="1:28">
      <c r="A112" s="17">
        <f t="shared" si="1"/>
        <v>41609</v>
      </c>
      <c r="B112" s="18">
        <v>92.5</v>
      </c>
      <c r="C112" s="18">
        <v>112</v>
      </c>
      <c r="D112" s="18">
        <v>99.7</v>
      </c>
      <c r="E112" s="18">
        <v>97.5</v>
      </c>
      <c r="F112" s="18">
        <v>87.1</v>
      </c>
      <c r="G112" s="18">
        <v>114.5</v>
      </c>
      <c r="H112" s="18">
        <v>111.2</v>
      </c>
      <c r="I112" s="18">
        <v>94.4</v>
      </c>
      <c r="J112" s="18">
        <v>95.9</v>
      </c>
      <c r="K112" s="18">
        <v>119.7</v>
      </c>
      <c r="L112" s="18">
        <v>114.1</v>
      </c>
      <c r="M112" s="18">
        <v>99.9</v>
      </c>
      <c r="N112" s="18">
        <v>105.2</v>
      </c>
      <c r="P112" s="18">
        <v>92.9</v>
      </c>
      <c r="Q112" s="18">
        <v>105.9</v>
      </c>
      <c r="R112" s="18">
        <v>97</v>
      </c>
      <c r="S112" s="18">
        <v>98.5</v>
      </c>
      <c r="T112" s="18">
        <v>90.2</v>
      </c>
      <c r="U112" s="18">
        <v>93.8</v>
      </c>
      <c r="V112" s="18">
        <v>95.2</v>
      </c>
      <c r="W112" s="18">
        <v>89.2</v>
      </c>
      <c r="X112" s="18">
        <v>95.4</v>
      </c>
      <c r="Y112" s="18">
        <v>97.3</v>
      </c>
      <c r="Z112" s="18">
        <v>92.4</v>
      </c>
      <c r="AA112" s="18">
        <v>96.2</v>
      </c>
      <c r="AB112" s="18">
        <v>95.5</v>
      </c>
    </row>
    <row r="113" spans="1:28">
      <c r="A113" s="17">
        <f t="shared" si="1"/>
        <v>41640</v>
      </c>
      <c r="B113" s="18">
        <v>95.4</v>
      </c>
      <c r="C113" s="18">
        <v>105.9</v>
      </c>
      <c r="D113" s="18">
        <v>88</v>
      </c>
      <c r="E113" s="18">
        <v>99.8</v>
      </c>
      <c r="F113" s="18">
        <v>74.099999999999994</v>
      </c>
      <c r="G113" s="18">
        <v>87</v>
      </c>
      <c r="H113" s="18">
        <v>89.1</v>
      </c>
      <c r="I113" s="18">
        <v>84.5</v>
      </c>
      <c r="J113" s="18">
        <v>96</v>
      </c>
      <c r="K113" s="18">
        <v>86.4</v>
      </c>
      <c r="L113" s="18">
        <v>84.3</v>
      </c>
      <c r="M113" s="18">
        <v>89.9</v>
      </c>
      <c r="N113" s="18">
        <v>89.1</v>
      </c>
      <c r="P113" s="18">
        <v>96</v>
      </c>
      <c r="Q113" s="18">
        <v>103.6</v>
      </c>
      <c r="R113" s="18">
        <v>96.3</v>
      </c>
      <c r="S113" s="18">
        <v>100.2</v>
      </c>
      <c r="T113" s="18">
        <v>91.3</v>
      </c>
      <c r="U113" s="18">
        <v>94.4</v>
      </c>
      <c r="V113" s="18">
        <v>96.8</v>
      </c>
      <c r="W113" s="18">
        <v>86.2</v>
      </c>
      <c r="X113" s="18">
        <v>95.6</v>
      </c>
      <c r="Y113" s="18">
        <v>97.7</v>
      </c>
      <c r="Z113" s="18">
        <v>94</v>
      </c>
      <c r="AA113" s="18">
        <v>96.8</v>
      </c>
      <c r="AB113" s="18">
        <v>95.7</v>
      </c>
    </row>
    <row r="114" spans="1:28">
      <c r="A114" s="17">
        <f t="shared" si="1"/>
        <v>41671</v>
      </c>
      <c r="B114" s="18">
        <v>89.2</v>
      </c>
      <c r="C114" s="18">
        <v>97.4</v>
      </c>
      <c r="D114" s="18">
        <v>91</v>
      </c>
      <c r="E114" s="18">
        <v>95.4</v>
      </c>
      <c r="F114" s="18">
        <v>94</v>
      </c>
      <c r="G114" s="18">
        <v>90.8</v>
      </c>
      <c r="H114" s="18">
        <v>96</v>
      </c>
      <c r="I114" s="18">
        <v>87.7</v>
      </c>
      <c r="J114" s="18">
        <v>95.4</v>
      </c>
      <c r="K114" s="18">
        <v>93.8</v>
      </c>
      <c r="L114" s="18">
        <v>91.5</v>
      </c>
      <c r="M114" s="18">
        <v>99.1</v>
      </c>
      <c r="N114" s="18">
        <v>92.7</v>
      </c>
      <c r="P114" s="18">
        <v>96.6</v>
      </c>
      <c r="Q114" s="18">
        <v>104.9</v>
      </c>
      <c r="R114" s="18">
        <v>98.2</v>
      </c>
      <c r="S114" s="18">
        <v>100.1</v>
      </c>
      <c r="T114" s="18">
        <v>92.4</v>
      </c>
      <c r="U114" s="18">
        <v>95.8</v>
      </c>
      <c r="V114" s="18">
        <v>99.1</v>
      </c>
      <c r="W114" s="18">
        <v>89.8</v>
      </c>
      <c r="X114" s="18">
        <v>95.9</v>
      </c>
      <c r="Y114" s="18">
        <v>99</v>
      </c>
      <c r="Z114" s="18">
        <v>93.2</v>
      </c>
      <c r="AA114" s="18">
        <v>96.3</v>
      </c>
      <c r="AB114" s="18">
        <v>97.1</v>
      </c>
    </row>
    <row r="115" spans="1:28">
      <c r="A115" s="17">
        <f t="shared" si="1"/>
        <v>41699</v>
      </c>
      <c r="B115" s="18">
        <v>92.1</v>
      </c>
      <c r="C115" s="18">
        <v>102.8</v>
      </c>
      <c r="D115" s="18">
        <v>98.4</v>
      </c>
      <c r="E115" s="18">
        <v>102.9</v>
      </c>
      <c r="F115" s="18">
        <v>89.7</v>
      </c>
      <c r="G115" s="18">
        <v>91.2</v>
      </c>
      <c r="H115" s="18">
        <v>97.7</v>
      </c>
      <c r="I115" s="18">
        <v>98.6</v>
      </c>
      <c r="J115" s="18">
        <v>95.4</v>
      </c>
      <c r="K115" s="18">
        <v>98.5</v>
      </c>
      <c r="L115" s="18">
        <v>95.3</v>
      </c>
      <c r="M115" s="18">
        <v>91.9</v>
      </c>
      <c r="N115" s="18">
        <v>95.7</v>
      </c>
      <c r="P115" s="18">
        <v>93.5</v>
      </c>
      <c r="Q115" s="18">
        <v>103</v>
      </c>
      <c r="R115" s="18">
        <v>97.4</v>
      </c>
      <c r="S115" s="18">
        <v>100</v>
      </c>
      <c r="T115" s="18">
        <v>92.8</v>
      </c>
      <c r="U115" s="18">
        <v>95.4</v>
      </c>
      <c r="V115" s="18">
        <v>99.1</v>
      </c>
      <c r="W115" s="18">
        <v>92.8</v>
      </c>
      <c r="X115" s="18">
        <v>96.1</v>
      </c>
      <c r="Y115" s="18">
        <v>99.4</v>
      </c>
      <c r="Z115" s="18">
        <v>93.1</v>
      </c>
      <c r="AA115" s="18">
        <v>95.7</v>
      </c>
      <c r="AB115" s="18">
        <v>96</v>
      </c>
    </row>
    <row r="116" spans="1:28">
      <c r="A116" s="17">
        <f t="shared" si="1"/>
        <v>41730</v>
      </c>
      <c r="B116" s="18">
        <v>89.5</v>
      </c>
      <c r="C116" s="18">
        <v>95.4</v>
      </c>
      <c r="D116" s="18">
        <v>93.7</v>
      </c>
      <c r="E116" s="18">
        <v>98.5</v>
      </c>
      <c r="F116" s="18">
        <v>81.900000000000006</v>
      </c>
      <c r="G116" s="18">
        <v>95.2</v>
      </c>
      <c r="H116" s="18">
        <v>94.9</v>
      </c>
      <c r="I116" s="18">
        <v>90.6</v>
      </c>
      <c r="J116" s="18">
        <v>95.6</v>
      </c>
      <c r="K116" s="18">
        <v>93.3</v>
      </c>
      <c r="L116" s="18">
        <v>87.8</v>
      </c>
      <c r="M116" s="18">
        <v>94.7</v>
      </c>
      <c r="N116" s="18">
        <v>92.1</v>
      </c>
      <c r="P116" s="18">
        <v>96.6</v>
      </c>
      <c r="Q116" s="18">
        <v>96.4</v>
      </c>
      <c r="R116" s="18">
        <v>99.3</v>
      </c>
      <c r="S116" s="18">
        <v>101.4</v>
      </c>
      <c r="T116" s="18">
        <v>90.9</v>
      </c>
      <c r="U116" s="18">
        <v>96.9</v>
      </c>
      <c r="V116" s="18">
        <v>100.6</v>
      </c>
      <c r="W116" s="18">
        <v>91.5</v>
      </c>
      <c r="X116" s="18">
        <v>96.3</v>
      </c>
      <c r="Y116" s="18">
        <v>99.8</v>
      </c>
      <c r="Z116" s="18">
        <v>93.4</v>
      </c>
      <c r="AA116" s="18">
        <v>94.7</v>
      </c>
      <c r="AB116" s="18">
        <v>96.4</v>
      </c>
    </row>
    <row r="117" spans="1:28">
      <c r="A117" s="17">
        <f t="shared" si="1"/>
        <v>41760</v>
      </c>
      <c r="B117" s="18">
        <v>97.8</v>
      </c>
      <c r="C117" s="18">
        <v>98.2</v>
      </c>
      <c r="D117" s="18">
        <v>99.6</v>
      </c>
      <c r="E117" s="18">
        <v>104.2</v>
      </c>
      <c r="F117" s="18">
        <v>101.5</v>
      </c>
      <c r="G117" s="18">
        <v>93.9</v>
      </c>
      <c r="H117" s="18">
        <v>97.3</v>
      </c>
      <c r="I117" s="18">
        <v>91.3</v>
      </c>
      <c r="J117" s="18">
        <v>96.6</v>
      </c>
      <c r="K117" s="18">
        <v>96.7</v>
      </c>
      <c r="L117" s="18">
        <v>88.2</v>
      </c>
      <c r="M117" s="18">
        <v>88.6</v>
      </c>
      <c r="N117" s="18">
        <v>95.6</v>
      </c>
      <c r="P117" s="18">
        <v>96.7</v>
      </c>
      <c r="Q117" s="18">
        <v>97.5</v>
      </c>
      <c r="R117" s="18">
        <v>99.5</v>
      </c>
      <c r="S117" s="18">
        <v>102.1</v>
      </c>
      <c r="T117" s="18">
        <v>90.7</v>
      </c>
      <c r="U117" s="18">
        <v>96.7</v>
      </c>
      <c r="V117" s="18">
        <v>100.1</v>
      </c>
      <c r="W117" s="18">
        <v>90.8</v>
      </c>
      <c r="X117" s="18">
        <v>96.5</v>
      </c>
      <c r="Y117" s="18">
        <v>100.1</v>
      </c>
      <c r="Z117" s="18">
        <v>92.3</v>
      </c>
      <c r="AA117" s="18">
        <v>93.3</v>
      </c>
      <c r="AB117" s="18">
        <v>96.2</v>
      </c>
    </row>
    <row r="118" spans="1:28">
      <c r="A118" s="17">
        <f t="shared" si="1"/>
        <v>41791</v>
      </c>
      <c r="B118" s="18">
        <v>93.7</v>
      </c>
      <c r="C118" s="18">
        <v>99.9</v>
      </c>
      <c r="D118" s="18">
        <v>94.3</v>
      </c>
      <c r="E118" s="18">
        <v>99.7</v>
      </c>
      <c r="F118" s="18">
        <v>97.4</v>
      </c>
      <c r="G118" s="18">
        <v>94</v>
      </c>
      <c r="H118" s="18">
        <v>98.8</v>
      </c>
      <c r="I118" s="18">
        <v>92.2</v>
      </c>
      <c r="J118" s="18">
        <v>96.8</v>
      </c>
      <c r="K118" s="18">
        <v>98.9</v>
      </c>
      <c r="L118" s="18">
        <v>93.4</v>
      </c>
      <c r="M118" s="18">
        <v>88</v>
      </c>
      <c r="N118" s="18">
        <v>95.4</v>
      </c>
      <c r="P118" s="18">
        <v>95</v>
      </c>
      <c r="Q118" s="18">
        <v>101.3</v>
      </c>
      <c r="R118" s="18">
        <v>95.3</v>
      </c>
      <c r="S118" s="18">
        <v>101.5</v>
      </c>
      <c r="T118" s="18">
        <v>93.2</v>
      </c>
      <c r="U118" s="18">
        <v>95.9</v>
      </c>
      <c r="V118" s="18">
        <v>98.8</v>
      </c>
      <c r="W118" s="18">
        <v>93.5</v>
      </c>
      <c r="X118" s="18">
        <v>96.8</v>
      </c>
      <c r="Y118" s="18">
        <v>99.7</v>
      </c>
      <c r="Z118" s="18">
        <v>93.5</v>
      </c>
      <c r="AA118" s="18">
        <v>94.4</v>
      </c>
      <c r="AB118" s="18">
        <v>95.8</v>
      </c>
    </row>
    <row r="119" spans="1:28">
      <c r="A119" s="17">
        <f t="shared" si="1"/>
        <v>41821</v>
      </c>
      <c r="B119" s="18">
        <v>103.9</v>
      </c>
      <c r="C119" s="18">
        <v>99.1</v>
      </c>
      <c r="D119" s="18">
        <v>103.7</v>
      </c>
      <c r="E119" s="18">
        <v>103.2</v>
      </c>
      <c r="F119" s="18">
        <v>82.6</v>
      </c>
      <c r="G119" s="18">
        <v>100.2</v>
      </c>
      <c r="H119" s="18">
        <v>94.3</v>
      </c>
      <c r="I119" s="18">
        <v>88.4</v>
      </c>
      <c r="J119" s="18">
        <v>96.9</v>
      </c>
      <c r="K119" s="18">
        <v>98.9</v>
      </c>
      <c r="L119" s="18">
        <v>95.7</v>
      </c>
      <c r="M119" s="18">
        <v>98.4</v>
      </c>
      <c r="N119" s="18">
        <v>97.6</v>
      </c>
      <c r="P119" s="18">
        <v>97.8</v>
      </c>
      <c r="Q119" s="18">
        <v>99.9</v>
      </c>
      <c r="R119" s="18">
        <v>100.6</v>
      </c>
      <c r="S119" s="18">
        <v>102.1</v>
      </c>
      <c r="T119" s="18">
        <v>95.9</v>
      </c>
      <c r="U119" s="18">
        <v>96.5</v>
      </c>
      <c r="V119" s="18">
        <v>97.3</v>
      </c>
      <c r="W119" s="18">
        <v>90.4</v>
      </c>
      <c r="X119" s="18">
        <v>97</v>
      </c>
      <c r="Y119" s="18">
        <v>99.9</v>
      </c>
      <c r="Z119" s="18">
        <v>94.2</v>
      </c>
      <c r="AA119" s="18">
        <v>95.8</v>
      </c>
      <c r="AB119" s="18">
        <v>97</v>
      </c>
    </row>
    <row r="120" spans="1:28">
      <c r="A120" s="17">
        <f t="shared" si="1"/>
        <v>41852</v>
      </c>
      <c r="B120" s="18">
        <v>99.9</v>
      </c>
      <c r="C120" s="18">
        <v>101.1</v>
      </c>
      <c r="D120" s="18">
        <v>97.5</v>
      </c>
      <c r="E120" s="18">
        <v>102</v>
      </c>
      <c r="F120" s="18">
        <v>110.5</v>
      </c>
      <c r="G120" s="18">
        <v>95.6</v>
      </c>
      <c r="H120" s="18">
        <v>93.7</v>
      </c>
      <c r="I120" s="18">
        <v>93.8</v>
      </c>
      <c r="J120" s="18">
        <v>97.3</v>
      </c>
      <c r="K120" s="18">
        <v>97.8</v>
      </c>
      <c r="L120" s="18">
        <v>90.1</v>
      </c>
      <c r="M120" s="18">
        <v>99.5</v>
      </c>
      <c r="N120" s="18">
        <v>97.6</v>
      </c>
      <c r="P120" s="18">
        <v>92.8</v>
      </c>
      <c r="Q120" s="18">
        <v>102.2</v>
      </c>
      <c r="R120" s="18">
        <v>95.1</v>
      </c>
      <c r="S120" s="18">
        <v>100.8</v>
      </c>
      <c r="T120" s="18">
        <v>97.8</v>
      </c>
      <c r="U120" s="18">
        <v>97.1</v>
      </c>
      <c r="V120" s="18">
        <v>96.4</v>
      </c>
      <c r="W120" s="18">
        <v>96</v>
      </c>
      <c r="X120" s="18">
        <v>97.3</v>
      </c>
      <c r="Y120" s="18">
        <v>100.2</v>
      </c>
      <c r="Z120" s="18">
        <v>95.3</v>
      </c>
      <c r="AA120" s="18">
        <v>95.8</v>
      </c>
      <c r="AB120" s="18">
        <v>96.5</v>
      </c>
    </row>
    <row r="121" spans="1:28">
      <c r="A121" s="17">
        <f t="shared" si="1"/>
        <v>41883</v>
      </c>
      <c r="B121" s="18">
        <v>100</v>
      </c>
      <c r="C121" s="18">
        <v>99.7</v>
      </c>
      <c r="D121" s="18">
        <v>103.7</v>
      </c>
      <c r="E121" s="18">
        <v>101.7</v>
      </c>
      <c r="F121" s="18">
        <v>104.6</v>
      </c>
      <c r="G121" s="18">
        <v>94.2</v>
      </c>
      <c r="H121" s="18">
        <v>99.2</v>
      </c>
      <c r="I121" s="18">
        <v>95.8</v>
      </c>
      <c r="J121" s="18">
        <v>97.5</v>
      </c>
      <c r="K121" s="18">
        <v>100</v>
      </c>
      <c r="L121" s="18">
        <v>94</v>
      </c>
      <c r="M121" s="18">
        <v>96.2</v>
      </c>
      <c r="N121" s="18">
        <v>98.5</v>
      </c>
      <c r="P121" s="18">
        <v>95.1</v>
      </c>
      <c r="Q121" s="18">
        <v>101.6</v>
      </c>
      <c r="R121" s="18">
        <v>99.4</v>
      </c>
      <c r="S121" s="18">
        <v>100.4</v>
      </c>
      <c r="T121" s="18">
        <v>98</v>
      </c>
      <c r="U121" s="18">
        <v>97.5</v>
      </c>
      <c r="V121" s="18">
        <v>97.7</v>
      </c>
      <c r="W121" s="18">
        <v>95.5</v>
      </c>
      <c r="X121" s="18">
        <v>97.5</v>
      </c>
      <c r="Y121" s="18">
        <v>100.9</v>
      </c>
      <c r="Z121" s="18">
        <v>96.1</v>
      </c>
      <c r="AA121" s="18">
        <v>97.2</v>
      </c>
      <c r="AB121" s="18">
        <v>98.2</v>
      </c>
    </row>
    <row r="122" spans="1:28">
      <c r="A122" s="17">
        <f t="shared" si="1"/>
        <v>41913</v>
      </c>
      <c r="B122" s="18">
        <v>99.4</v>
      </c>
      <c r="C122" s="18">
        <v>104</v>
      </c>
      <c r="D122" s="18">
        <v>104.9</v>
      </c>
      <c r="E122" s="18">
        <v>102.4</v>
      </c>
      <c r="F122" s="18">
        <v>88.4</v>
      </c>
      <c r="G122" s="18">
        <v>97.2</v>
      </c>
      <c r="H122" s="18">
        <v>103.4</v>
      </c>
      <c r="I122" s="18">
        <v>89.8</v>
      </c>
      <c r="J122" s="18">
        <v>97.8</v>
      </c>
      <c r="K122" s="18">
        <v>102.6</v>
      </c>
      <c r="L122" s="18">
        <v>92.8</v>
      </c>
      <c r="M122" s="18">
        <v>107.2</v>
      </c>
      <c r="N122" s="18">
        <v>98.4</v>
      </c>
      <c r="P122" s="18">
        <v>98.3</v>
      </c>
      <c r="Q122" s="18">
        <v>102</v>
      </c>
      <c r="R122" s="18">
        <v>100.2</v>
      </c>
      <c r="S122" s="18">
        <v>100.5</v>
      </c>
      <c r="T122" s="18">
        <v>96.4</v>
      </c>
      <c r="U122" s="18">
        <v>99</v>
      </c>
      <c r="V122" s="18">
        <v>99.2</v>
      </c>
      <c r="W122" s="18">
        <v>92</v>
      </c>
      <c r="X122" s="18">
        <v>97.7</v>
      </c>
      <c r="Y122" s="18">
        <v>101.6</v>
      </c>
      <c r="Z122" s="18">
        <v>97.3</v>
      </c>
      <c r="AA122" s="18">
        <v>97.6</v>
      </c>
      <c r="AB122" s="18">
        <v>98.7</v>
      </c>
    </row>
    <row r="123" spans="1:28">
      <c r="A123" s="17">
        <f t="shared" si="1"/>
        <v>41944</v>
      </c>
      <c r="B123" s="18">
        <v>92.1</v>
      </c>
      <c r="C123" s="18">
        <v>101.5</v>
      </c>
      <c r="D123" s="18">
        <v>99.3</v>
      </c>
      <c r="E123" s="18">
        <v>99.8</v>
      </c>
      <c r="F123" s="18">
        <v>114</v>
      </c>
      <c r="G123" s="18">
        <v>102.3</v>
      </c>
      <c r="H123" s="18">
        <v>103.6</v>
      </c>
      <c r="I123" s="18">
        <v>97.8</v>
      </c>
      <c r="J123" s="18">
        <v>98.7</v>
      </c>
      <c r="K123" s="18">
        <v>109.9</v>
      </c>
      <c r="L123" s="18">
        <v>104.2</v>
      </c>
      <c r="M123" s="18">
        <v>97.9</v>
      </c>
      <c r="N123" s="18">
        <v>102.3</v>
      </c>
      <c r="P123" s="18">
        <v>94.3</v>
      </c>
      <c r="Q123" s="18">
        <v>99.5</v>
      </c>
      <c r="R123" s="18">
        <v>95.7</v>
      </c>
      <c r="S123" s="18">
        <v>99.5</v>
      </c>
      <c r="T123" s="18">
        <v>95</v>
      </c>
      <c r="U123" s="18">
        <v>98.1</v>
      </c>
      <c r="V123" s="18">
        <v>99.5</v>
      </c>
      <c r="W123" s="18">
        <v>97.4</v>
      </c>
      <c r="X123" s="18">
        <v>98</v>
      </c>
      <c r="Y123" s="18">
        <v>102</v>
      </c>
      <c r="Z123" s="18">
        <v>97.7</v>
      </c>
      <c r="AA123" s="18">
        <v>97.7</v>
      </c>
      <c r="AB123" s="18">
        <v>97.6</v>
      </c>
    </row>
    <row r="124" spans="1:28">
      <c r="A124" s="17">
        <f t="shared" si="1"/>
        <v>41974</v>
      </c>
      <c r="B124" s="18">
        <v>97.4</v>
      </c>
      <c r="C124" s="18">
        <v>107.8</v>
      </c>
      <c r="D124" s="18">
        <v>102.4</v>
      </c>
      <c r="E124" s="18">
        <v>99.1</v>
      </c>
      <c r="F124" s="18">
        <v>90.3</v>
      </c>
      <c r="G124" s="18">
        <v>119.6</v>
      </c>
      <c r="H124" s="18">
        <v>116.9</v>
      </c>
      <c r="I124" s="18">
        <v>101</v>
      </c>
      <c r="J124" s="18">
        <v>98.8</v>
      </c>
      <c r="K124" s="18">
        <v>125.4</v>
      </c>
      <c r="L124" s="18">
        <v>122</v>
      </c>
      <c r="M124" s="18">
        <v>99.8</v>
      </c>
      <c r="N124" s="18">
        <v>109.2</v>
      </c>
      <c r="P124" s="18">
        <v>97.8</v>
      </c>
      <c r="Q124" s="18">
        <v>100.8</v>
      </c>
      <c r="R124" s="18">
        <v>99.4</v>
      </c>
      <c r="S124" s="18">
        <v>100.1</v>
      </c>
      <c r="T124" s="18">
        <v>94.3</v>
      </c>
      <c r="U124" s="18">
        <v>97.9</v>
      </c>
      <c r="V124" s="18">
        <v>100</v>
      </c>
      <c r="W124" s="18">
        <v>95.6</v>
      </c>
      <c r="X124" s="18">
        <v>98.2</v>
      </c>
      <c r="Y124" s="18">
        <v>101.9</v>
      </c>
      <c r="Z124" s="18">
        <v>99.1</v>
      </c>
      <c r="AA124" s="18">
        <v>95.8</v>
      </c>
      <c r="AB124" s="18">
        <v>98.9</v>
      </c>
    </row>
    <row r="125" spans="1:28">
      <c r="A125" s="17">
        <f t="shared" si="1"/>
        <v>42005</v>
      </c>
      <c r="B125" s="18">
        <v>97.7</v>
      </c>
      <c r="C125" s="18">
        <v>105.2</v>
      </c>
      <c r="D125" s="18">
        <v>87.9</v>
      </c>
      <c r="E125" s="18">
        <v>98.8</v>
      </c>
      <c r="F125" s="18">
        <v>77.7</v>
      </c>
      <c r="G125" s="18">
        <v>90.8</v>
      </c>
      <c r="H125" s="18">
        <v>91.5</v>
      </c>
      <c r="I125" s="18">
        <v>100.9</v>
      </c>
      <c r="J125" s="18">
        <v>98.8</v>
      </c>
      <c r="K125" s="18">
        <v>89.8</v>
      </c>
      <c r="L125" s="18">
        <v>88.2</v>
      </c>
      <c r="M125" s="18">
        <v>90.8</v>
      </c>
      <c r="N125" s="18">
        <v>91.8</v>
      </c>
      <c r="P125" s="18">
        <v>98.9</v>
      </c>
      <c r="Q125" s="18">
        <v>103.1</v>
      </c>
      <c r="R125" s="18">
        <v>96.2</v>
      </c>
      <c r="S125" s="18">
        <v>99.3</v>
      </c>
      <c r="T125" s="18">
        <v>95.8</v>
      </c>
      <c r="U125" s="18">
        <v>98.4</v>
      </c>
      <c r="V125" s="18">
        <v>99.8</v>
      </c>
      <c r="W125" s="18">
        <v>102.5</v>
      </c>
      <c r="X125" s="18">
        <v>98.5</v>
      </c>
      <c r="Y125" s="18">
        <v>101.4</v>
      </c>
      <c r="Z125" s="18">
        <v>98.9</v>
      </c>
      <c r="AA125" s="18">
        <v>97.9</v>
      </c>
      <c r="AB125" s="18">
        <v>98.8</v>
      </c>
    </row>
    <row r="126" spans="1:28">
      <c r="A126" s="17">
        <f t="shared" si="1"/>
        <v>42036</v>
      </c>
      <c r="B126" s="18">
        <v>91.9</v>
      </c>
      <c r="C126" s="18">
        <v>90.8</v>
      </c>
      <c r="D126" s="18">
        <v>92</v>
      </c>
      <c r="E126" s="18">
        <v>95.2</v>
      </c>
      <c r="F126" s="18">
        <v>99.5</v>
      </c>
      <c r="G126" s="18">
        <v>93.2</v>
      </c>
      <c r="H126" s="18">
        <v>94.8</v>
      </c>
      <c r="I126" s="18">
        <v>94.8</v>
      </c>
      <c r="J126" s="18">
        <v>98.3</v>
      </c>
      <c r="K126" s="18">
        <v>95.3</v>
      </c>
      <c r="L126" s="18">
        <v>97.2</v>
      </c>
      <c r="M126" s="18">
        <v>102</v>
      </c>
      <c r="N126" s="18">
        <v>95</v>
      </c>
      <c r="P126" s="18">
        <v>98.7</v>
      </c>
      <c r="Q126" s="18">
        <v>98</v>
      </c>
      <c r="R126" s="18">
        <v>99.3</v>
      </c>
      <c r="S126" s="18">
        <v>99.7</v>
      </c>
      <c r="T126" s="18">
        <v>97</v>
      </c>
      <c r="U126" s="18">
        <v>98.5</v>
      </c>
      <c r="V126" s="18">
        <v>98.5</v>
      </c>
      <c r="W126" s="18">
        <v>97.3</v>
      </c>
      <c r="X126" s="18">
        <v>98.7</v>
      </c>
      <c r="Y126" s="18">
        <v>100.7</v>
      </c>
      <c r="Z126" s="18">
        <v>99.2</v>
      </c>
      <c r="AA126" s="18">
        <v>99.7</v>
      </c>
      <c r="AB126" s="18">
        <v>99.3</v>
      </c>
    </row>
    <row r="127" spans="1:28">
      <c r="A127" s="17">
        <f t="shared" si="1"/>
        <v>42064</v>
      </c>
      <c r="B127" s="18">
        <v>95.9</v>
      </c>
      <c r="C127" s="18">
        <v>101.9</v>
      </c>
      <c r="D127" s="18">
        <v>99.4</v>
      </c>
      <c r="E127" s="18">
        <v>102.1</v>
      </c>
      <c r="F127" s="18">
        <v>95.6</v>
      </c>
      <c r="G127" s="18">
        <v>94.7</v>
      </c>
      <c r="H127" s="18">
        <v>97.6</v>
      </c>
      <c r="I127" s="18">
        <v>105</v>
      </c>
      <c r="J127" s="18">
        <v>98.2</v>
      </c>
      <c r="K127" s="18">
        <v>99.3</v>
      </c>
      <c r="L127" s="18">
        <v>101.8</v>
      </c>
      <c r="M127" s="18">
        <v>94.2</v>
      </c>
      <c r="N127" s="18">
        <v>98.6</v>
      </c>
      <c r="P127" s="18">
        <v>97</v>
      </c>
      <c r="Q127" s="18">
        <v>102.3</v>
      </c>
      <c r="R127" s="18">
        <v>98.4</v>
      </c>
      <c r="S127" s="18">
        <v>99.5</v>
      </c>
      <c r="T127" s="18">
        <v>98.6</v>
      </c>
      <c r="U127" s="18">
        <v>98.7</v>
      </c>
      <c r="V127" s="18">
        <v>98.9</v>
      </c>
      <c r="W127" s="18">
        <v>99.2</v>
      </c>
      <c r="X127" s="18">
        <v>99</v>
      </c>
      <c r="Y127" s="18">
        <v>100.3</v>
      </c>
      <c r="Z127" s="18">
        <v>99.5</v>
      </c>
      <c r="AA127" s="18">
        <v>98.1</v>
      </c>
      <c r="AB127" s="18">
        <v>98.8</v>
      </c>
    </row>
    <row r="128" spans="1:28">
      <c r="A128" s="17">
        <f t="shared" si="1"/>
        <v>42095</v>
      </c>
      <c r="B128" s="18">
        <v>92.8</v>
      </c>
      <c r="C128" s="18">
        <v>101.3</v>
      </c>
      <c r="D128" s="18">
        <v>93.8</v>
      </c>
      <c r="E128" s="18">
        <v>95.9</v>
      </c>
      <c r="F128" s="18">
        <v>90.8</v>
      </c>
      <c r="G128" s="18">
        <v>96.8</v>
      </c>
      <c r="H128" s="18">
        <v>93.3</v>
      </c>
      <c r="I128" s="18">
        <v>99.1</v>
      </c>
      <c r="J128" s="18">
        <v>98.5</v>
      </c>
      <c r="K128" s="18">
        <v>93.5</v>
      </c>
      <c r="L128" s="18">
        <v>93.1</v>
      </c>
      <c r="M128" s="18">
        <v>99.3</v>
      </c>
      <c r="N128" s="18">
        <v>95.3</v>
      </c>
      <c r="P128" s="18">
        <v>100.5</v>
      </c>
      <c r="Q128" s="18">
        <v>102.8</v>
      </c>
      <c r="R128" s="18">
        <v>99.5</v>
      </c>
      <c r="S128" s="18">
        <v>98.9</v>
      </c>
      <c r="T128" s="18">
        <v>100.9</v>
      </c>
      <c r="U128" s="18">
        <v>98.8</v>
      </c>
      <c r="V128" s="18">
        <v>98.9</v>
      </c>
      <c r="W128" s="18">
        <v>99.7</v>
      </c>
      <c r="X128" s="18">
        <v>99.2</v>
      </c>
      <c r="Y128" s="18">
        <v>99.9</v>
      </c>
      <c r="Z128" s="18">
        <v>98.9</v>
      </c>
      <c r="AA128" s="18">
        <v>99.4</v>
      </c>
      <c r="AB128" s="18">
        <v>99.9</v>
      </c>
    </row>
    <row r="129" spans="1:28">
      <c r="A129" s="17">
        <f t="shared" si="1"/>
        <v>42125</v>
      </c>
      <c r="B129" s="18">
        <v>98.8</v>
      </c>
      <c r="C129" s="18">
        <v>101.8</v>
      </c>
      <c r="D129" s="18">
        <v>97.9</v>
      </c>
      <c r="E129" s="18">
        <v>101.9</v>
      </c>
      <c r="F129" s="18">
        <v>112.5</v>
      </c>
      <c r="G129" s="18">
        <v>96.6</v>
      </c>
      <c r="H129" s="18">
        <v>95.8</v>
      </c>
      <c r="I129" s="18">
        <v>99.1</v>
      </c>
      <c r="J129" s="18">
        <v>99.6</v>
      </c>
      <c r="K129" s="18">
        <v>96.7</v>
      </c>
      <c r="L129" s="18">
        <v>96</v>
      </c>
      <c r="M129" s="18">
        <v>93.1</v>
      </c>
      <c r="N129" s="18">
        <v>98.9</v>
      </c>
      <c r="P129" s="18">
        <v>98.1</v>
      </c>
      <c r="Q129" s="18">
        <v>101.5</v>
      </c>
      <c r="R129" s="18">
        <v>97.9</v>
      </c>
      <c r="S129" s="18">
        <v>100.2</v>
      </c>
      <c r="T129" s="18">
        <v>100.7</v>
      </c>
      <c r="U129" s="18">
        <v>99.6</v>
      </c>
      <c r="V129" s="18">
        <v>98.6</v>
      </c>
      <c r="W129" s="18">
        <v>99.1</v>
      </c>
      <c r="X129" s="18">
        <v>99.5</v>
      </c>
      <c r="Y129" s="18">
        <v>99.8</v>
      </c>
      <c r="Z129" s="18">
        <v>99.8</v>
      </c>
      <c r="AA129" s="18">
        <v>98</v>
      </c>
      <c r="AB129" s="18">
        <v>99.7</v>
      </c>
    </row>
    <row r="130" spans="1:28">
      <c r="A130" s="17">
        <f t="shared" si="1"/>
        <v>42156</v>
      </c>
      <c r="B130" s="18">
        <v>97.1</v>
      </c>
      <c r="C130" s="18">
        <v>98.8</v>
      </c>
      <c r="D130" s="18">
        <v>98.7</v>
      </c>
      <c r="E130" s="18">
        <v>98.1</v>
      </c>
      <c r="F130" s="18">
        <v>104.9</v>
      </c>
      <c r="G130" s="18">
        <v>97.7</v>
      </c>
      <c r="H130" s="18">
        <v>99.4</v>
      </c>
      <c r="I130" s="18">
        <v>100</v>
      </c>
      <c r="J130" s="18">
        <v>99.8</v>
      </c>
      <c r="K130" s="18">
        <v>99.3</v>
      </c>
      <c r="L130" s="18">
        <v>100.9</v>
      </c>
      <c r="M130" s="18">
        <v>91.8</v>
      </c>
      <c r="N130" s="18">
        <v>99.3</v>
      </c>
      <c r="P130" s="18">
        <v>98.6</v>
      </c>
      <c r="Q130" s="18">
        <v>100.2</v>
      </c>
      <c r="R130" s="18">
        <v>99.8</v>
      </c>
      <c r="S130" s="18">
        <v>100</v>
      </c>
      <c r="T130" s="18">
        <v>100.7</v>
      </c>
      <c r="U130" s="18">
        <v>99.7</v>
      </c>
      <c r="V130" s="18">
        <v>99</v>
      </c>
      <c r="W130" s="18">
        <v>100.9</v>
      </c>
      <c r="X130" s="18">
        <v>99.7</v>
      </c>
      <c r="Y130" s="18">
        <v>99.4</v>
      </c>
      <c r="Z130" s="18">
        <v>99.8</v>
      </c>
      <c r="AA130" s="18">
        <v>98.5</v>
      </c>
      <c r="AB130" s="18">
        <v>99.5</v>
      </c>
    </row>
    <row r="131" spans="1:28">
      <c r="A131" s="17">
        <f t="shared" si="1"/>
        <v>42186</v>
      </c>
      <c r="B131" s="18">
        <v>108.9</v>
      </c>
      <c r="C131" s="18">
        <v>97.5</v>
      </c>
      <c r="D131" s="18">
        <v>104.4</v>
      </c>
      <c r="E131" s="18">
        <v>101.5</v>
      </c>
      <c r="F131" s="18">
        <v>86.7</v>
      </c>
      <c r="G131" s="18">
        <v>103.6</v>
      </c>
      <c r="H131" s="18">
        <v>97.6</v>
      </c>
      <c r="I131" s="18">
        <v>106</v>
      </c>
      <c r="J131" s="18">
        <v>99.8</v>
      </c>
      <c r="K131" s="18">
        <v>100.8</v>
      </c>
      <c r="L131" s="18">
        <v>106.7</v>
      </c>
      <c r="M131" s="18">
        <v>103.6</v>
      </c>
      <c r="N131" s="18">
        <v>102.1</v>
      </c>
      <c r="P131" s="18">
        <v>103.4</v>
      </c>
      <c r="Q131" s="18">
        <v>98.2</v>
      </c>
      <c r="R131" s="18">
        <v>101.5</v>
      </c>
      <c r="S131" s="18">
        <v>100.3</v>
      </c>
      <c r="T131" s="18">
        <v>100</v>
      </c>
      <c r="U131" s="18">
        <v>99.8</v>
      </c>
      <c r="V131" s="18">
        <v>100.6</v>
      </c>
      <c r="W131" s="18">
        <v>107.5</v>
      </c>
      <c r="X131" s="18">
        <v>100</v>
      </c>
      <c r="Y131" s="18">
        <v>101.1</v>
      </c>
      <c r="Z131" s="18">
        <v>104.2</v>
      </c>
      <c r="AA131" s="18">
        <v>101</v>
      </c>
      <c r="AB131" s="18">
        <v>101.3</v>
      </c>
    </row>
    <row r="132" spans="1:28">
      <c r="A132" s="17">
        <f t="shared" si="1"/>
        <v>42217</v>
      </c>
      <c r="B132" s="18">
        <v>109</v>
      </c>
      <c r="C132" s="18">
        <v>97.5</v>
      </c>
      <c r="D132" s="18">
        <v>101.1</v>
      </c>
      <c r="E132" s="18">
        <v>101.4</v>
      </c>
      <c r="F132" s="18">
        <v>110.9</v>
      </c>
      <c r="G132" s="18">
        <v>99.2</v>
      </c>
      <c r="H132" s="18">
        <v>98.2</v>
      </c>
      <c r="I132" s="18">
        <v>98</v>
      </c>
      <c r="J132" s="18">
        <v>100.3</v>
      </c>
      <c r="K132" s="18">
        <v>99.1</v>
      </c>
      <c r="L132" s="18">
        <v>100.2</v>
      </c>
      <c r="M132" s="18">
        <v>103.9</v>
      </c>
      <c r="N132" s="18">
        <v>101.3</v>
      </c>
      <c r="P132" s="18">
        <v>100.4</v>
      </c>
      <c r="Q132" s="18">
        <v>98.2</v>
      </c>
      <c r="R132" s="18">
        <v>98.5</v>
      </c>
      <c r="S132" s="18">
        <v>100</v>
      </c>
      <c r="T132" s="18">
        <v>98.4</v>
      </c>
      <c r="U132" s="18">
        <v>100.3</v>
      </c>
      <c r="V132" s="18">
        <v>101</v>
      </c>
      <c r="W132" s="18">
        <v>99.5</v>
      </c>
      <c r="X132" s="18">
        <v>100.3</v>
      </c>
      <c r="Y132" s="18">
        <v>100.9</v>
      </c>
      <c r="Z132" s="18">
        <v>104.8</v>
      </c>
      <c r="AA132" s="18">
        <v>100.1</v>
      </c>
      <c r="AB132" s="18">
        <v>99.9</v>
      </c>
    </row>
    <row r="133" spans="1:28">
      <c r="A133" s="17">
        <f t="shared" si="1"/>
        <v>42248</v>
      </c>
      <c r="B133" s="18">
        <v>106.8</v>
      </c>
      <c r="C133" s="18">
        <v>97.4</v>
      </c>
      <c r="D133" s="18">
        <v>106.3</v>
      </c>
      <c r="E133" s="18">
        <v>102.7</v>
      </c>
      <c r="F133" s="18">
        <v>105.5</v>
      </c>
      <c r="G133" s="18">
        <v>97.1</v>
      </c>
      <c r="H133" s="18">
        <v>103.3</v>
      </c>
      <c r="I133" s="18">
        <v>97.6</v>
      </c>
      <c r="J133" s="18">
        <v>100.7</v>
      </c>
      <c r="K133" s="18">
        <v>99.8</v>
      </c>
      <c r="L133" s="18">
        <v>100.8</v>
      </c>
      <c r="M133" s="18">
        <v>99</v>
      </c>
      <c r="N133" s="18">
        <v>101.3</v>
      </c>
      <c r="P133" s="18">
        <v>101.9</v>
      </c>
      <c r="Q133" s="18">
        <v>99.2</v>
      </c>
      <c r="R133" s="18">
        <v>102.1</v>
      </c>
      <c r="S133" s="18">
        <v>101.3</v>
      </c>
      <c r="T133" s="18">
        <v>99.1</v>
      </c>
      <c r="U133" s="18">
        <v>100.6</v>
      </c>
      <c r="V133" s="18">
        <v>101.6</v>
      </c>
      <c r="W133" s="18">
        <v>98.3</v>
      </c>
      <c r="X133" s="18">
        <v>100.6</v>
      </c>
      <c r="Y133" s="18">
        <v>100.6</v>
      </c>
      <c r="Z133" s="18">
        <v>102.8</v>
      </c>
      <c r="AA133" s="18">
        <v>100.1</v>
      </c>
      <c r="AB133" s="18">
        <v>101</v>
      </c>
    </row>
    <row r="134" spans="1:28">
      <c r="A134" s="17">
        <f t="shared" si="1"/>
        <v>42278</v>
      </c>
      <c r="B134" s="18">
        <v>102.6</v>
      </c>
      <c r="C134" s="18">
        <v>101.9</v>
      </c>
      <c r="D134" s="18">
        <v>107.5</v>
      </c>
      <c r="E134" s="18">
        <v>103.2</v>
      </c>
      <c r="F134" s="18">
        <v>93.3</v>
      </c>
      <c r="G134" s="18">
        <v>100.3</v>
      </c>
      <c r="H134" s="18">
        <v>106.4</v>
      </c>
      <c r="I134" s="18">
        <v>97.2</v>
      </c>
      <c r="J134" s="18">
        <v>101.2</v>
      </c>
      <c r="K134" s="18">
        <v>100.6</v>
      </c>
      <c r="L134" s="18">
        <v>94.6</v>
      </c>
      <c r="M134" s="18">
        <v>111.7</v>
      </c>
      <c r="N134" s="18">
        <v>100.7</v>
      </c>
      <c r="P134" s="18">
        <v>101.6</v>
      </c>
      <c r="Q134" s="18">
        <v>99.7</v>
      </c>
      <c r="R134" s="18">
        <v>102.6</v>
      </c>
      <c r="S134" s="18">
        <v>101.3</v>
      </c>
      <c r="T134" s="18">
        <v>101.9</v>
      </c>
      <c r="U134" s="18">
        <v>102.5</v>
      </c>
      <c r="V134" s="18">
        <v>102.1</v>
      </c>
      <c r="W134" s="18">
        <v>99.3</v>
      </c>
      <c r="X134" s="18">
        <v>101</v>
      </c>
      <c r="Y134" s="18">
        <v>99.6</v>
      </c>
      <c r="Z134" s="18">
        <v>99.1</v>
      </c>
      <c r="AA134" s="18">
        <v>101.6</v>
      </c>
      <c r="AB134" s="18">
        <v>101.1</v>
      </c>
    </row>
    <row r="135" spans="1:28">
      <c r="A135" s="17">
        <f t="shared" si="1"/>
        <v>42309</v>
      </c>
      <c r="B135" s="18">
        <v>96.4</v>
      </c>
      <c r="C135" s="18">
        <v>100.5</v>
      </c>
      <c r="D135" s="18">
        <v>104.9</v>
      </c>
      <c r="E135" s="18">
        <v>99.9</v>
      </c>
      <c r="F135" s="18">
        <v>123.3</v>
      </c>
      <c r="G135" s="18">
        <v>105.6</v>
      </c>
      <c r="H135" s="18">
        <v>104.7</v>
      </c>
      <c r="I135" s="18">
        <v>99.5</v>
      </c>
      <c r="J135" s="18">
        <v>102.2</v>
      </c>
      <c r="K135" s="18">
        <v>105.7</v>
      </c>
      <c r="L135" s="18">
        <v>102.8</v>
      </c>
      <c r="M135" s="18">
        <v>102.7</v>
      </c>
      <c r="N135" s="18">
        <v>104.6</v>
      </c>
      <c r="P135" s="18">
        <v>98.8</v>
      </c>
      <c r="Q135" s="18">
        <v>98.9</v>
      </c>
      <c r="R135" s="18">
        <v>101.3</v>
      </c>
      <c r="S135" s="18">
        <v>99.4</v>
      </c>
      <c r="T135" s="18">
        <v>103</v>
      </c>
      <c r="U135" s="18">
        <v>101.2</v>
      </c>
      <c r="V135" s="18">
        <v>100.6</v>
      </c>
      <c r="W135" s="18">
        <v>99.3</v>
      </c>
      <c r="X135" s="18">
        <v>101.5</v>
      </c>
      <c r="Y135" s="18">
        <v>98.3</v>
      </c>
      <c r="Z135" s="18">
        <v>96.6</v>
      </c>
      <c r="AA135" s="18">
        <v>102.5</v>
      </c>
      <c r="AB135" s="18">
        <v>99.9</v>
      </c>
    </row>
    <row r="136" spans="1:28">
      <c r="A136" s="17">
        <f t="shared" ref="A136:A199" si="2">+EDATE(A135,1)</f>
        <v>42339</v>
      </c>
      <c r="B136" s="18">
        <v>102</v>
      </c>
      <c r="C136" s="18">
        <v>105.5</v>
      </c>
      <c r="D136" s="18">
        <v>106.1</v>
      </c>
      <c r="E136" s="18">
        <v>99.3</v>
      </c>
      <c r="F136" s="18">
        <v>99.4</v>
      </c>
      <c r="G136" s="18">
        <v>124.3</v>
      </c>
      <c r="H136" s="18">
        <v>117.4</v>
      </c>
      <c r="I136" s="18">
        <v>103</v>
      </c>
      <c r="J136" s="18">
        <v>102.4</v>
      </c>
      <c r="K136" s="18">
        <v>120.1</v>
      </c>
      <c r="L136" s="18">
        <v>117.8</v>
      </c>
      <c r="M136" s="18">
        <v>107.9</v>
      </c>
      <c r="N136" s="18">
        <v>111.2</v>
      </c>
      <c r="P136" s="18">
        <v>102.1</v>
      </c>
      <c r="Q136" s="18">
        <v>97.9</v>
      </c>
      <c r="R136" s="18">
        <v>103</v>
      </c>
      <c r="S136" s="18">
        <v>100.1</v>
      </c>
      <c r="T136" s="18">
        <v>103.8</v>
      </c>
      <c r="U136" s="18">
        <v>101.9</v>
      </c>
      <c r="V136" s="18">
        <v>100.3</v>
      </c>
      <c r="W136" s="18">
        <v>97.5</v>
      </c>
      <c r="X136" s="18">
        <v>101.8</v>
      </c>
      <c r="Y136" s="18">
        <v>97.9</v>
      </c>
      <c r="Z136" s="18">
        <v>96.3</v>
      </c>
      <c r="AA136" s="18">
        <v>103.1</v>
      </c>
      <c r="AB136" s="18">
        <v>100.6</v>
      </c>
    </row>
    <row r="137" spans="1:28">
      <c r="A137" s="17">
        <f t="shared" si="2"/>
        <v>42370</v>
      </c>
      <c r="B137" s="18">
        <v>95.3</v>
      </c>
      <c r="C137" s="18">
        <v>99.5</v>
      </c>
      <c r="D137" s="18">
        <v>92.7</v>
      </c>
      <c r="E137" s="18">
        <v>99.5</v>
      </c>
      <c r="F137" s="18">
        <v>85.4</v>
      </c>
      <c r="G137" s="18">
        <v>94.1</v>
      </c>
      <c r="H137" s="18">
        <v>94.6</v>
      </c>
      <c r="I137" s="18">
        <v>99.8</v>
      </c>
      <c r="J137" s="18">
        <v>102.2</v>
      </c>
      <c r="K137" s="18">
        <v>86.7</v>
      </c>
      <c r="L137" s="18">
        <v>88.4</v>
      </c>
      <c r="M137" s="18">
        <v>95.9</v>
      </c>
      <c r="N137" s="18">
        <v>93.4</v>
      </c>
      <c r="P137" s="18">
        <v>97</v>
      </c>
      <c r="Q137" s="18">
        <v>97.8</v>
      </c>
      <c r="R137" s="18">
        <v>101.4</v>
      </c>
      <c r="S137" s="18">
        <v>100.5</v>
      </c>
      <c r="T137" s="18">
        <v>105.5</v>
      </c>
      <c r="U137" s="18">
        <v>102</v>
      </c>
      <c r="V137" s="18">
        <v>103.6</v>
      </c>
      <c r="W137" s="18">
        <v>100.9</v>
      </c>
      <c r="X137" s="18">
        <v>101.9</v>
      </c>
      <c r="Y137" s="18">
        <v>97.9</v>
      </c>
      <c r="Z137" s="18">
        <v>99.9</v>
      </c>
      <c r="AA137" s="18">
        <v>103.6</v>
      </c>
      <c r="AB137" s="18">
        <v>100.9</v>
      </c>
    </row>
    <row r="138" spans="1:28">
      <c r="A138" s="17">
        <f t="shared" si="2"/>
        <v>42401</v>
      </c>
      <c r="B138" s="18">
        <v>94.1</v>
      </c>
      <c r="C138" s="18">
        <v>97.8</v>
      </c>
      <c r="D138" s="18">
        <v>99.7</v>
      </c>
      <c r="E138" s="18">
        <v>98.8</v>
      </c>
      <c r="F138" s="18">
        <v>109</v>
      </c>
      <c r="G138" s="18">
        <v>97.7</v>
      </c>
      <c r="H138" s="18">
        <v>94.1</v>
      </c>
      <c r="I138" s="18">
        <v>100.3</v>
      </c>
      <c r="J138" s="18">
        <v>101.6</v>
      </c>
      <c r="K138" s="18">
        <v>92.9</v>
      </c>
      <c r="L138" s="18">
        <v>99.1</v>
      </c>
      <c r="M138" s="18">
        <v>108.3</v>
      </c>
      <c r="N138" s="18">
        <v>99.2</v>
      </c>
      <c r="P138" s="18">
        <v>100.4</v>
      </c>
      <c r="Q138" s="18">
        <v>102.4</v>
      </c>
      <c r="R138" s="18">
        <v>104.5</v>
      </c>
      <c r="S138" s="18">
        <v>100.9</v>
      </c>
      <c r="T138" s="18">
        <v>105.8</v>
      </c>
      <c r="U138" s="18">
        <v>100.9</v>
      </c>
      <c r="V138" s="18">
        <v>97.1</v>
      </c>
      <c r="W138" s="18">
        <v>103.4</v>
      </c>
      <c r="X138" s="18">
        <v>102.1</v>
      </c>
      <c r="Y138" s="18">
        <v>98.3</v>
      </c>
      <c r="Z138" s="18">
        <v>101.7</v>
      </c>
      <c r="AA138" s="18">
        <v>107.1</v>
      </c>
      <c r="AB138" s="18">
        <v>102.6</v>
      </c>
    </row>
    <row r="139" spans="1:28">
      <c r="A139" s="17">
        <f t="shared" si="2"/>
        <v>42430</v>
      </c>
      <c r="B139" s="18">
        <v>94.3</v>
      </c>
      <c r="C139" s="18">
        <v>97.2</v>
      </c>
      <c r="D139" s="18">
        <v>99</v>
      </c>
      <c r="E139" s="18">
        <v>101.1</v>
      </c>
      <c r="F139" s="18">
        <v>102.1</v>
      </c>
      <c r="G139" s="18">
        <v>96.8</v>
      </c>
      <c r="H139" s="18">
        <v>96.2</v>
      </c>
      <c r="I139" s="18">
        <v>107.4</v>
      </c>
      <c r="J139" s="18">
        <v>101.7</v>
      </c>
      <c r="K139" s="18">
        <v>96</v>
      </c>
      <c r="L139" s="18">
        <v>104.9</v>
      </c>
      <c r="M139" s="18">
        <v>100</v>
      </c>
      <c r="N139" s="18">
        <v>99.8</v>
      </c>
      <c r="P139" s="18">
        <v>100</v>
      </c>
      <c r="Q139" s="18">
        <v>98</v>
      </c>
      <c r="R139" s="18">
        <v>102.8</v>
      </c>
      <c r="S139" s="18">
        <v>100.1</v>
      </c>
      <c r="T139" s="18">
        <v>105</v>
      </c>
      <c r="U139" s="18">
        <v>101.7</v>
      </c>
      <c r="V139" s="18">
        <v>97.2</v>
      </c>
      <c r="W139" s="18">
        <v>102.1</v>
      </c>
      <c r="X139" s="18">
        <v>102.4</v>
      </c>
      <c r="Y139" s="18">
        <v>97.1</v>
      </c>
      <c r="Z139" s="18">
        <v>102.9</v>
      </c>
      <c r="AA139" s="18">
        <v>103.9</v>
      </c>
      <c r="AB139" s="18">
        <v>101.7</v>
      </c>
    </row>
    <row r="140" spans="1:28">
      <c r="A140" s="17">
        <f t="shared" si="2"/>
        <v>42461</v>
      </c>
      <c r="B140" s="18">
        <v>95.6</v>
      </c>
      <c r="C140" s="18">
        <v>95.1</v>
      </c>
      <c r="D140" s="18">
        <v>101.6</v>
      </c>
      <c r="E140" s="18">
        <v>95.9</v>
      </c>
      <c r="F140" s="18">
        <v>92.5</v>
      </c>
      <c r="G140" s="18">
        <v>100.3</v>
      </c>
      <c r="H140" s="18">
        <v>93.9</v>
      </c>
      <c r="I140" s="18">
        <v>99.1</v>
      </c>
      <c r="J140" s="18">
        <v>102.2</v>
      </c>
      <c r="K140" s="18">
        <v>91.6</v>
      </c>
      <c r="L140" s="18">
        <v>97.9</v>
      </c>
      <c r="M140" s="18">
        <v>105.7</v>
      </c>
      <c r="N140" s="18">
        <v>98.1</v>
      </c>
      <c r="P140" s="18">
        <v>99.3</v>
      </c>
      <c r="Q140" s="18">
        <v>97.2</v>
      </c>
      <c r="R140" s="18">
        <v>103.3</v>
      </c>
      <c r="S140" s="18">
        <v>98.1</v>
      </c>
      <c r="T140" s="18">
        <v>103</v>
      </c>
      <c r="U140" s="18">
        <v>102</v>
      </c>
      <c r="V140" s="18">
        <v>99.5</v>
      </c>
      <c r="W140" s="18">
        <v>99.5</v>
      </c>
      <c r="X140" s="18">
        <v>102.9</v>
      </c>
      <c r="Y140" s="18">
        <v>97.7</v>
      </c>
      <c r="Z140" s="18">
        <v>104</v>
      </c>
      <c r="AA140" s="18">
        <v>105.6</v>
      </c>
      <c r="AB140" s="18">
        <v>101.5</v>
      </c>
    </row>
    <row r="141" spans="1:28">
      <c r="A141" s="17">
        <f t="shared" si="2"/>
        <v>42491</v>
      </c>
      <c r="B141" s="18">
        <v>97.2</v>
      </c>
      <c r="C141" s="18">
        <v>96.6</v>
      </c>
      <c r="D141" s="18">
        <v>102.6</v>
      </c>
      <c r="E141" s="18">
        <v>99.7</v>
      </c>
      <c r="F141" s="18">
        <v>116.5</v>
      </c>
      <c r="G141" s="18">
        <v>97.8</v>
      </c>
      <c r="H141" s="18">
        <v>96.5</v>
      </c>
      <c r="I141" s="18">
        <v>101.9</v>
      </c>
      <c r="J141" s="18">
        <v>103.4</v>
      </c>
      <c r="K141" s="18">
        <v>94.4</v>
      </c>
      <c r="L141" s="18">
        <v>100</v>
      </c>
      <c r="M141" s="18">
        <v>99.9</v>
      </c>
      <c r="N141" s="18">
        <v>100.7</v>
      </c>
      <c r="P141" s="18">
        <v>96.8</v>
      </c>
      <c r="Q141" s="18">
        <v>97</v>
      </c>
      <c r="R141" s="18">
        <v>102.9</v>
      </c>
      <c r="S141" s="18">
        <v>98.9</v>
      </c>
      <c r="T141" s="18">
        <v>105.2</v>
      </c>
      <c r="U141" s="18">
        <v>101.4</v>
      </c>
      <c r="V141" s="18">
        <v>99.4</v>
      </c>
      <c r="W141" s="18">
        <v>102.2</v>
      </c>
      <c r="X141" s="18">
        <v>103.3</v>
      </c>
      <c r="Y141" s="18">
        <v>97.3</v>
      </c>
      <c r="Z141" s="18">
        <v>103.8</v>
      </c>
      <c r="AA141" s="18">
        <v>104.5</v>
      </c>
      <c r="AB141" s="18">
        <v>101.8</v>
      </c>
    </row>
    <row r="142" spans="1:28">
      <c r="A142" s="17">
        <f t="shared" si="2"/>
        <v>42522</v>
      </c>
      <c r="B142" s="18">
        <v>98.7</v>
      </c>
      <c r="C142" s="18">
        <v>95.1</v>
      </c>
      <c r="D142" s="18">
        <v>103.7</v>
      </c>
      <c r="E142" s="18">
        <v>97.7</v>
      </c>
      <c r="F142" s="18">
        <v>107</v>
      </c>
      <c r="G142" s="18">
        <v>100.2</v>
      </c>
      <c r="H142" s="18">
        <v>100.6</v>
      </c>
      <c r="I142" s="18">
        <v>101.4</v>
      </c>
      <c r="J142" s="18">
        <v>103.7</v>
      </c>
      <c r="K142" s="18">
        <v>96.9</v>
      </c>
      <c r="L142" s="18">
        <v>105.4</v>
      </c>
      <c r="M142" s="18">
        <v>98.2</v>
      </c>
      <c r="N142" s="18">
        <v>101.6</v>
      </c>
      <c r="P142" s="18">
        <v>100.6</v>
      </c>
      <c r="Q142" s="18">
        <v>97</v>
      </c>
      <c r="R142" s="18">
        <v>105.2</v>
      </c>
      <c r="S142" s="18">
        <v>100</v>
      </c>
      <c r="T142" s="18">
        <v>103.7</v>
      </c>
      <c r="U142" s="18">
        <v>102.4</v>
      </c>
      <c r="V142" s="18">
        <v>99.6</v>
      </c>
      <c r="W142" s="18">
        <v>102.2</v>
      </c>
      <c r="X142" s="18">
        <v>103.6</v>
      </c>
      <c r="Y142" s="18">
        <v>96.7</v>
      </c>
      <c r="Z142" s="18">
        <v>103.7</v>
      </c>
      <c r="AA142" s="18">
        <v>104.9</v>
      </c>
      <c r="AB142" s="18">
        <v>101.8</v>
      </c>
    </row>
    <row r="143" spans="1:28">
      <c r="A143" s="17">
        <f t="shared" si="2"/>
        <v>42552</v>
      </c>
      <c r="B143" s="18">
        <v>95.6</v>
      </c>
      <c r="C143" s="18">
        <v>97.6</v>
      </c>
      <c r="D143" s="18">
        <v>97.5</v>
      </c>
      <c r="E143" s="18">
        <v>99</v>
      </c>
      <c r="F143" s="18">
        <v>88.4</v>
      </c>
      <c r="G143" s="18">
        <v>103.8</v>
      </c>
      <c r="H143" s="18">
        <v>97.7</v>
      </c>
      <c r="I143" s="18">
        <v>105.2</v>
      </c>
      <c r="J143" s="18">
        <v>103.6</v>
      </c>
      <c r="K143" s="18">
        <v>96.7</v>
      </c>
      <c r="L143" s="18">
        <v>107.4</v>
      </c>
      <c r="M143" s="18">
        <v>108</v>
      </c>
      <c r="N143" s="18">
        <v>100.5</v>
      </c>
      <c r="P143" s="18">
        <v>91.5</v>
      </c>
      <c r="Q143" s="18">
        <v>98.4</v>
      </c>
      <c r="R143" s="18">
        <v>95.3</v>
      </c>
      <c r="S143" s="18">
        <v>97.9</v>
      </c>
      <c r="T143" s="18">
        <v>101.2</v>
      </c>
      <c r="U143" s="18">
        <v>100.2</v>
      </c>
      <c r="V143" s="18">
        <v>100.7</v>
      </c>
      <c r="W143" s="18">
        <v>105.9</v>
      </c>
      <c r="X143" s="18">
        <v>103.8</v>
      </c>
      <c r="Y143" s="18">
        <v>96.6</v>
      </c>
      <c r="Z143" s="18">
        <v>104.7</v>
      </c>
      <c r="AA143" s="18">
        <v>105.1</v>
      </c>
      <c r="AB143" s="18">
        <v>99.7</v>
      </c>
    </row>
    <row r="144" spans="1:28">
      <c r="A144" s="17">
        <f t="shared" si="2"/>
        <v>42583</v>
      </c>
      <c r="B144" s="18">
        <v>120.6</v>
      </c>
      <c r="C144" s="18">
        <v>96.2</v>
      </c>
      <c r="D144" s="18">
        <v>109.5</v>
      </c>
      <c r="E144" s="18">
        <v>102.3</v>
      </c>
      <c r="F144" s="18">
        <v>117.8</v>
      </c>
      <c r="G144" s="18">
        <v>102.5</v>
      </c>
      <c r="H144" s="18">
        <v>97.7</v>
      </c>
      <c r="I144" s="18">
        <v>101.5</v>
      </c>
      <c r="J144" s="18">
        <v>104</v>
      </c>
      <c r="K144" s="18">
        <v>95.6</v>
      </c>
      <c r="L144" s="18">
        <v>99.7</v>
      </c>
      <c r="M144" s="18">
        <v>109.1</v>
      </c>
      <c r="N144" s="18">
        <v>104.7</v>
      </c>
      <c r="P144" s="18">
        <v>110</v>
      </c>
      <c r="Q144" s="18">
        <v>96.9</v>
      </c>
      <c r="R144" s="18">
        <v>106.8</v>
      </c>
      <c r="S144" s="18">
        <v>100.9</v>
      </c>
      <c r="T144" s="18">
        <v>104.6</v>
      </c>
      <c r="U144" s="18">
        <v>103.4</v>
      </c>
      <c r="V144" s="18">
        <v>100.5</v>
      </c>
      <c r="W144" s="18">
        <v>102.5</v>
      </c>
      <c r="X144" s="18">
        <v>104</v>
      </c>
      <c r="Y144" s="18">
        <v>97</v>
      </c>
      <c r="Z144" s="18">
        <v>103.9</v>
      </c>
      <c r="AA144" s="18">
        <v>105</v>
      </c>
      <c r="AB144" s="18">
        <v>103.2</v>
      </c>
    </row>
    <row r="145" spans="1:28">
      <c r="A145" s="17">
        <f t="shared" si="2"/>
        <v>42614</v>
      </c>
      <c r="B145" s="18">
        <v>113.5</v>
      </c>
      <c r="C145" s="18">
        <v>95.4</v>
      </c>
      <c r="D145" s="18">
        <v>109.1</v>
      </c>
      <c r="E145" s="18">
        <v>101.9</v>
      </c>
      <c r="F145" s="18">
        <v>110.7</v>
      </c>
      <c r="G145" s="18">
        <v>100.2</v>
      </c>
      <c r="H145" s="18">
        <v>101.2</v>
      </c>
      <c r="I145" s="18">
        <v>102</v>
      </c>
      <c r="J145" s="18">
        <v>104.1</v>
      </c>
      <c r="K145" s="18">
        <v>96.8</v>
      </c>
      <c r="L145" s="18">
        <v>103</v>
      </c>
      <c r="M145" s="18">
        <v>105.7</v>
      </c>
      <c r="N145" s="18">
        <v>103.7</v>
      </c>
      <c r="P145" s="18">
        <v>108.2</v>
      </c>
      <c r="Q145" s="18">
        <v>97.6</v>
      </c>
      <c r="R145" s="18">
        <v>105.2</v>
      </c>
      <c r="S145" s="18">
        <v>100.5</v>
      </c>
      <c r="T145" s="18">
        <v>104.1</v>
      </c>
      <c r="U145" s="18">
        <v>103.9</v>
      </c>
      <c r="V145" s="18">
        <v>99.6</v>
      </c>
      <c r="W145" s="18">
        <v>103.6</v>
      </c>
      <c r="X145" s="18">
        <v>104</v>
      </c>
      <c r="Y145" s="18">
        <v>97.9</v>
      </c>
      <c r="Z145" s="18">
        <v>105.4</v>
      </c>
      <c r="AA145" s="18">
        <v>107</v>
      </c>
      <c r="AB145" s="18">
        <v>103.6</v>
      </c>
    </row>
    <row r="146" spans="1:28">
      <c r="A146" s="17">
        <f t="shared" si="2"/>
        <v>42644</v>
      </c>
      <c r="B146" s="18">
        <v>107.9</v>
      </c>
      <c r="C146" s="18">
        <v>97.5</v>
      </c>
      <c r="D146" s="18">
        <v>107.7</v>
      </c>
      <c r="E146" s="18">
        <v>102.2</v>
      </c>
      <c r="F146" s="18">
        <v>92.4</v>
      </c>
      <c r="G146" s="18">
        <v>101.1</v>
      </c>
      <c r="H146" s="18">
        <v>103.3</v>
      </c>
      <c r="I146" s="18">
        <v>102.6</v>
      </c>
      <c r="J146" s="18">
        <v>104.7</v>
      </c>
      <c r="K146" s="18">
        <v>98.5</v>
      </c>
      <c r="L146" s="18">
        <v>100.1</v>
      </c>
      <c r="M146" s="18">
        <v>116.6</v>
      </c>
      <c r="N146" s="18">
        <v>102</v>
      </c>
      <c r="P146" s="18">
        <v>106.7</v>
      </c>
      <c r="Q146" s="18">
        <v>95.3</v>
      </c>
      <c r="R146" s="18">
        <v>102.7</v>
      </c>
      <c r="S146" s="18">
        <v>100.5</v>
      </c>
      <c r="T146" s="18">
        <v>100.3</v>
      </c>
      <c r="U146" s="18">
        <v>103.9</v>
      </c>
      <c r="V146" s="18">
        <v>99.4</v>
      </c>
      <c r="W146" s="18">
        <v>104.5</v>
      </c>
      <c r="X146" s="18">
        <v>104.5</v>
      </c>
      <c r="Y146" s="18">
        <v>98.1</v>
      </c>
      <c r="Z146" s="18">
        <v>105</v>
      </c>
      <c r="AA146" s="18">
        <v>106.3</v>
      </c>
      <c r="AB146" s="18">
        <v>102.5</v>
      </c>
    </row>
    <row r="147" spans="1:28">
      <c r="A147" s="17">
        <f t="shared" si="2"/>
        <v>42675</v>
      </c>
      <c r="B147" s="18">
        <v>110</v>
      </c>
      <c r="C147" s="18">
        <v>95.2</v>
      </c>
      <c r="D147" s="18">
        <v>107.3</v>
      </c>
      <c r="E147" s="18">
        <v>101.6</v>
      </c>
      <c r="F147" s="18">
        <v>123.4</v>
      </c>
      <c r="G147" s="18">
        <v>108.6</v>
      </c>
      <c r="H147" s="18">
        <v>102.2</v>
      </c>
      <c r="I147" s="18">
        <v>103.1</v>
      </c>
      <c r="J147" s="18">
        <v>105.6</v>
      </c>
      <c r="K147" s="18">
        <v>104.7</v>
      </c>
      <c r="L147" s="18">
        <v>110.6</v>
      </c>
      <c r="M147" s="18">
        <v>106.6</v>
      </c>
      <c r="N147" s="18">
        <v>107.8</v>
      </c>
      <c r="P147" s="18">
        <v>112.5</v>
      </c>
      <c r="Q147" s="18">
        <v>93.8</v>
      </c>
      <c r="R147" s="18">
        <v>103.8</v>
      </c>
      <c r="S147" s="18">
        <v>100.9</v>
      </c>
      <c r="T147" s="18">
        <v>103.2</v>
      </c>
      <c r="U147" s="18">
        <v>104.3</v>
      </c>
      <c r="V147" s="18">
        <v>98.3</v>
      </c>
      <c r="W147" s="18">
        <v>103.1</v>
      </c>
      <c r="X147" s="18">
        <v>104.9</v>
      </c>
      <c r="Y147" s="18">
        <v>97.8</v>
      </c>
      <c r="Z147" s="18">
        <v>104.3</v>
      </c>
      <c r="AA147" s="18">
        <v>106.4</v>
      </c>
      <c r="AB147" s="18">
        <v>103.1</v>
      </c>
    </row>
    <row r="148" spans="1:28">
      <c r="A148" s="17">
        <f t="shared" si="2"/>
        <v>42705</v>
      </c>
      <c r="B148" s="18">
        <v>110</v>
      </c>
      <c r="C148" s="18">
        <v>102.3</v>
      </c>
      <c r="D148" s="18">
        <v>108.2</v>
      </c>
      <c r="E148" s="18">
        <v>100.2</v>
      </c>
      <c r="F148" s="18">
        <v>97.8</v>
      </c>
      <c r="G148" s="18">
        <v>129</v>
      </c>
      <c r="H148" s="18">
        <v>114.3</v>
      </c>
      <c r="I148" s="18">
        <v>111.3</v>
      </c>
      <c r="J148" s="18">
        <v>105.6</v>
      </c>
      <c r="K148" s="18">
        <v>120.1</v>
      </c>
      <c r="L148" s="18">
        <v>127.4</v>
      </c>
      <c r="M148" s="18">
        <v>112.4</v>
      </c>
      <c r="N148" s="18">
        <v>114.9</v>
      </c>
      <c r="P148" s="18">
        <v>109.8</v>
      </c>
      <c r="Q148" s="18">
        <v>94</v>
      </c>
      <c r="R148" s="18">
        <v>104.9</v>
      </c>
      <c r="S148" s="18">
        <v>100.8</v>
      </c>
      <c r="T148" s="18">
        <v>101.5</v>
      </c>
      <c r="U148" s="18">
        <v>106</v>
      </c>
      <c r="V148" s="18">
        <v>97.4</v>
      </c>
      <c r="W148" s="18">
        <v>105.5</v>
      </c>
      <c r="X148" s="18">
        <v>105</v>
      </c>
      <c r="Y148" s="18">
        <v>98.3</v>
      </c>
      <c r="Z148" s="18">
        <v>104.9</v>
      </c>
      <c r="AA148" s="18">
        <v>107</v>
      </c>
      <c r="AB148" s="18">
        <v>103.8</v>
      </c>
    </row>
    <row r="149" spans="1:28">
      <c r="A149" s="17">
        <f t="shared" si="2"/>
        <v>42736</v>
      </c>
      <c r="B149" s="18">
        <v>104.3</v>
      </c>
      <c r="C149" s="18">
        <v>94.2</v>
      </c>
      <c r="D149" s="18">
        <v>93.9</v>
      </c>
      <c r="E149" s="18">
        <v>99.4</v>
      </c>
      <c r="F149" s="18">
        <v>81.400000000000006</v>
      </c>
      <c r="G149" s="18">
        <v>94.4</v>
      </c>
      <c r="H149" s="18">
        <v>89.6</v>
      </c>
      <c r="I149" s="18">
        <v>104.4</v>
      </c>
      <c r="J149" s="18">
        <v>105.5</v>
      </c>
      <c r="K149" s="18">
        <v>86.5</v>
      </c>
      <c r="L149" s="18">
        <v>93.1</v>
      </c>
      <c r="M149" s="18">
        <v>98.7</v>
      </c>
      <c r="N149" s="18">
        <v>94.8</v>
      </c>
      <c r="P149" s="18">
        <v>106.9</v>
      </c>
      <c r="Q149" s="18">
        <v>92.8</v>
      </c>
      <c r="R149" s="18">
        <v>102.7</v>
      </c>
      <c r="S149" s="18">
        <v>100.6</v>
      </c>
      <c r="T149" s="18">
        <v>100.6</v>
      </c>
      <c r="U149" s="18">
        <v>102.1</v>
      </c>
      <c r="V149" s="18">
        <v>98.7</v>
      </c>
      <c r="W149" s="18">
        <v>105</v>
      </c>
      <c r="X149" s="18">
        <v>105.2</v>
      </c>
      <c r="Y149" s="18">
        <v>97.8</v>
      </c>
      <c r="Z149" s="18">
        <v>105.9</v>
      </c>
      <c r="AA149" s="18">
        <v>107</v>
      </c>
      <c r="AB149" s="18">
        <v>102.4</v>
      </c>
    </row>
    <row r="150" spans="1:28">
      <c r="A150" s="17">
        <f t="shared" si="2"/>
        <v>42767</v>
      </c>
      <c r="B150" s="18">
        <v>102.9</v>
      </c>
      <c r="C150" s="18">
        <v>86</v>
      </c>
      <c r="D150" s="18">
        <v>95.5</v>
      </c>
      <c r="E150" s="18">
        <v>97.4</v>
      </c>
      <c r="F150" s="18">
        <v>104.2</v>
      </c>
      <c r="G150" s="18">
        <v>97.6</v>
      </c>
      <c r="H150" s="18">
        <v>92.8</v>
      </c>
      <c r="I150" s="18">
        <v>100.8</v>
      </c>
      <c r="J150" s="18">
        <v>104.9</v>
      </c>
      <c r="K150" s="18">
        <v>92.7</v>
      </c>
      <c r="L150" s="18">
        <v>101.9</v>
      </c>
      <c r="M150" s="18">
        <v>112</v>
      </c>
      <c r="N150" s="18">
        <v>98.9</v>
      </c>
      <c r="P150" s="18">
        <v>109.2</v>
      </c>
      <c r="Q150" s="18">
        <v>93.3</v>
      </c>
      <c r="R150" s="18">
        <v>103</v>
      </c>
      <c r="S150" s="18">
        <v>102</v>
      </c>
      <c r="T150" s="18">
        <v>101.1</v>
      </c>
      <c r="U150" s="18">
        <v>103.4</v>
      </c>
      <c r="V150" s="18">
        <v>97.7</v>
      </c>
      <c r="W150" s="18">
        <v>103.9</v>
      </c>
      <c r="X150" s="18">
        <v>105.5</v>
      </c>
      <c r="Y150" s="18">
        <v>98.2</v>
      </c>
      <c r="Z150" s="18">
        <v>105</v>
      </c>
      <c r="AA150" s="18">
        <v>111.6</v>
      </c>
      <c r="AB150" s="18">
        <v>103.4</v>
      </c>
    </row>
    <row r="151" spans="1:28">
      <c r="A151" s="17">
        <f t="shared" si="2"/>
        <v>42795</v>
      </c>
      <c r="B151" s="18">
        <v>108.2</v>
      </c>
      <c r="C151" s="18">
        <v>90.1</v>
      </c>
      <c r="D151" s="18">
        <v>103.9</v>
      </c>
      <c r="E151" s="18">
        <v>104.1</v>
      </c>
      <c r="F151" s="18">
        <v>98</v>
      </c>
      <c r="G151" s="18">
        <v>100.1</v>
      </c>
      <c r="H151" s="18">
        <v>98.5</v>
      </c>
      <c r="I151" s="18">
        <v>109.6</v>
      </c>
      <c r="J151" s="18">
        <v>105</v>
      </c>
      <c r="K151" s="18">
        <v>97.2</v>
      </c>
      <c r="L151" s="18">
        <v>106.8</v>
      </c>
      <c r="M151" s="18">
        <v>102.5</v>
      </c>
      <c r="N151" s="18">
        <v>102.2</v>
      </c>
      <c r="P151" s="18">
        <v>108.7</v>
      </c>
      <c r="Q151" s="18">
        <v>90.7</v>
      </c>
      <c r="R151" s="18">
        <v>103</v>
      </c>
      <c r="S151" s="18">
        <v>102</v>
      </c>
      <c r="T151" s="18">
        <v>100.3</v>
      </c>
      <c r="U151" s="18">
        <v>103.6</v>
      </c>
      <c r="V151" s="18">
        <v>99.4</v>
      </c>
      <c r="W151" s="18">
        <v>105.4</v>
      </c>
      <c r="X151" s="18">
        <v>105.7</v>
      </c>
      <c r="Y151" s="18">
        <v>98.1</v>
      </c>
      <c r="Z151" s="18">
        <v>105.4</v>
      </c>
      <c r="AA151" s="18">
        <v>106</v>
      </c>
      <c r="AB151" s="18">
        <v>102.6</v>
      </c>
    </row>
    <row r="152" spans="1:28">
      <c r="A152" s="17">
        <f t="shared" si="2"/>
        <v>42826</v>
      </c>
      <c r="B152" s="18">
        <v>93.5</v>
      </c>
      <c r="C152" s="18">
        <v>89.5</v>
      </c>
      <c r="D152" s="18">
        <v>92.9</v>
      </c>
      <c r="E152" s="18">
        <v>99</v>
      </c>
      <c r="F152" s="18">
        <v>93</v>
      </c>
      <c r="G152" s="18">
        <v>102</v>
      </c>
      <c r="H152" s="18">
        <v>92.3</v>
      </c>
      <c r="I152" s="18">
        <v>106.9</v>
      </c>
      <c r="J152" s="18">
        <v>105.1</v>
      </c>
      <c r="K152" s="18">
        <v>92.1</v>
      </c>
      <c r="L152" s="18">
        <v>99.3</v>
      </c>
      <c r="M152" s="18">
        <v>106.1</v>
      </c>
      <c r="N152" s="18">
        <v>97.8</v>
      </c>
      <c r="P152" s="18">
        <v>102.6</v>
      </c>
      <c r="Q152" s="18">
        <v>91.7</v>
      </c>
      <c r="R152" s="18">
        <v>98.8</v>
      </c>
      <c r="S152" s="18">
        <v>102.2</v>
      </c>
      <c r="T152" s="18">
        <v>103.6</v>
      </c>
      <c r="U152" s="18">
        <v>104.5</v>
      </c>
      <c r="V152" s="18">
        <v>97.8</v>
      </c>
      <c r="W152" s="18">
        <v>107.6</v>
      </c>
      <c r="X152" s="18">
        <v>105.9</v>
      </c>
      <c r="Y152" s="18">
        <v>97.9</v>
      </c>
      <c r="Z152" s="18">
        <v>105.5</v>
      </c>
      <c r="AA152" s="18">
        <v>106</v>
      </c>
      <c r="AB152" s="18">
        <v>102.6</v>
      </c>
    </row>
    <row r="153" spans="1:28">
      <c r="A153" s="17">
        <f t="shared" si="2"/>
        <v>42856</v>
      </c>
      <c r="B153" s="18">
        <v>105.2</v>
      </c>
      <c r="C153" s="18">
        <v>93.8</v>
      </c>
      <c r="D153" s="18">
        <v>100</v>
      </c>
      <c r="E153" s="18">
        <v>102.9</v>
      </c>
      <c r="F153" s="18">
        <v>113.2</v>
      </c>
      <c r="G153" s="18">
        <v>99.9</v>
      </c>
      <c r="H153" s="18">
        <v>98.2</v>
      </c>
      <c r="I153" s="18">
        <v>106.9</v>
      </c>
      <c r="J153" s="18">
        <v>106.3</v>
      </c>
      <c r="K153" s="18">
        <v>95.8</v>
      </c>
      <c r="L153" s="18">
        <v>102.7</v>
      </c>
      <c r="M153" s="18">
        <v>102.8</v>
      </c>
      <c r="N153" s="18">
        <v>102.1</v>
      </c>
      <c r="P153" s="18">
        <v>104.9</v>
      </c>
      <c r="Q153" s="18">
        <v>94.3</v>
      </c>
      <c r="R153" s="18">
        <v>100.2</v>
      </c>
      <c r="S153" s="18">
        <v>102.4</v>
      </c>
      <c r="T153" s="18">
        <v>102.9</v>
      </c>
      <c r="U153" s="18">
        <v>103.4</v>
      </c>
      <c r="V153" s="18">
        <v>101.3</v>
      </c>
      <c r="W153" s="18">
        <v>107.4</v>
      </c>
      <c r="X153" s="18">
        <v>106.2</v>
      </c>
      <c r="Y153" s="18">
        <v>98.7</v>
      </c>
      <c r="Z153" s="18">
        <v>106.3</v>
      </c>
      <c r="AA153" s="18">
        <v>106.8</v>
      </c>
      <c r="AB153" s="18">
        <v>103.2</v>
      </c>
    </row>
    <row r="154" spans="1:28">
      <c r="A154" s="17">
        <f t="shared" si="2"/>
        <v>42887</v>
      </c>
      <c r="B154" s="18">
        <v>111.2</v>
      </c>
      <c r="C154" s="18">
        <v>90.1</v>
      </c>
      <c r="D154" s="18">
        <v>101</v>
      </c>
      <c r="E154" s="18">
        <v>100.6</v>
      </c>
      <c r="F154" s="18">
        <v>106.4</v>
      </c>
      <c r="G154" s="18">
        <v>103.3</v>
      </c>
      <c r="H154" s="18">
        <v>100.6</v>
      </c>
      <c r="I154" s="18">
        <v>110.9</v>
      </c>
      <c r="J154" s="18">
        <v>106.5</v>
      </c>
      <c r="K154" s="18">
        <v>99.9</v>
      </c>
      <c r="L154" s="18">
        <v>112.1</v>
      </c>
      <c r="M154" s="18">
        <v>100.5</v>
      </c>
      <c r="N154" s="18">
        <v>104.5</v>
      </c>
      <c r="P154" s="18">
        <v>113.7</v>
      </c>
      <c r="Q154" s="18">
        <v>91.7</v>
      </c>
      <c r="R154" s="18">
        <v>102.2</v>
      </c>
      <c r="S154" s="18">
        <v>102.7</v>
      </c>
      <c r="T154" s="18">
        <v>104</v>
      </c>
      <c r="U154" s="18">
        <v>105</v>
      </c>
      <c r="V154" s="18">
        <v>99.2</v>
      </c>
      <c r="W154" s="18">
        <v>111.9</v>
      </c>
      <c r="X154" s="18">
        <v>106.5</v>
      </c>
      <c r="Y154" s="18">
        <v>99.3</v>
      </c>
      <c r="Z154" s="18">
        <v>109.3</v>
      </c>
      <c r="AA154" s="18">
        <v>106.8</v>
      </c>
      <c r="AB154" s="18">
        <v>104.5</v>
      </c>
    </row>
    <row r="155" spans="1:28">
      <c r="A155" s="17">
        <f t="shared" si="2"/>
        <v>42917</v>
      </c>
      <c r="B155" s="18">
        <v>109.2</v>
      </c>
      <c r="C155" s="18">
        <v>91.8</v>
      </c>
      <c r="D155" s="18">
        <v>101.3</v>
      </c>
      <c r="E155" s="18">
        <v>103.9</v>
      </c>
      <c r="F155" s="18">
        <v>89.5</v>
      </c>
      <c r="G155" s="18">
        <v>109.5</v>
      </c>
      <c r="H155" s="18">
        <v>94.8</v>
      </c>
      <c r="I155" s="18">
        <v>106.7</v>
      </c>
      <c r="J155" s="18">
        <v>106.4</v>
      </c>
      <c r="K155" s="18">
        <v>99.2</v>
      </c>
      <c r="L155" s="18">
        <v>110.6</v>
      </c>
      <c r="M155" s="18">
        <v>110.9</v>
      </c>
      <c r="N155" s="18">
        <v>104.2</v>
      </c>
      <c r="P155" s="18">
        <v>105.3</v>
      </c>
      <c r="Q155" s="18">
        <v>92</v>
      </c>
      <c r="R155" s="18">
        <v>99.1</v>
      </c>
      <c r="S155" s="18">
        <v>102.4</v>
      </c>
      <c r="T155" s="18">
        <v>100.5</v>
      </c>
      <c r="U155" s="18">
        <v>105.5</v>
      </c>
      <c r="V155" s="18">
        <v>97.7</v>
      </c>
      <c r="W155" s="18">
        <v>106.5</v>
      </c>
      <c r="X155" s="18">
        <v>106.7</v>
      </c>
      <c r="Y155" s="18">
        <v>98.9</v>
      </c>
      <c r="Z155" s="18">
        <v>107.7</v>
      </c>
      <c r="AA155" s="18">
        <v>108.1</v>
      </c>
      <c r="AB155" s="18">
        <v>103.1</v>
      </c>
    </row>
    <row r="156" spans="1:28">
      <c r="A156" s="17">
        <f t="shared" si="2"/>
        <v>42948</v>
      </c>
      <c r="B156" s="18">
        <v>123.5</v>
      </c>
      <c r="C156" s="18">
        <v>90.9</v>
      </c>
      <c r="D156" s="18">
        <v>105.3</v>
      </c>
      <c r="E156" s="18">
        <v>105.4</v>
      </c>
      <c r="F156" s="18">
        <v>112.9</v>
      </c>
      <c r="G156" s="18">
        <v>105.4</v>
      </c>
      <c r="H156" s="18">
        <v>93.7</v>
      </c>
      <c r="I156" s="18">
        <v>108.2</v>
      </c>
      <c r="J156" s="18">
        <v>107.1</v>
      </c>
      <c r="K156" s="18">
        <v>98.1</v>
      </c>
      <c r="L156" s="18">
        <v>104.7</v>
      </c>
      <c r="M156" s="18">
        <v>112.1</v>
      </c>
      <c r="N156" s="18">
        <v>105.8</v>
      </c>
      <c r="P156" s="18">
        <v>111.8</v>
      </c>
      <c r="Q156" s="18">
        <v>91</v>
      </c>
      <c r="R156" s="18">
        <v>101.9</v>
      </c>
      <c r="S156" s="18">
        <v>103.4</v>
      </c>
      <c r="T156" s="18">
        <v>100.8</v>
      </c>
      <c r="U156" s="18">
        <v>105.5</v>
      </c>
      <c r="V156" s="18">
        <v>96.4</v>
      </c>
      <c r="W156" s="18">
        <v>108.6</v>
      </c>
      <c r="X156" s="18">
        <v>107</v>
      </c>
      <c r="Y156" s="18">
        <v>99.5</v>
      </c>
      <c r="Z156" s="18">
        <v>108.5</v>
      </c>
      <c r="AA156" s="18">
        <v>107.7</v>
      </c>
      <c r="AB156" s="18">
        <v>104.2</v>
      </c>
    </row>
    <row r="157" spans="1:28">
      <c r="A157" s="17">
        <f t="shared" si="2"/>
        <v>42979</v>
      </c>
      <c r="B157" s="18">
        <v>116.7</v>
      </c>
      <c r="C157" s="18">
        <v>87.8</v>
      </c>
      <c r="D157" s="18">
        <v>106</v>
      </c>
      <c r="E157" s="18">
        <v>106</v>
      </c>
      <c r="F157" s="18">
        <v>107.8</v>
      </c>
      <c r="G157" s="18">
        <v>102.2</v>
      </c>
      <c r="H157" s="18">
        <v>99.5</v>
      </c>
      <c r="I157" s="18">
        <v>107.7</v>
      </c>
      <c r="J157" s="18">
        <v>107.4</v>
      </c>
      <c r="K157" s="18">
        <v>97.7</v>
      </c>
      <c r="L157" s="18">
        <v>104.6</v>
      </c>
      <c r="M157" s="18">
        <v>105.2</v>
      </c>
      <c r="N157" s="18">
        <v>104.2</v>
      </c>
      <c r="P157" s="18">
        <v>110.9</v>
      </c>
      <c r="Q157" s="18">
        <v>89.7</v>
      </c>
      <c r="R157" s="18">
        <v>101.9</v>
      </c>
      <c r="S157" s="18">
        <v>104.2</v>
      </c>
      <c r="T157" s="18">
        <v>102.3</v>
      </c>
      <c r="U157" s="18">
        <v>105.7</v>
      </c>
      <c r="V157" s="18">
        <v>98.2</v>
      </c>
      <c r="W157" s="18">
        <v>110.1</v>
      </c>
      <c r="X157" s="18">
        <v>107.3</v>
      </c>
      <c r="Y157" s="18">
        <v>99.4</v>
      </c>
      <c r="Z157" s="18">
        <v>107.4</v>
      </c>
      <c r="AA157" s="18">
        <v>106.4</v>
      </c>
      <c r="AB157" s="18">
        <v>104.2</v>
      </c>
    </row>
    <row r="158" spans="1:28">
      <c r="A158" s="17">
        <f t="shared" si="2"/>
        <v>43009</v>
      </c>
      <c r="B158" s="18">
        <v>109.9</v>
      </c>
      <c r="C158" s="18">
        <v>96.7</v>
      </c>
      <c r="D158" s="18">
        <v>105.6</v>
      </c>
      <c r="E158" s="18">
        <v>105.8</v>
      </c>
      <c r="F158" s="18">
        <v>93.8</v>
      </c>
      <c r="G158" s="18">
        <v>101.5</v>
      </c>
      <c r="H158" s="18">
        <v>100.2</v>
      </c>
      <c r="I158" s="18">
        <v>109.3</v>
      </c>
      <c r="J158" s="18">
        <v>108.2</v>
      </c>
      <c r="K158" s="18">
        <v>98.4</v>
      </c>
      <c r="L158" s="18">
        <v>103.2</v>
      </c>
      <c r="M158" s="18">
        <v>118.1</v>
      </c>
      <c r="N158" s="18">
        <v>103.2</v>
      </c>
      <c r="P158" s="18">
        <v>108.7</v>
      </c>
      <c r="Q158" s="18">
        <v>94.2</v>
      </c>
      <c r="R158" s="18">
        <v>99.9</v>
      </c>
      <c r="S158" s="18">
        <v>103.9</v>
      </c>
      <c r="T158" s="18">
        <v>100.5</v>
      </c>
      <c r="U158" s="18">
        <v>104.5</v>
      </c>
      <c r="V158" s="18">
        <v>96.8</v>
      </c>
      <c r="W158" s="18">
        <v>111.3</v>
      </c>
      <c r="X158" s="18">
        <v>107.8</v>
      </c>
      <c r="Y158" s="18">
        <v>98.6</v>
      </c>
      <c r="Z158" s="18">
        <v>108.2</v>
      </c>
      <c r="AA158" s="18">
        <v>108.4</v>
      </c>
      <c r="AB158" s="18">
        <v>103.6</v>
      </c>
    </row>
    <row r="159" spans="1:28">
      <c r="A159" s="17">
        <f t="shared" si="2"/>
        <v>43040</v>
      </c>
      <c r="B159" s="18">
        <v>108.3</v>
      </c>
      <c r="C159" s="18">
        <v>90.2</v>
      </c>
      <c r="D159" s="18">
        <v>106.1</v>
      </c>
      <c r="E159" s="18">
        <v>105.7</v>
      </c>
      <c r="F159" s="18">
        <v>119.1</v>
      </c>
      <c r="G159" s="18">
        <v>110</v>
      </c>
      <c r="H159" s="18">
        <v>103.4</v>
      </c>
      <c r="I159" s="18">
        <v>110.4</v>
      </c>
      <c r="J159" s="18">
        <v>108.9</v>
      </c>
      <c r="K159" s="18">
        <v>105.9</v>
      </c>
      <c r="L159" s="18">
        <v>115.6</v>
      </c>
      <c r="M159" s="18">
        <v>107.6</v>
      </c>
      <c r="N159" s="18">
        <v>108.9</v>
      </c>
      <c r="P159" s="18">
        <v>110.4</v>
      </c>
      <c r="Q159" s="18">
        <v>88.5</v>
      </c>
      <c r="R159" s="18">
        <v>102.3</v>
      </c>
      <c r="S159" s="18">
        <v>104.4</v>
      </c>
      <c r="T159" s="18">
        <v>99.6</v>
      </c>
      <c r="U159" s="18">
        <v>105.5</v>
      </c>
      <c r="V159" s="18">
        <v>99.6</v>
      </c>
      <c r="W159" s="18">
        <v>110.6</v>
      </c>
      <c r="X159" s="18">
        <v>108.2</v>
      </c>
      <c r="Y159" s="18">
        <v>99.2</v>
      </c>
      <c r="Z159" s="18">
        <v>108.7</v>
      </c>
      <c r="AA159" s="18">
        <v>107.7</v>
      </c>
      <c r="AB159" s="18">
        <v>104</v>
      </c>
    </row>
    <row r="160" spans="1:28">
      <c r="A160" s="17">
        <f t="shared" si="2"/>
        <v>43070</v>
      </c>
      <c r="B160" s="18">
        <v>108.8</v>
      </c>
      <c r="C160" s="18">
        <v>97.3</v>
      </c>
      <c r="D160" s="18">
        <v>104.7</v>
      </c>
      <c r="E160" s="18">
        <v>104.4</v>
      </c>
      <c r="F160" s="18">
        <v>98.7</v>
      </c>
      <c r="G160" s="18">
        <v>129.19999999999999</v>
      </c>
      <c r="H160" s="18">
        <v>126.2</v>
      </c>
      <c r="I160" s="18">
        <v>120.4</v>
      </c>
      <c r="J160" s="18">
        <v>109</v>
      </c>
      <c r="K160" s="18">
        <v>124.4</v>
      </c>
      <c r="L160" s="18">
        <v>132.4</v>
      </c>
      <c r="M160" s="18">
        <v>116.7</v>
      </c>
      <c r="N160" s="18">
        <v>116.8</v>
      </c>
      <c r="P160" s="18">
        <v>108.4</v>
      </c>
      <c r="Q160" s="18">
        <v>88.3</v>
      </c>
      <c r="R160" s="18">
        <v>101.2</v>
      </c>
      <c r="S160" s="18">
        <v>104.4</v>
      </c>
      <c r="T160" s="18">
        <v>101.7</v>
      </c>
      <c r="U160" s="18">
        <v>106.3</v>
      </c>
      <c r="V160" s="18">
        <v>107</v>
      </c>
      <c r="W160" s="18">
        <v>114</v>
      </c>
      <c r="X160" s="18">
        <v>108.4</v>
      </c>
      <c r="Y160" s="18">
        <v>102.1</v>
      </c>
      <c r="Z160" s="18">
        <v>109.4</v>
      </c>
      <c r="AA160" s="18">
        <v>110.8</v>
      </c>
      <c r="AB160" s="18">
        <v>105.4</v>
      </c>
    </row>
    <row r="161" spans="1:28">
      <c r="A161" s="17">
        <f t="shared" si="2"/>
        <v>43101</v>
      </c>
      <c r="B161" s="18">
        <v>106.5</v>
      </c>
      <c r="C161" s="18">
        <v>89.1</v>
      </c>
      <c r="D161" s="18">
        <v>92</v>
      </c>
      <c r="E161" s="18">
        <v>103</v>
      </c>
      <c r="F161" s="18">
        <v>80.5</v>
      </c>
      <c r="G161" s="18">
        <v>98.7</v>
      </c>
      <c r="H161" s="18">
        <v>88.7</v>
      </c>
      <c r="I161" s="18">
        <v>106.6</v>
      </c>
      <c r="J161" s="18">
        <v>108.8</v>
      </c>
      <c r="K161" s="18">
        <v>88.8</v>
      </c>
      <c r="L161" s="18">
        <v>95.6</v>
      </c>
      <c r="M161" s="18">
        <v>98.6</v>
      </c>
      <c r="N161" s="18">
        <v>96.3</v>
      </c>
      <c r="P161" s="18">
        <v>109.4</v>
      </c>
      <c r="Q161" s="18">
        <v>88.2</v>
      </c>
      <c r="R161" s="18">
        <v>100.9</v>
      </c>
      <c r="S161" s="18">
        <v>104.2</v>
      </c>
      <c r="T161" s="18">
        <v>98.4</v>
      </c>
      <c r="U161" s="18">
        <v>106.3</v>
      </c>
      <c r="V161" s="18">
        <v>98</v>
      </c>
      <c r="W161" s="18">
        <v>106.7</v>
      </c>
      <c r="X161" s="18">
        <v>108.5</v>
      </c>
      <c r="Y161" s="18">
        <v>100.3</v>
      </c>
      <c r="Z161" s="18">
        <v>109.4</v>
      </c>
      <c r="AA161" s="18">
        <v>107.2</v>
      </c>
      <c r="AB161" s="18">
        <v>104.1</v>
      </c>
    </row>
    <row r="162" spans="1:28">
      <c r="A162" s="17">
        <f t="shared" si="2"/>
        <v>43132</v>
      </c>
      <c r="B162" s="18">
        <v>104.6</v>
      </c>
      <c r="C162" s="18">
        <v>80.400000000000006</v>
      </c>
      <c r="D162" s="18">
        <v>94.7</v>
      </c>
      <c r="E162" s="18">
        <v>98.5</v>
      </c>
      <c r="F162" s="18">
        <v>102.8</v>
      </c>
      <c r="G162" s="18">
        <v>100.9</v>
      </c>
      <c r="H162" s="18">
        <v>94.7</v>
      </c>
      <c r="I162" s="18">
        <v>106.4</v>
      </c>
      <c r="J162" s="18">
        <v>108.4</v>
      </c>
      <c r="K162" s="18">
        <v>95.2</v>
      </c>
      <c r="L162" s="18">
        <v>106.6</v>
      </c>
      <c r="M162" s="18">
        <v>105.5</v>
      </c>
      <c r="N162" s="18">
        <v>100.4</v>
      </c>
      <c r="P162" s="18">
        <v>110.4</v>
      </c>
      <c r="Q162" s="18">
        <v>87.5</v>
      </c>
      <c r="R162" s="18">
        <v>102</v>
      </c>
      <c r="S162" s="18">
        <v>103.2</v>
      </c>
      <c r="T162" s="18">
        <v>99.5</v>
      </c>
      <c r="U162" s="18">
        <v>106.8</v>
      </c>
      <c r="V162" s="18">
        <v>100</v>
      </c>
      <c r="W162" s="18">
        <v>109.7</v>
      </c>
      <c r="X162" s="18">
        <v>108.9</v>
      </c>
      <c r="Y162" s="18">
        <v>100.7</v>
      </c>
      <c r="Z162" s="18">
        <v>110</v>
      </c>
      <c r="AA162" s="18">
        <v>106.7</v>
      </c>
      <c r="AB162" s="18">
        <v>105</v>
      </c>
    </row>
    <row r="163" spans="1:28">
      <c r="A163" s="17">
        <f t="shared" si="2"/>
        <v>43160</v>
      </c>
      <c r="B163" s="18">
        <v>107.2</v>
      </c>
      <c r="C163" s="18">
        <v>88.3</v>
      </c>
      <c r="D163" s="18">
        <v>99.9</v>
      </c>
      <c r="E163" s="18">
        <v>105.6</v>
      </c>
      <c r="F163" s="18">
        <v>97.2</v>
      </c>
      <c r="G163" s="18">
        <v>103.7</v>
      </c>
      <c r="H163" s="18">
        <v>99.6</v>
      </c>
      <c r="I163" s="18">
        <v>113.3</v>
      </c>
      <c r="J163" s="18">
        <v>108.6</v>
      </c>
      <c r="K163" s="18">
        <v>101.5</v>
      </c>
      <c r="L163" s="18">
        <v>111.8</v>
      </c>
      <c r="M163" s="18">
        <v>101.5</v>
      </c>
      <c r="N163" s="18">
        <v>103.9</v>
      </c>
      <c r="P163" s="18">
        <v>112.6</v>
      </c>
      <c r="Q163" s="18">
        <v>88.6</v>
      </c>
      <c r="R163" s="18">
        <v>103.3</v>
      </c>
      <c r="S163" s="18">
        <v>104.7</v>
      </c>
      <c r="T163" s="18">
        <v>98.9</v>
      </c>
      <c r="U163" s="18">
        <v>107.6</v>
      </c>
      <c r="V163" s="18">
        <v>100.1</v>
      </c>
      <c r="W163" s="18">
        <v>109.9</v>
      </c>
      <c r="X163" s="18">
        <v>109.3</v>
      </c>
      <c r="Y163" s="18">
        <v>102.1</v>
      </c>
      <c r="Z163" s="18">
        <v>110.8</v>
      </c>
      <c r="AA163" s="18">
        <v>104</v>
      </c>
      <c r="AB163" s="18">
        <v>105.8</v>
      </c>
    </row>
    <row r="164" spans="1:28">
      <c r="A164" s="17">
        <f t="shared" si="2"/>
        <v>43191</v>
      </c>
      <c r="B164" s="18">
        <v>104.4</v>
      </c>
      <c r="C164" s="18">
        <v>86.5</v>
      </c>
      <c r="D164" s="18">
        <v>101</v>
      </c>
      <c r="E164" s="18">
        <v>102.5</v>
      </c>
      <c r="F164" s="18">
        <v>88.2</v>
      </c>
      <c r="G164" s="18">
        <v>104.7</v>
      </c>
      <c r="H164" s="18">
        <v>96</v>
      </c>
      <c r="I164" s="18">
        <v>113.5</v>
      </c>
      <c r="J164" s="18">
        <v>109.1</v>
      </c>
      <c r="K164" s="18">
        <v>96.5</v>
      </c>
      <c r="L164" s="18">
        <v>104.7</v>
      </c>
      <c r="M164" s="18">
        <v>107.4</v>
      </c>
      <c r="N164" s="18">
        <v>101.7</v>
      </c>
      <c r="P164" s="18">
        <v>109.4</v>
      </c>
      <c r="Q164" s="18">
        <v>89</v>
      </c>
      <c r="R164" s="18">
        <v>102.3</v>
      </c>
      <c r="S164" s="18">
        <v>104.4</v>
      </c>
      <c r="T164" s="18">
        <v>98.6</v>
      </c>
      <c r="U164" s="18">
        <v>106.2</v>
      </c>
      <c r="V164" s="18">
        <v>101.7</v>
      </c>
      <c r="W164" s="18">
        <v>114.1</v>
      </c>
      <c r="X164" s="18">
        <v>109.8</v>
      </c>
      <c r="Y164" s="18">
        <v>102.3</v>
      </c>
      <c r="Z164" s="18">
        <v>111</v>
      </c>
      <c r="AA164" s="18">
        <v>107.3</v>
      </c>
      <c r="AB164" s="18">
        <v>105.1</v>
      </c>
    </row>
    <row r="165" spans="1:28">
      <c r="A165" s="17">
        <f t="shared" si="2"/>
        <v>43221</v>
      </c>
      <c r="B165" s="18">
        <v>110.6</v>
      </c>
      <c r="C165" s="18">
        <v>89.1</v>
      </c>
      <c r="D165" s="18">
        <v>102.7</v>
      </c>
      <c r="E165" s="18">
        <v>105</v>
      </c>
      <c r="F165" s="18">
        <v>104.9</v>
      </c>
      <c r="G165" s="18">
        <v>103.2</v>
      </c>
      <c r="H165" s="18">
        <v>98.5</v>
      </c>
      <c r="I165" s="18">
        <v>111.9</v>
      </c>
      <c r="J165" s="18">
        <v>110.3</v>
      </c>
      <c r="K165" s="18">
        <v>98.9</v>
      </c>
      <c r="L165" s="18">
        <v>108.1</v>
      </c>
      <c r="M165" s="18">
        <v>104.9</v>
      </c>
      <c r="N165" s="18">
        <v>104.3</v>
      </c>
      <c r="P165" s="18">
        <v>110.2</v>
      </c>
      <c r="Q165" s="18">
        <v>90</v>
      </c>
      <c r="R165" s="18">
        <v>103</v>
      </c>
      <c r="S165" s="18">
        <v>104.9</v>
      </c>
      <c r="T165" s="18">
        <v>96.3</v>
      </c>
      <c r="U165" s="18">
        <v>106.7</v>
      </c>
      <c r="V165" s="18">
        <v>101.6</v>
      </c>
      <c r="W165" s="18">
        <v>112.7</v>
      </c>
      <c r="X165" s="18">
        <v>110.4</v>
      </c>
      <c r="Y165" s="18">
        <v>102.1</v>
      </c>
      <c r="Z165" s="18">
        <v>111.7</v>
      </c>
      <c r="AA165" s="18">
        <v>108</v>
      </c>
      <c r="AB165" s="18">
        <v>105.6</v>
      </c>
    </row>
    <row r="166" spans="1:28">
      <c r="A166" s="17">
        <f t="shared" si="2"/>
        <v>43252</v>
      </c>
      <c r="B166" s="18">
        <v>107</v>
      </c>
      <c r="C166" s="18">
        <v>89.1</v>
      </c>
      <c r="D166" s="18">
        <v>101.4</v>
      </c>
      <c r="E166" s="18">
        <v>103.3</v>
      </c>
      <c r="F166" s="18">
        <v>98.9</v>
      </c>
      <c r="G166" s="18">
        <v>106.2</v>
      </c>
      <c r="H166" s="18">
        <v>104.5</v>
      </c>
      <c r="I166" s="18">
        <v>113.1</v>
      </c>
      <c r="J166" s="18">
        <v>111</v>
      </c>
      <c r="K166" s="18">
        <v>104.7</v>
      </c>
      <c r="L166" s="18">
        <v>118</v>
      </c>
      <c r="M166" s="18">
        <v>104.2</v>
      </c>
      <c r="N166" s="18">
        <v>106.4</v>
      </c>
      <c r="P166" s="18">
        <v>109.8</v>
      </c>
      <c r="Q166" s="18">
        <v>90.9</v>
      </c>
      <c r="R166" s="18">
        <v>102.6</v>
      </c>
      <c r="S166" s="18">
        <v>105.6</v>
      </c>
      <c r="T166" s="18">
        <v>98.5</v>
      </c>
      <c r="U166" s="18">
        <v>107.8</v>
      </c>
      <c r="V166" s="18">
        <v>102.7</v>
      </c>
      <c r="W166" s="18">
        <v>114.2</v>
      </c>
      <c r="X166" s="18">
        <v>111</v>
      </c>
      <c r="Y166" s="18">
        <v>103.8</v>
      </c>
      <c r="Z166" s="18">
        <v>114.1</v>
      </c>
      <c r="AA166" s="18">
        <v>110</v>
      </c>
      <c r="AB166" s="18">
        <v>106.2</v>
      </c>
    </row>
    <row r="167" spans="1:28">
      <c r="A167" s="17">
        <f t="shared" si="2"/>
        <v>43282</v>
      </c>
      <c r="B167" s="18">
        <v>113.9</v>
      </c>
      <c r="C167" s="18">
        <v>90.3</v>
      </c>
      <c r="D167" s="18">
        <v>103.8</v>
      </c>
      <c r="E167" s="18">
        <v>107.8</v>
      </c>
      <c r="F167" s="18">
        <v>92.4</v>
      </c>
      <c r="G167" s="18">
        <v>111.1</v>
      </c>
      <c r="H167" s="18">
        <v>100.1</v>
      </c>
      <c r="I167" s="18">
        <v>112.2</v>
      </c>
      <c r="J167" s="18">
        <v>111</v>
      </c>
      <c r="K167" s="18">
        <v>102.9</v>
      </c>
      <c r="L167" s="18">
        <v>115.2</v>
      </c>
      <c r="M167" s="18">
        <v>111.4</v>
      </c>
      <c r="N167" s="18">
        <v>107.3</v>
      </c>
      <c r="P167" s="18">
        <v>110.6</v>
      </c>
      <c r="Q167" s="18">
        <v>90.3</v>
      </c>
      <c r="R167" s="18">
        <v>101.7</v>
      </c>
      <c r="S167" s="18">
        <v>106.1</v>
      </c>
      <c r="T167" s="18">
        <v>101.5</v>
      </c>
      <c r="U167" s="18">
        <v>107.3</v>
      </c>
      <c r="V167" s="18">
        <v>103.1</v>
      </c>
      <c r="W167" s="18">
        <v>111.3</v>
      </c>
      <c r="X167" s="18">
        <v>111.3</v>
      </c>
      <c r="Y167" s="18">
        <v>102.3</v>
      </c>
      <c r="Z167" s="18">
        <v>112.2</v>
      </c>
      <c r="AA167" s="18">
        <v>108.8</v>
      </c>
      <c r="AB167" s="18">
        <v>106</v>
      </c>
    </row>
    <row r="168" spans="1:28">
      <c r="A168" s="17">
        <f t="shared" si="2"/>
        <v>43313</v>
      </c>
      <c r="B168" s="18">
        <v>122.6</v>
      </c>
      <c r="C168" s="18">
        <v>91.6</v>
      </c>
      <c r="D168" s="18">
        <v>108.2</v>
      </c>
      <c r="E168" s="18">
        <v>108.8</v>
      </c>
      <c r="F168" s="18">
        <v>115.2</v>
      </c>
      <c r="G168" s="18">
        <v>107.5</v>
      </c>
      <c r="H168" s="18">
        <v>102.1</v>
      </c>
      <c r="I168" s="18">
        <v>115.3</v>
      </c>
      <c r="J168" s="18">
        <v>111.8</v>
      </c>
      <c r="K168" s="18">
        <v>103.1</v>
      </c>
      <c r="L168" s="18">
        <v>110</v>
      </c>
      <c r="M168" s="18">
        <v>116</v>
      </c>
      <c r="N168" s="18">
        <v>109.1</v>
      </c>
      <c r="P168" s="18">
        <v>110.5</v>
      </c>
      <c r="Q168" s="18">
        <v>91.7</v>
      </c>
      <c r="R168" s="18">
        <v>104.6</v>
      </c>
      <c r="S168" s="18">
        <v>106.8</v>
      </c>
      <c r="T168" s="18">
        <v>102.9</v>
      </c>
      <c r="U168" s="18">
        <v>107.4</v>
      </c>
      <c r="V168" s="18">
        <v>105.1</v>
      </c>
      <c r="W168" s="18">
        <v>115.3</v>
      </c>
      <c r="X168" s="18">
        <v>111.7</v>
      </c>
      <c r="Y168" s="18">
        <v>104.8</v>
      </c>
      <c r="Z168" s="18">
        <v>113.9</v>
      </c>
      <c r="AA168" s="18">
        <v>111.1</v>
      </c>
      <c r="AB168" s="18">
        <v>107.5</v>
      </c>
    </row>
    <row r="169" spans="1:28">
      <c r="A169" s="17">
        <f t="shared" si="2"/>
        <v>43344</v>
      </c>
      <c r="B169" s="18">
        <v>116.1</v>
      </c>
      <c r="C169" s="18">
        <v>88.8</v>
      </c>
      <c r="D169" s="18">
        <v>106.8</v>
      </c>
      <c r="E169" s="18">
        <v>108</v>
      </c>
      <c r="F169" s="18">
        <v>109.3</v>
      </c>
      <c r="G169" s="18">
        <v>104.1</v>
      </c>
      <c r="H169" s="18">
        <v>105.6</v>
      </c>
      <c r="I169" s="18">
        <v>109.5</v>
      </c>
      <c r="J169" s="18">
        <v>112.3</v>
      </c>
      <c r="K169" s="18">
        <v>101.3</v>
      </c>
      <c r="L169" s="18">
        <v>110.3</v>
      </c>
      <c r="M169" s="18">
        <v>108.3</v>
      </c>
      <c r="N169" s="18">
        <v>106.8</v>
      </c>
      <c r="P169" s="18">
        <v>110.1</v>
      </c>
      <c r="Q169" s="18">
        <v>90.9</v>
      </c>
      <c r="R169" s="18">
        <v>102.9</v>
      </c>
      <c r="S169" s="18">
        <v>106.3</v>
      </c>
      <c r="T169" s="18">
        <v>105.6</v>
      </c>
      <c r="U169" s="18">
        <v>107.7</v>
      </c>
      <c r="V169" s="18">
        <v>104.7</v>
      </c>
      <c r="W169" s="18">
        <v>112.1</v>
      </c>
      <c r="X169" s="18">
        <v>112.1</v>
      </c>
      <c r="Y169" s="18">
        <v>103.6</v>
      </c>
      <c r="Z169" s="18">
        <v>113.7</v>
      </c>
      <c r="AA169" s="18">
        <v>109.4</v>
      </c>
      <c r="AB169" s="18">
        <v>107.1</v>
      </c>
    </row>
    <row r="170" spans="1:28">
      <c r="A170" s="17">
        <f t="shared" si="2"/>
        <v>43374</v>
      </c>
      <c r="B170" s="18">
        <v>112.7</v>
      </c>
      <c r="C170" s="18">
        <v>89.9</v>
      </c>
      <c r="D170" s="18">
        <v>110.3</v>
      </c>
      <c r="E170" s="18">
        <v>108.1</v>
      </c>
      <c r="F170" s="18">
        <v>97.6</v>
      </c>
      <c r="G170" s="18">
        <v>104.7</v>
      </c>
      <c r="H170" s="18">
        <v>107.7</v>
      </c>
      <c r="I170" s="18">
        <v>111.4</v>
      </c>
      <c r="J170" s="18">
        <v>112.8</v>
      </c>
      <c r="K170" s="18">
        <v>103.1</v>
      </c>
      <c r="L170" s="18">
        <v>109.1</v>
      </c>
      <c r="M170" s="18">
        <v>124.4</v>
      </c>
      <c r="N170" s="18">
        <v>106.9</v>
      </c>
      <c r="P170" s="18">
        <v>111.4</v>
      </c>
      <c r="Q170" s="18">
        <v>87.7</v>
      </c>
      <c r="R170" s="18">
        <v>104.5</v>
      </c>
      <c r="S170" s="18">
        <v>106.2</v>
      </c>
      <c r="T170" s="18">
        <v>103.2</v>
      </c>
      <c r="U170" s="18">
        <v>108.1</v>
      </c>
      <c r="V170" s="18">
        <v>104.7</v>
      </c>
      <c r="W170" s="18">
        <v>113.4</v>
      </c>
      <c r="X170" s="18">
        <v>112.4</v>
      </c>
      <c r="Y170" s="18">
        <v>103.7</v>
      </c>
      <c r="Z170" s="18">
        <v>114.1</v>
      </c>
      <c r="AA170" s="18">
        <v>115.6</v>
      </c>
      <c r="AB170" s="18">
        <v>107.3</v>
      </c>
    </row>
    <row r="171" spans="1:28">
      <c r="A171" s="17">
        <f t="shared" si="2"/>
        <v>43405</v>
      </c>
      <c r="B171" s="18">
        <v>108.5</v>
      </c>
      <c r="C171" s="18">
        <v>94.5</v>
      </c>
      <c r="D171" s="18">
        <v>109.3</v>
      </c>
      <c r="E171" s="18">
        <v>108.6</v>
      </c>
      <c r="F171" s="18">
        <v>119.7</v>
      </c>
      <c r="G171" s="18">
        <v>113.2</v>
      </c>
      <c r="H171" s="18">
        <v>106.1</v>
      </c>
      <c r="I171" s="18">
        <v>114.6</v>
      </c>
      <c r="J171" s="18">
        <v>113.4</v>
      </c>
      <c r="K171" s="18">
        <v>111.3</v>
      </c>
      <c r="L171" s="18">
        <v>121.9</v>
      </c>
      <c r="M171" s="18">
        <v>114.5</v>
      </c>
      <c r="N171" s="18">
        <v>112.6</v>
      </c>
      <c r="P171" s="18">
        <v>110.3</v>
      </c>
      <c r="Q171" s="18">
        <v>92.6</v>
      </c>
      <c r="R171" s="18">
        <v>105.7</v>
      </c>
      <c r="S171" s="18">
        <v>107.2</v>
      </c>
      <c r="T171" s="18">
        <v>100</v>
      </c>
      <c r="U171" s="18">
        <v>108.8</v>
      </c>
      <c r="V171" s="18">
        <v>102.2</v>
      </c>
      <c r="W171" s="18">
        <v>114.9</v>
      </c>
      <c r="X171" s="18">
        <v>112.7</v>
      </c>
      <c r="Y171" s="18">
        <v>104.5</v>
      </c>
      <c r="Z171" s="18">
        <v>114</v>
      </c>
      <c r="AA171" s="18">
        <v>114.9</v>
      </c>
      <c r="AB171" s="18">
        <v>107.6</v>
      </c>
    </row>
    <row r="172" spans="1:28">
      <c r="A172" s="17">
        <f t="shared" si="2"/>
        <v>43435</v>
      </c>
      <c r="B172" s="18">
        <v>108.2</v>
      </c>
      <c r="C172" s="18">
        <v>102.5</v>
      </c>
      <c r="D172" s="18">
        <v>104</v>
      </c>
      <c r="E172" s="18">
        <v>106.8</v>
      </c>
      <c r="F172" s="18">
        <v>95.7</v>
      </c>
      <c r="G172" s="18">
        <v>130.5</v>
      </c>
      <c r="H172" s="18">
        <v>128</v>
      </c>
      <c r="I172" s="18">
        <v>123</v>
      </c>
      <c r="J172" s="18">
        <v>113.4</v>
      </c>
      <c r="K172" s="18">
        <v>127.7</v>
      </c>
      <c r="L172" s="18">
        <v>136.9</v>
      </c>
      <c r="M172" s="18">
        <v>126.2</v>
      </c>
      <c r="N172" s="18">
        <v>119</v>
      </c>
      <c r="P172" s="18">
        <v>107.7</v>
      </c>
      <c r="Q172" s="18">
        <v>92.9</v>
      </c>
      <c r="R172" s="18">
        <v>100.6</v>
      </c>
      <c r="S172" s="18">
        <v>106.4</v>
      </c>
      <c r="T172" s="18">
        <v>99</v>
      </c>
      <c r="U172" s="18">
        <v>108.1</v>
      </c>
      <c r="V172" s="18">
        <v>108</v>
      </c>
      <c r="W172" s="18">
        <v>116.5</v>
      </c>
      <c r="X172" s="18">
        <v>112.9</v>
      </c>
      <c r="Y172" s="18">
        <v>104.8</v>
      </c>
      <c r="Z172" s="18">
        <v>113.2</v>
      </c>
      <c r="AA172" s="18">
        <v>119.9</v>
      </c>
      <c r="AB172" s="18">
        <v>107.2</v>
      </c>
    </row>
    <row r="173" spans="1:28">
      <c r="A173" s="17">
        <f t="shared" si="2"/>
        <v>43466</v>
      </c>
      <c r="B173" s="18">
        <v>107.6</v>
      </c>
      <c r="C173" s="18">
        <v>94.5</v>
      </c>
      <c r="D173" s="18">
        <v>94.1</v>
      </c>
      <c r="E173" s="18">
        <v>105.8</v>
      </c>
      <c r="F173" s="18">
        <v>81.099999999999994</v>
      </c>
      <c r="G173" s="18">
        <v>101</v>
      </c>
      <c r="H173" s="18">
        <v>93.1</v>
      </c>
      <c r="I173" s="18">
        <v>110.6</v>
      </c>
      <c r="J173" s="18">
        <v>113.6</v>
      </c>
      <c r="K173" s="18">
        <v>92.8</v>
      </c>
      <c r="L173" s="18">
        <v>100.7</v>
      </c>
      <c r="M173" s="18">
        <v>108.2</v>
      </c>
      <c r="N173" s="18">
        <v>99.8</v>
      </c>
      <c r="P173" s="18">
        <v>110.9</v>
      </c>
      <c r="Q173" s="18">
        <v>94.2</v>
      </c>
      <c r="R173" s="18">
        <v>103</v>
      </c>
      <c r="S173" s="18">
        <v>107</v>
      </c>
      <c r="T173" s="18">
        <v>96.7</v>
      </c>
      <c r="U173" s="18">
        <v>108.7</v>
      </c>
      <c r="V173" s="18">
        <v>102.7</v>
      </c>
      <c r="W173" s="18">
        <v>110.2</v>
      </c>
      <c r="X173" s="18">
        <v>113.3</v>
      </c>
      <c r="Y173" s="18">
        <v>104.2</v>
      </c>
      <c r="Z173" s="18">
        <v>115.6</v>
      </c>
      <c r="AA173" s="18">
        <v>118</v>
      </c>
      <c r="AB173" s="18">
        <v>107.9</v>
      </c>
    </row>
    <row r="174" spans="1:28">
      <c r="A174" s="17">
        <f t="shared" si="2"/>
        <v>43497</v>
      </c>
      <c r="B174" s="18">
        <v>105.9</v>
      </c>
      <c r="C174" s="18">
        <v>83.6</v>
      </c>
      <c r="D174" s="18">
        <v>96.8</v>
      </c>
      <c r="E174" s="18">
        <v>102.1</v>
      </c>
      <c r="F174" s="18">
        <v>101.3</v>
      </c>
      <c r="G174" s="18">
        <v>102.7</v>
      </c>
      <c r="H174" s="18">
        <v>96.3</v>
      </c>
      <c r="I174" s="18">
        <v>114.6</v>
      </c>
      <c r="J174" s="18">
        <v>113.2</v>
      </c>
      <c r="K174" s="18">
        <v>100.3</v>
      </c>
      <c r="L174" s="18">
        <v>113.3</v>
      </c>
      <c r="M174" s="18">
        <v>115.3</v>
      </c>
      <c r="N174" s="18">
        <v>104</v>
      </c>
      <c r="P174" s="18">
        <v>111.4</v>
      </c>
      <c r="Q174" s="18">
        <v>90.3</v>
      </c>
      <c r="R174" s="18">
        <v>104.1</v>
      </c>
      <c r="S174" s="18">
        <v>107</v>
      </c>
      <c r="T174" s="18">
        <v>97.3</v>
      </c>
      <c r="U174" s="18">
        <v>108.8</v>
      </c>
      <c r="V174" s="18">
        <v>101.5</v>
      </c>
      <c r="W174" s="18">
        <v>117.8</v>
      </c>
      <c r="X174" s="18">
        <v>113.6</v>
      </c>
      <c r="Y174" s="18">
        <v>105.7</v>
      </c>
      <c r="Z174" s="18">
        <v>117</v>
      </c>
      <c r="AA174" s="18">
        <v>118.2</v>
      </c>
      <c r="AB174" s="18">
        <v>108.9</v>
      </c>
    </row>
    <row r="175" spans="1:28">
      <c r="A175" s="17">
        <f t="shared" si="2"/>
        <v>43525</v>
      </c>
      <c r="B175" s="18">
        <v>109.4</v>
      </c>
      <c r="C175" s="18">
        <v>91.9</v>
      </c>
      <c r="D175" s="18">
        <v>102.3</v>
      </c>
      <c r="E175" s="18">
        <v>108.8</v>
      </c>
      <c r="F175" s="18">
        <v>98.8</v>
      </c>
      <c r="G175" s="18">
        <v>106.3</v>
      </c>
      <c r="H175" s="18">
        <v>103.1</v>
      </c>
      <c r="I175" s="18">
        <v>123.1</v>
      </c>
      <c r="J175" s="18">
        <v>113.3</v>
      </c>
      <c r="K175" s="18">
        <v>103.7</v>
      </c>
      <c r="L175" s="18">
        <v>114.9</v>
      </c>
      <c r="M175" s="18">
        <v>119.9</v>
      </c>
      <c r="N175" s="18">
        <v>107.4</v>
      </c>
      <c r="P175" s="18">
        <v>109</v>
      </c>
      <c r="Q175" s="18">
        <v>91.8</v>
      </c>
      <c r="R175" s="18">
        <v>101.1</v>
      </c>
      <c r="S175" s="18">
        <v>106.8</v>
      </c>
      <c r="T175" s="18">
        <v>99.9</v>
      </c>
      <c r="U175" s="18">
        <v>108.5</v>
      </c>
      <c r="V175" s="18">
        <v>102.9</v>
      </c>
      <c r="W175" s="18">
        <v>120.3</v>
      </c>
      <c r="X175" s="18">
        <v>113.9</v>
      </c>
      <c r="Y175" s="18">
        <v>103.7</v>
      </c>
      <c r="Z175" s="18">
        <v>114.3</v>
      </c>
      <c r="AA175" s="18">
        <v>121.5</v>
      </c>
      <c r="AB175" s="18">
        <v>107.5</v>
      </c>
    </row>
    <row r="176" spans="1:28">
      <c r="A176" s="17">
        <f t="shared" si="2"/>
        <v>43556</v>
      </c>
      <c r="B176" s="18">
        <v>101.4</v>
      </c>
      <c r="C176" s="18">
        <v>89.5</v>
      </c>
      <c r="D176" s="18">
        <v>99.2</v>
      </c>
      <c r="E176" s="18">
        <v>104.9</v>
      </c>
      <c r="F176" s="18">
        <v>84.8</v>
      </c>
      <c r="G176" s="18">
        <v>107.5</v>
      </c>
      <c r="H176" s="18">
        <v>98.1</v>
      </c>
      <c r="I176" s="18">
        <v>117.8</v>
      </c>
      <c r="J176" s="18">
        <v>113.5</v>
      </c>
      <c r="K176" s="18">
        <v>99.9</v>
      </c>
      <c r="L176" s="18">
        <v>110.5</v>
      </c>
      <c r="M176" s="18">
        <v>123.8</v>
      </c>
      <c r="N176" s="18">
        <v>104.1</v>
      </c>
      <c r="P176" s="18">
        <v>111.9</v>
      </c>
      <c r="Q176" s="18">
        <v>92.1</v>
      </c>
      <c r="R176" s="18">
        <v>104.6</v>
      </c>
      <c r="S176" s="18">
        <v>107.9</v>
      </c>
      <c r="T176" s="18">
        <v>94.4</v>
      </c>
      <c r="U176" s="18">
        <v>110</v>
      </c>
      <c r="V176" s="18">
        <v>103.6</v>
      </c>
      <c r="W176" s="18">
        <v>118.4</v>
      </c>
      <c r="X176" s="18">
        <v>114.1</v>
      </c>
      <c r="Y176" s="18">
        <v>105.6</v>
      </c>
      <c r="Z176" s="18">
        <v>116.6</v>
      </c>
      <c r="AA176" s="18">
        <v>123.8</v>
      </c>
      <c r="AB176" s="18">
        <v>109</v>
      </c>
    </row>
    <row r="177" spans="1:28">
      <c r="A177" s="17">
        <f t="shared" si="2"/>
        <v>43586</v>
      </c>
      <c r="B177" s="18">
        <v>117.2</v>
      </c>
      <c r="C177" s="18">
        <v>88.4</v>
      </c>
      <c r="D177" s="18">
        <v>105.5</v>
      </c>
      <c r="E177" s="18">
        <v>108.4</v>
      </c>
      <c r="F177" s="18">
        <v>106.3</v>
      </c>
      <c r="G177" s="18">
        <v>107</v>
      </c>
      <c r="H177" s="18">
        <v>101.9</v>
      </c>
      <c r="I177" s="18">
        <v>119.8</v>
      </c>
      <c r="J177" s="18">
        <v>114.4</v>
      </c>
      <c r="K177" s="18">
        <v>104.2</v>
      </c>
      <c r="L177" s="18">
        <v>114.9</v>
      </c>
      <c r="M177" s="18">
        <v>122.2</v>
      </c>
      <c r="N177" s="18">
        <v>108.7</v>
      </c>
      <c r="P177" s="18">
        <v>116.8</v>
      </c>
      <c r="Q177" s="18">
        <v>89.5</v>
      </c>
      <c r="R177" s="18">
        <v>105.6</v>
      </c>
      <c r="S177" s="18">
        <v>108.5</v>
      </c>
      <c r="T177" s="18">
        <v>97.2</v>
      </c>
      <c r="U177" s="18">
        <v>110.3</v>
      </c>
      <c r="V177" s="18">
        <v>105</v>
      </c>
      <c r="W177" s="18">
        <v>121.2</v>
      </c>
      <c r="X177" s="18">
        <v>114.5</v>
      </c>
      <c r="Y177" s="18">
        <v>107.8</v>
      </c>
      <c r="Z177" s="18">
        <v>118.6</v>
      </c>
      <c r="AA177" s="18">
        <v>124.6</v>
      </c>
      <c r="AB177" s="18">
        <v>110</v>
      </c>
    </row>
    <row r="178" spans="1:28">
      <c r="A178" s="17">
        <f t="shared" si="2"/>
        <v>43617</v>
      </c>
      <c r="B178" s="18">
        <v>107.2</v>
      </c>
      <c r="C178" s="18">
        <v>88.2</v>
      </c>
      <c r="D178" s="18">
        <v>99.9</v>
      </c>
      <c r="E178" s="18">
        <v>105.8</v>
      </c>
      <c r="F178" s="18">
        <v>95.7</v>
      </c>
      <c r="G178" s="18">
        <v>110.3</v>
      </c>
      <c r="H178" s="18">
        <v>107.4</v>
      </c>
      <c r="I178" s="18">
        <v>117.8</v>
      </c>
      <c r="J178" s="18">
        <v>115</v>
      </c>
      <c r="K178" s="18">
        <v>108.2</v>
      </c>
      <c r="L178" s="18">
        <v>124</v>
      </c>
      <c r="M178" s="18">
        <v>118.7</v>
      </c>
      <c r="N178" s="18">
        <v>108.9</v>
      </c>
      <c r="P178" s="18">
        <v>110.5</v>
      </c>
      <c r="Q178" s="18">
        <v>90</v>
      </c>
      <c r="R178" s="18">
        <v>101.2</v>
      </c>
      <c r="S178" s="18">
        <v>108.2</v>
      </c>
      <c r="T178" s="18">
        <v>97.2</v>
      </c>
      <c r="U178" s="18">
        <v>111.8</v>
      </c>
      <c r="V178" s="18">
        <v>105.3</v>
      </c>
      <c r="W178" s="18">
        <v>118.7</v>
      </c>
      <c r="X178" s="18">
        <v>115</v>
      </c>
      <c r="Y178" s="18">
        <v>107.1</v>
      </c>
      <c r="Z178" s="18">
        <v>119</v>
      </c>
      <c r="AA178" s="18">
        <v>124.5</v>
      </c>
      <c r="AB178" s="18">
        <v>108.9</v>
      </c>
    </row>
    <row r="179" spans="1:28">
      <c r="A179" s="17">
        <f t="shared" si="2"/>
        <v>43647</v>
      </c>
      <c r="B179" s="18">
        <v>117.5</v>
      </c>
      <c r="C179" s="18">
        <v>91.1</v>
      </c>
      <c r="D179" s="18">
        <v>106.8</v>
      </c>
      <c r="E179" s="18">
        <v>110.7</v>
      </c>
      <c r="F179" s="18">
        <v>90.8</v>
      </c>
      <c r="G179" s="18">
        <v>116.4</v>
      </c>
      <c r="H179" s="18">
        <v>100.3</v>
      </c>
      <c r="I179" s="18">
        <v>124.7</v>
      </c>
      <c r="J179" s="18">
        <v>114.6</v>
      </c>
      <c r="K179" s="18">
        <v>108.5</v>
      </c>
      <c r="L179" s="18">
        <v>122.7</v>
      </c>
      <c r="M179" s="18">
        <v>128.4</v>
      </c>
      <c r="N179" s="18">
        <v>111.9</v>
      </c>
      <c r="P179" s="18">
        <v>114.8</v>
      </c>
      <c r="Q179" s="18">
        <v>90.5</v>
      </c>
      <c r="R179" s="18">
        <v>104.8</v>
      </c>
      <c r="S179" s="18">
        <v>108.8</v>
      </c>
      <c r="T179" s="18">
        <v>98.3</v>
      </c>
      <c r="U179" s="18">
        <v>113.3</v>
      </c>
      <c r="V179" s="18">
        <v>103.1</v>
      </c>
      <c r="W179" s="18">
        <v>123.3</v>
      </c>
      <c r="X179" s="18">
        <v>114.9</v>
      </c>
      <c r="Y179" s="18">
        <v>107.6</v>
      </c>
      <c r="Z179" s="18">
        <v>119.7</v>
      </c>
      <c r="AA179" s="18">
        <v>126.1</v>
      </c>
      <c r="AB179" s="18">
        <v>110.5</v>
      </c>
    </row>
    <row r="180" spans="1:28">
      <c r="A180" s="17">
        <f t="shared" si="2"/>
        <v>43678</v>
      </c>
      <c r="B180" s="18">
        <v>128.5</v>
      </c>
      <c r="C180" s="18">
        <v>91.4</v>
      </c>
      <c r="D180" s="18">
        <v>108.9</v>
      </c>
      <c r="E180" s="18">
        <v>111.5</v>
      </c>
      <c r="F180" s="18">
        <v>104.5</v>
      </c>
      <c r="G180" s="18">
        <v>113.8</v>
      </c>
      <c r="H180" s="18">
        <v>99.9</v>
      </c>
      <c r="I180" s="18">
        <v>121.8</v>
      </c>
      <c r="J180" s="18">
        <v>114.9</v>
      </c>
      <c r="K180" s="18">
        <v>105.9</v>
      </c>
      <c r="L180" s="18">
        <v>115</v>
      </c>
      <c r="M180" s="18">
        <v>130.69999999999999</v>
      </c>
      <c r="N180" s="18">
        <v>111.8</v>
      </c>
      <c r="P180" s="18">
        <v>115.9</v>
      </c>
      <c r="Q180" s="18">
        <v>91.4</v>
      </c>
      <c r="R180" s="18">
        <v>105.3</v>
      </c>
      <c r="S180" s="18">
        <v>109.3</v>
      </c>
      <c r="T180" s="18">
        <v>93.9</v>
      </c>
      <c r="U180" s="18">
        <v>113.7</v>
      </c>
      <c r="V180" s="18">
        <v>102.7</v>
      </c>
      <c r="W180" s="18">
        <v>121.3</v>
      </c>
      <c r="X180" s="18">
        <v>114.8</v>
      </c>
      <c r="Y180" s="18">
        <v>108.2</v>
      </c>
      <c r="Z180" s="18">
        <v>119.6</v>
      </c>
      <c r="AA180" s="18">
        <v>124.9</v>
      </c>
      <c r="AB180" s="18">
        <v>110.5</v>
      </c>
    </row>
    <row r="181" spans="1:28">
      <c r="A181" s="17">
        <f t="shared" si="2"/>
        <v>43709</v>
      </c>
      <c r="B181" s="18">
        <v>119.2</v>
      </c>
      <c r="C181" s="18">
        <v>89</v>
      </c>
      <c r="D181" s="18">
        <v>107.5</v>
      </c>
      <c r="E181" s="18">
        <v>110.6</v>
      </c>
      <c r="F181" s="18">
        <v>94.4</v>
      </c>
      <c r="G181" s="18">
        <v>108.6</v>
      </c>
      <c r="H181" s="18">
        <v>103.7</v>
      </c>
      <c r="I181" s="18">
        <v>119.3</v>
      </c>
      <c r="J181" s="18">
        <v>115.1</v>
      </c>
      <c r="K181" s="18">
        <v>104</v>
      </c>
      <c r="L181" s="18">
        <v>115.7</v>
      </c>
      <c r="M181" s="18">
        <v>121</v>
      </c>
      <c r="N181" s="18">
        <v>108.9</v>
      </c>
      <c r="P181" s="18">
        <v>113</v>
      </c>
      <c r="Q181" s="18">
        <v>91</v>
      </c>
      <c r="R181" s="18">
        <v>103.7</v>
      </c>
      <c r="S181" s="18">
        <v>108.9</v>
      </c>
      <c r="T181" s="18">
        <v>93.9</v>
      </c>
      <c r="U181" s="18">
        <v>112.1</v>
      </c>
      <c r="V181" s="18">
        <v>103.1</v>
      </c>
      <c r="W181" s="18">
        <v>121.9</v>
      </c>
      <c r="X181" s="18">
        <v>114.9</v>
      </c>
      <c r="Y181" s="18">
        <v>106.8</v>
      </c>
      <c r="Z181" s="18">
        <v>119.8</v>
      </c>
      <c r="AA181" s="18">
        <v>121.8</v>
      </c>
      <c r="AB181" s="18">
        <v>109.5</v>
      </c>
    </row>
    <row r="182" spans="1:28">
      <c r="A182" s="17">
        <f t="shared" si="2"/>
        <v>43739</v>
      </c>
      <c r="B182" s="18">
        <v>117.9</v>
      </c>
      <c r="C182" s="18">
        <v>95.2</v>
      </c>
      <c r="D182" s="18">
        <v>112.3</v>
      </c>
      <c r="E182" s="18">
        <v>110</v>
      </c>
      <c r="F182" s="18">
        <v>89.6</v>
      </c>
      <c r="G182" s="18">
        <v>109.4</v>
      </c>
      <c r="H182" s="18">
        <v>107</v>
      </c>
      <c r="I182" s="18">
        <v>119.2</v>
      </c>
      <c r="J182" s="18">
        <v>115.2</v>
      </c>
      <c r="K182" s="18">
        <v>106.6</v>
      </c>
      <c r="L182" s="18">
        <v>113.8</v>
      </c>
      <c r="M182" s="18">
        <v>142.19999999999999</v>
      </c>
      <c r="N182" s="18">
        <v>110.3</v>
      </c>
      <c r="P182" s="18">
        <v>116.6</v>
      </c>
      <c r="Q182" s="18">
        <v>93.2</v>
      </c>
      <c r="R182" s="18">
        <v>106.3</v>
      </c>
      <c r="S182" s="18">
        <v>108.1</v>
      </c>
      <c r="T182" s="18">
        <v>94</v>
      </c>
      <c r="U182" s="18">
        <v>112.9</v>
      </c>
      <c r="V182" s="18">
        <v>104.5</v>
      </c>
      <c r="W182" s="18">
        <v>121.5</v>
      </c>
      <c r="X182" s="18">
        <v>114.8</v>
      </c>
      <c r="Y182" s="18">
        <v>107.4</v>
      </c>
      <c r="Z182" s="18">
        <v>119</v>
      </c>
      <c r="AA182" s="18">
        <v>133.69999999999999</v>
      </c>
      <c r="AB182" s="18">
        <v>110.6</v>
      </c>
    </row>
    <row r="183" spans="1:28">
      <c r="A183" s="17">
        <f t="shared" si="2"/>
        <v>43770</v>
      </c>
      <c r="B183" s="18">
        <v>112.3</v>
      </c>
      <c r="C183" s="18">
        <v>95.8</v>
      </c>
      <c r="D183" s="18">
        <v>107.3</v>
      </c>
      <c r="E183" s="18">
        <v>109.8</v>
      </c>
      <c r="F183" s="18">
        <v>112.7</v>
      </c>
      <c r="G183" s="18">
        <v>117.3</v>
      </c>
      <c r="H183" s="18">
        <v>108.1</v>
      </c>
      <c r="I183" s="18">
        <v>123.4</v>
      </c>
      <c r="J183" s="18">
        <v>115.7</v>
      </c>
      <c r="K183" s="18">
        <v>113.7</v>
      </c>
      <c r="L183" s="18">
        <v>128.5</v>
      </c>
      <c r="M183" s="18">
        <v>128.30000000000001</v>
      </c>
      <c r="N183" s="18">
        <v>115.3</v>
      </c>
      <c r="P183" s="18">
        <v>113.7</v>
      </c>
      <c r="Q183" s="18">
        <v>94.3</v>
      </c>
      <c r="R183" s="18">
        <v>104</v>
      </c>
      <c r="S183" s="18">
        <v>108.3</v>
      </c>
      <c r="T183" s="18">
        <v>93.9</v>
      </c>
      <c r="U183" s="18">
        <v>113</v>
      </c>
      <c r="V183" s="18">
        <v>104.3</v>
      </c>
      <c r="W183" s="18">
        <v>123.8</v>
      </c>
      <c r="X183" s="18">
        <v>115.1</v>
      </c>
      <c r="Y183" s="18">
        <v>106.8</v>
      </c>
      <c r="Z183" s="18">
        <v>119.6</v>
      </c>
      <c r="AA183" s="18">
        <v>128.69999999999999</v>
      </c>
      <c r="AB183" s="18">
        <v>110.1</v>
      </c>
    </row>
    <row r="184" spans="1:28">
      <c r="A184" s="17">
        <f t="shared" si="2"/>
        <v>43800</v>
      </c>
      <c r="B184" s="18">
        <v>114.4</v>
      </c>
      <c r="C184" s="18">
        <v>102.3</v>
      </c>
      <c r="D184" s="18">
        <v>108.4</v>
      </c>
      <c r="E184" s="18">
        <v>109.7</v>
      </c>
      <c r="F184" s="18">
        <v>95.4</v>
      </c>
      <c r="G184" s="18">
        <v>136.69999999999999</v>
      </c>
      <c r="H184" s="18">
        <v>124.3</v>
      </c>
      <c r="I184" s="18">
        <v>123.4</v>
      </c>
      <c r="J184" s="18">
        <v>115.9</v>
      </c>
      <c r="K184" s="18">
        <v>129.6</v>
      </c>
      <c r="L184" s="18">
        <v>142.9</v>
      </c>
      <c r="M184" s="18">
        <v>136.69999999999999</v>
      </c>
      <c r="N184" s="18">
        <v>122.6</v>
      </c>
      <c r="P184" s="18">
        <v>113.8</v>
      </c>
      <c r="Q184" s="18">
        <v>92.5</v>
      </c>
      <c r="R184" s="18">
        <v>105.2</v>
      </c>
      <c r="S184" s="18">
        <v>109.2</v>
      </c>
      <c r="T184" s="18">
        <v>98.9</v>
      </c>
      <c r="U184" s="18">
        <v>113.8</v>
      </c>
      <c r="V184" s="18">
        <v>104.4</v>
      </c>
      <c r="W184" s="18">
        <v>117.1</v>
      </c>
      <c r="X184" s="18">
        <v>115.4</v>
      </c>
      <c r="Y184" s="18">
        <v>106.5</v>
      </c>
      <c r="Z184" s="18">
        <v>118</v>
      </c>
      <c r="AA184" s="18">
        <v>129.6</v>
      </c>
      <c r="AB184" s="18">
        <v>110.4</v>
      </c>
    </row>
    <row r="185" spans="1:28">
      <c r="A185" s="17">
        <f t="shared" si="2"/>
        <v>43831</v>
      </c>
      <c r="B185" s="18">
        <v>114.2</v>
      </c>
      <c r="C185" s="18">
        <v>88.9</v>
      </c>
      <c r="D185" s="18">
        <v>97.4</v>
      </c>
      <c r="E185" s="18">
        <v>108.3</v>
      </c>
      <c r="F185" s="18">
        <v>80.3</v>
      </c>
      <c r="G185" s="18">
        <v>107.5</v>
      </c>
      <c r="H185" s="18">
        <v>93.6</v>
      </c>
      <c r="I185" s="18">
        <v>122.1</v>
      </c>
      <c r="J185" s="18">
        <v>116</v>
      </c>
      <c r="K185" s="18">
        <v>96.6</v>
      </c>
      <c r="L185" s="18">
        <v>101.5</v>
      </c>
      <c r="M185" s="18">
        <v>117.5</v>
      </c>
      <c r="N185" s="18">
        <v>103.2</v>
      </c>
      <c r="P185" s="18">
        <v>117.9</v>
      </c>
      <c r="Q185" s="18">
        <v>89.2</v>
      </c>
      <c r="R185" s="18">
        <v>106.5</v>
      </c>
      <c r="S185" s="18">
        <v>109.6</v>
      </c>
      <c r="T185" s="18">
        <v>92.6</v>
      </c>
      <c r="U185" s="18">
        <v>115.7</v>
      </c>
      <c r="V185" s="18">
        <v>103</v>
      </c>
      <c r="W185" s="18">
        <v>121.1</v>
      </c>
      <c r="X185" s="18">
        <v>115.8</v>
      </c>
      <c r="Y185" s="18">
        <v>107.7</v>
      </c>
      <c r="Z185" s="18">
        <v>117</v>
      </c>
      <c r="AA185" s="18">
        <v>128.4</v>
      </c>
      <c r="AB185" s="18">
        <v>111.6</v>
      </c>
    </row>
    <row r="186" spans="1:28">
      <c r="A186" s="17">
        <f t="shared" si="2"/>
        <v>43862</v>
      </c>
      <c r="B186" s="18">
        <v>114.4</v>
      </c>
      <c r="C186" s="18">
        <v>87.9</v>
      </c>
      <c r="D186" s="18">
        <v>100.9</v>
      </c>
      <c r="E186" s="18">
        <v>107.4</v>
      </c>
      <c r="F186" s="18">
        <v>94.1</v>
      </c>
      <c r="G186" s="18">
        <v>113.7</v>
      </c>
      <c r="H186" s="18">
        <v>99</v>
      </c>
      <c r="I186" s="18">
        <v>120.3</v>
      </c>
      <c r="J186" s="18">
        <v>115.5</v>
      </c>
      <c r="K186" s="18">
        <v>102.2</v>
      </c>
      <c r="L186" s="18">
        <v>113.3</v>
      </c>
      <c r="M186" s="18">
        <v>131.30000000000001</v>
      </c>
      <c r="N186" s="18">
        <v>107.7</v>
      </c>
      <c r="P186" s="18">
        <v>120.1</v>
      </c>
      <c r="Q186" s="18">
        <v>91.8</v>
      </c>
      <c r="R186" s="18">
        <v>105.6</v>
      </c>
      <c r="S186" s="18">
        <v>110.2</v>
      </c>
      <c r="T186" s="18">
        <v>88.9</v>
      </c>
      <c r="U186" s="18">
        <v>118</v>
      </c>
      <c r="V186" s="18">
        <v>102.7</v>
      </c>
      <c r="W186" s="18">
        <v>123.2</v>
      </c>
      <c r="X186" s="18">
        <v>115.8</v>
      </c>
      <c r="Y186" s="18">
        <v>107.5</v>
      </c>
      <c r="Z186" s="18">
        <v>117.2</v>
      </c>
      <c r="AA186" s="18">
        <v>136.4</v>
      </c>
      <c r="AB186" s="18">
        <v>111.7</v>
      </c>
    </row>
    <row r="187" spans="1:28">
      <c r="A187" s="17">
        <f t="shared" si="2"/>
        <v>43891</v>
      </c>
      <c r="B187" s="18">
        <v>112.5</v>
      </c>
      <c r="C187" s="18">
        <v>84.5</v>
      </c>
      <c r="D187" s="18">
        <v>91.3</v>
      </c>
      <c r="E187" s="18">
        <v>106.9</v>
      </c>
      <c r="F187" s="18">
        <v>54.9</v>
      </c>
      <c r="G187" s="18">
        <v>98.3</v>
      </c>
      <c r="H187" s="18">
        <v>101.5</v>
      </c>
      <c r="I187" s="18">
        <v>114.1</v>
      </c>
      <c r="J187" s="18">
        <v>115.3</v>
      </c>
      <c r="K187" s="18">
        <v>101.5</v>
      </c>
      <c r="L187" s="18">
        <v>117.8</v>
      </c>
      <c r="M187" s="18">
        <v>107.5</v>
      </c>
      <c r="N187" s="18">
        <v>100.6</v>
      </c>
      <c r="P187" s="18">
        <v>111.6</v>
      </c>
      <c r="Q187" s="18">
        <v>84.1</v>
      </c>
      <c r="R187" s="18">
        <v>90.2</v>
      </c>
      <c r="S187" s="18">
        <v>105.4</v>
      </c>
      <c r="T187" s="18">
        <v>56</v>
      </c>
      <c r="U187" s="18">
        <v>99.9</v>
      </c>
      <c r="V187" s="18">
        <v>100.8</v>
      </c>
      <c r="W187" s="18">
        <v>111.9</v>
      </c>
      <c r="X187" s="18">
        <v>115.8</v>
      </c>
      <c r="Y187" s="18">
        <v>101.2</v>
      </c>
      <c r="Z187" s="18">
        <v>117.8</v>
      </c>
      <c r="AA187" s="18">
        <v>107.4</v>
      </c>
      <c r="AB187" s="18">
        <v>100.7</v>
      </c>
    </row>
    <row r="188" spans="1:28">
      <c r="A188" s="17">
        <f t="shared" si="2"/>
        <v>43922</v>
      </c>
      <c r="B188" s="18">
        <v>103.4</v>
      </c>
      <c r="C188" s="18">
        <v>64</v>
      </c>
      <c r="D188" s="18">
        <v>60.7</v>
      </c>
      <c r="E188" s="18">
        <v>93.4</v>
      </c>
      <c r="F188" s="18">
        <v>28.4</v>
      </c>
      <c r="G188" s="18">
        <v>65.2</v>
      </c>
      <c r="H188" s="18">
        <v>94.7</v>
      </c>
      <c r="I188" s="18">
        <v>118.9</v>
      </c>
      <c r="J188" s="18">
        <v>114.3</v>
      </c>
      <c r="K188" s="18">
        <v>87.4</v>
      </c>
      <c r="L188" s="18">
        <v>108</v>
      </c>
      <c r="M188" s="18">
        <v>75</v>
      </c>
      <c r="N188" s="18">
        <v>83.1</v>
      </c>
      <c r="P188" s="18">
        <v>114</v>
      </c>
      <c r="Q188" s="18">
        <v>67</v>
      </c>
      <c r="R188" s="18">
        <v>66.3</v>
      </c>
      <c r="S188" s="18">
        <v>96.8</v>
      </c>
      <c r="T188" s="18">
        <v>31.2</v>
      </c>
      <c r="U188" s="18">
        <v>67</v>
      </c>
      <c r="V188" s="18">
        <v>99.9</v>
      </c>
      <c r="W188" s="18">
        <v>119.3</v>
      </c>
      <c r="X188" s="18">
        <v>114.8</v>
      </c>
      <c r="Y188" s="18">
        <v>92.1</v>
      </c>
      <c r="Z188" s="18">
        <v>113.3</v>
      </c>
      <c r="AA188" s="18">
        <v>74.8</v>
      </c>
      <c r="AB188" s="18">
        <v>86.9</v>
      </c>
    </row>
    <row r="189" spans="1:28">
      <c r="A189" s="17">
        <f t="shared" si="2"/>
        <v>43952</v>
      </c>
      <c r="B189" s="18">
        <v>110.9</v>
      </c>
      <c r="C189" s="18">
        <v>72.2</v>
      </c>
      <c r="D189" s="18">
        <v>75.099999999999994</v>
      </c>
      <c r="E189" s="18">
        <v>97.4</v>
      </c>
      <c r="F189" s="18">
        <v>64.099999999999994</v>
      </c>
      <c r="G189" s="18">
        <v>73.400000000000006</v>
      </c>
      <c r="H189" s="18">
        <v>95</v>
      </c>
      <c r="I189" s="18">
        <v>120.8</v>
      </c>
      <c r="J189" s="18">
        <v>115</v>
      </c>
      <c r="K189" s="18">
        <v>89.8</v>
      </c>
      <c r="L189" s="18">
        <v>110.8</v>
      </c>
      <c r="M189" s="18">
        <v>78.5</v>
      </c>
      <c r="N189" s="18">
        <v>89.8</v>
      </c>
      <c r="P189" s="18">
        <v>110.3</v>
      </c>
      <c r="Q189" s="18">
        <v>73.8</v>
      </c>
      <c r="R189" s="18">
        <v>75.2</v>
      </c>
      <c r="S189" s="18">
        <v>97.8</v>
      </c>
      <c r="T189" s="18">
        <v>58.4</v>
      </c>
      <c r="U189" s="18">
        <v>75.8</v>
      </c>
      <c r="V189" s="18">
        <v>98.2</v>
      </c>
      <c r="W189" s="18">
        <v>123.1</v>
      </c>
      <c r="X189" s="18">
        <v>115.1</v>
      </c>
      <c r="Y189" s="18">
        <v>93.3</v>
      </c>
      <c r="Z189" s="18">
        <v>114.8</v>
      </c>
      <c r="AA189" s="18">
        <v>79.2</v>
      </c>
      <c r="AB189" s="18">
        <v>90.9</v>
      </c>
    </row>
    <row r="190" spans="1:28">
      <c r="A190" s="17">
        <f t="shared" si="2"/>
        <v>43983</v>
      </c>
      <c r="B190" s="18">
        <v>108.1</v>
      </c>
      <c r="C190" s="18">
        <v>74.3</v>
      </c>
      <c r="D190" s="18">
        <v>85.4</v>
      </c>
      <c r="E190" s="18">
        <v>98.1</v>
      </c>
      <c r="F190" s="18">
        <v>69.599999999999994</v>
      </c>
      <c r="G190" s="18">
        <v>80.599999999999994</v>
      </c>
      <c r="H190" s="18">
        <v>99.4</v>
      </c>
      <c r="I190" s="18">
        <v>120.1</v>
      </c>
      <c r="J190" s="18">
        <v>115.8</v>
      </c>
      <c r="K190" s="18">
        <v>96.3</v>
      </c>
      <c r="L190" s="18">
        <v>121.9</v>
      </c>
      <c r="M190" s="18">
        <v>87.3</v>
      </c>
      <c r="N190" s="18">
        <v>95.3</v>
      </c>
      <c r="P190" s="18">
        <v>111.5</v>
      </c>
      <c r="Q190" s="18">
        <v>76.900000000000006</v>
      </c>
      <c r="R190" s="18">
        <v>87.2</v>
      </c>
      <c r="S190" s="18">
        <v>100.9</v>
      </c>
      <c r="T190" s="18">
        <v>72.900000000000006</v>
      </c>
      <c r="U190" s="18">
        <v>82.1</v>
      </c>
      <c r="V190" s="18">
        <v>97.6</v>
      </c>
      <c r="W190" s="18">
        <v>120.6</v>
      </c>
      <c r="X190" s="18">
        <v>115.9</v>
      </c>
      <c r="Y190" s="18">
        <v>95.6</v>
      </c>
      <c r="Z190" s="18">
        <v>116.7</v>
      </c>
      <c r="AA190" s="18">
        <v>90.9</v>
      </c>
      <c r="AB190" s="18">
        <v>95.6</v>
      </c>
    </row>
    <row r="191" spans="1:28">
      <c r="A191" s="17">
        <f t="shared" si="2"/>
        <v>44013</v>
      </c>
      <c r="B191" s="18">
        <v>117.9</v>
      </c>
      <c r="C191" s="18">
        <v>77</v>
      </c>
      <c r="D191" s="18">
        <v>96.1</v>
      </c>
      <c r="E191" s="18">
        <v>104</v>
      </c>
      <c r="F191" s="18">
        <v>64.599999999999994</v>
      </c>
      <c r="G191" s="18">
        <v>87.9</v>
      </c>
      <c r="H191" s="18">
        <v>100.6</v>
      </c>
      <c r="I191" s="18">
        <v>127.2</v>
      </c>
      <c r="J191" s="18">
        <v>115.7</v>
      </c>
      <c r="K191" s="18">
        <v>99</v>
      </c>
      <c r="L191" s="18">
        <v>120.2</v>
      </c>
      <c r="M191" s="18">
        <v>103.6</v>
      </c>
      <c r="N191" s="18">
        <v>100</v>
      </c>
      <c r="P191" s="18">
        <v>115.6</v>
      </c>
      <c r="Q191" s="18">
        <v>76.099999999999994</v>
      </c>
      <c r="R191" s="18">
        <v>94.3</v>
      </c>
      <c r="S191" s="18">
        <v>102.1</v>
      </c>
      <c r="T191" s="18">
        <v>69.8</v>
      </c>
      <c r="U191" s="18">
        <v>86.6</v>
      </c>
      <c r="V191" s="18">
        <v>103.3</v>
      </c>
      <c r="W191" s="18">
        <v>125.9</v>
      </c>
      <c r="X191" s="18">
        <v>115.9</v>
      </c>
      <c r="Y191" s="18">
        <v>98.1</v>
      </c>
      <c r="Z191" s="18">
        <v>117.3</v>
      </c>
      <c r="AA191" s="18">
        <v>102</v>
      </c>
      <c r="AB191" s="18">
        <v>98.9</v>
      </c>
    </row>
    <row r="192" spans="1:28">
      <c r="A192" s="17">
        <f t="shared" si="2"/>
        <v>44044</v>
      </c>
      <c r="B192" s="18">
        <v>125.1</v>
      </c>
      <c r="C192" s="18">
        <v>76.099999999999994</v>
      </c>
      <c r="D192" s="18">
        <v>98.2</v>
      </c>
      <c r="E192" s="18">
        <v>104.8</v>
      </c>
      <c r="F192" s="18">
        <v>76.8</v>
      </c>
      <c r="G192" s="18">
        <v>86.8</v>
      </c>
      <c r="H192" s="18">
        <v>97.6</v>
      </c>
      <c r="I192" s="18">
        <v>125.4</v>
      </c>
      <c r="J192" s="18">
        <v>116.6</v>
      </c>
      <c r="K192" s="18">
        <v>95.6</v>
      </c>
      <c r="L192" s="18">
        <v>112.6</v>
      </c>
      <c r="M192" s="18">
        <v>117.8</v>
      </c>
      <c r="N192" s="18">
        <v>100.2</v>
      </c>
      <c r="P192" s="18">
        <v>113</v>
      </c>
      <c r="Q192" s="18">
        <v>76.3</v>
      </c>
      <c r="R192" s="18">
        <v>95.1</v>
      </c>
      <c r="S192" s="18">
        <v>102.8</v>
      </c>
      <c r="T192" s="18">
        <v>68.8</v>
      </c>
      <c r="U192" s="18">
        <v>87.1</v>
      </c>
      <c r="V192" s="18">
        <v>100.6</v>
      </c>
      <c r="W192" s="18">
        <v>124.9</v>
      </c>
      <c r="X192" s="18">
        <v>116.4</v>
      </c>
      <c r="Y192" s="18">
        <v>98.2</v>
      </c>
      <c r="Z192" s="18">
        <v>117.7</v>
      </c>
      <c r="AA192" s="18">
        <v>112.5</v>
      </c>
      <c r="AB192" s="18">
        <v>99.3</v>
      </c>
    </row>
    <row r="193" spans="1:28">
      <c r="A193" s="17">
        <f t="shared" si="2"/>
        <v>44075</v>
      </c>
      <c r="B193" s="18">
        <v>124.8</v>
      </c>
      <c r="C193" s="18">
        <v>69</v>
      </c>
      <c r="D193" s="18">
        <v>104</v>
      </c>
      <c r="E193" s="18">
        <v>105.1</v>
      </c>
      <c r="F193" s="18">
        <v>61.1</v>
      </c>
      <c r="G193" s="18">
        <v>96</v>
      </c>
      <c r="H193" s="18">
        <v>99.2</v>
      </c>
      <c r="I193" s="18">
        <v>120.9</v>
      </c>
      <c r="J193" s="18">
        <v>117.1</v>
      </c>
      <c r="K193" s="18">
        <v>97.6</v>
      </c>
      <c r="L193" s="18">
        <v>114.3</v>
      </c>
      <c r="M193" s="18">
        <v>116.5</v>
      </c>
      <c r="N193" s="18">
        <v>101.9</v>
      </c>
      <c r="P193" s="18">
        <v>118.7</v>
      </c>
      <c r="Q193" s="18">
        <v>71</v>
      </c>
      <c r="R193" s="18">
        <v>100.6</v>
      </c>
      <c r="S193" s="18">
        <v>103.7</v>
      </c>
      <c r="T193" s="18">
        <v>63</v>
      </c>
      <c r="U193" s="18">
        <v>99</v>
      </c>
      <c r="V193" s="18">
        <v>99.1</v>
      </c>
      <c r="W193" s="18">
        <v>123</v>
      </c>
      <c r="X193" s="18">
        <v>116.8</v>
      </c>
      <c r="Y193" s="18">
        <v>100.5</v>
      </c>
      <c r="Z193" s="18">
        <v>118.8</v>
      </c>
      <c r="AA193" s="18">
        <v>116.8</v>
      </c>
      <c r="AB193" s="18">
        <v>102.8</v>
      </c>
    </row>
    <row r="194" spans="1:28">
      <c r="A194" s="17">
        <f t="shared" si="2"/>
        <v>44105</v>
      </c>
      <c r="B194" s="18">
        <v>116.9</v>
      </c>
      <c r="C194" s="18">
        <v>80</v>
      </c>
      <c r="D194" s="18">
        <v>109.8</v>
      </c>
      <c r="E194" s="18">
        <v>107.3</v>
      </c>
      <c r="F194" s="18">
        <v>70.5</v>
      </c>
      <c r="G194" s="18">
        <v>102.8</v>
      </c>
      <c r="H194" s="18">
        <v>99.3</v>
      </c>
      <c r="I194" s="18">
        <v>122.4</v>
      </c>
      <c r="J194" s="18">
        <v>117.4</v>
      </c>
      <c r="K194" s="18">
        <v>101.2</v>
      </c>
      <c r="L194" s="18">
        <v>115.8</v>
      </c>
      <c r="M194" s="18">
        <v>125.8</v>
      </c>
      <c r="N194" s="18">
        <v>105.1</v>
      </c>
      <c r="P194" s="18">
        <v>115.5</v>
      </c>
      <c r="Q194" s="18">
        <v>78.5</v>
      </c>
      <c r="R194" s="18">
        <v>104</v>
      </c>
      <c r="S194" s="18">
        <v>105.5</v>
      </c>
      <c r="T194" s="18">
        <v>73.900000000000006</v>
      </c>
      <c r="U194" s="18">
        <v>105.9</v>
      </c>
      <c r="V194" s="18">
        <v>97.8</v>
      </c>
      <c r="W194" s="18">
        <v>124.9</v>
      </c>
      <c r="X194" s="18">
        <v>117.1</v>
      </c>
      <c r="Y194" s="18">
        <v>102.1</v>
      </c>
      <c r="Z194" s="18">
        <v>121.2</v>
      </c>
      <c r="AA194" s="18">
        <v>119.7</v>
      </c>
      <c r="AB194" s="18">
        <v>105.4</v>
      </c>
    </row>
    <row r="195" spans="1:28">
      <c r="A195" s="17">
        <f t="shared" si="2"/>
        <v>44136</v>
      </c>
      <c r="B195" s="18">
        <v>113.6</v>
      </c>
      <c r="C195" s="18">
        <v>75.400000000000006</v>
      </c>
      <c r="D195" s="18">
        <v>105.8</v>
      </c>
      <c r="E195" s="18">
        <v>107.5</v>
      </c>
      <c r="F195" s="18">
        <v>83.2</v>
      </c>
      <c r="G195" s="18">
        <v>114.3</v>
      </c>
      <c r="H195" s="18">
        <v>104.8</v>
      </c>
      <c r="I195" s="18">
        <v>122.3</v>
      </c>
      <c r="J195" s="18">
        <v>117.8</v>
      </c>
      <c r="K195" s="18">
        <v>109.4</v>
      </c>
      <c r="L195" s="18">
        <v>134.30000000000001</v>
      </c>
      <c r="M195" s="18">
        <v>123.6</v>
      </c>
      <c r="N195" s="18">
        <v>111</v>
      </c>
      <c r="P195" s="18">
        <v>114.3</v>
      </c>
      <c r="Q195" s="18">
        <v>74.3</v>
      </c>
      <c r="R195" s="18">
        <v>102.7</v>
      </c>
      <c r="S195" s="18">
        <v>106.1</v>
      </c>
      <c r="T195" s="18">
        <v>69.3</v>
      </c>
      <c r="U195" s="18">
        <v>110.3</v>
      </c>
      <c r="V195" s="18">
        <v>101.4</v>
      </c>
      <c r="W195" s="18">
        <v>122.8</v>
      </c>
      <c r="X195" s="18">
        <v>117.2</v>
      </c>
      <c r="Y195" s="18">
        <v>102.9</v>
      </c>
      <c r="Z195" s="18">
        <v>125.1</v>
      </c>
      <c r="AA195" s="18">
        <v>123.7</v>
      </c>
      <c r="AB195" s="18">
        <v>106.1</v>
      </c>
    </row>
    <row r="196" spans="1:28">
      <c r="A196" s="17">
        <f t="shared" si="2"/>
        <v>44166</v>
      </c>
      <c r="B196" s="18">
        <v>123.1</v>
      </c>
      <c r="C196" s="18">
        <v>84.4</v>
      </c>
      <c r="D196" s="18">
        <v>108.7</v>
      </c>
      <c r="E196" s="18">
        <v>108.1</v>
      </c>
      <c r="F196" s="18">
        <v>66.2</v>
      </c>
      <c r="G196" s="18">
        <v>127.5</v>
      </c>
      <c r="H196" s="18">
        <v>123.8</v>
      </c>
      <c r="I196" s="18">
        <v>133.1</v>
      </c>
      <c r="J196" s="18">
        <v>117.7</v>
      </c>
      <c r="K196" s="18">
        <v>126.9</v>
      </c>
      <c r="L196" s="18">
        <v>150.80000000000001</v>
      </c>
      <c r="M196" s="18">
        <v>134.5</v>
      </c>
      <c r="N196" s="18">
        <v>119.9</v>
      </c>
      <c r="P196" s="18">
        <v>122.4</v>
      </c>
      <c r="Q196" s="18">
        <v>74.7</v>
      </c>
      <c r="R196" s="18">
        <v>105.6</v>
      </c>
      <c r="S196" s="18">
        <v>107.4</v>
      </c>
      <c r="T196" s="18">
        <v>69</v>
      </c>
      <c r="U196" s="18">
        <v>106.5</v>
      </c>
      <c r="V196" s="18">
        <v>104.2</v>
      </c>
      <c r="W196" s="18">
        <v>126.9</v>
      </c>
      <c r="X196" s="18">
        <v>117.4</v>
      </c>
      <c r="Y196" s="18">
        <v>104.3</v>
      </c>
      <c r="Z196" s="18">
        <v>124.3</v>
      </c>
      <c r="AA196" s="18">
        <v>127.4</v>
      </c>
      <c r="AB196" s="18">
        <v>108</v>
      </c>
    </row>
    <row r="197" spans="1:28">
      <c r="A197" s="17">
        <f t="shared" si="2"/>
        <v>44197</v>
      </c>
      <c r="B197" s="18">
        <v>113.3</v>
      </c>
      <c r="C197" s="18">
        <v>74.099999999999994</v>
      </c>
      <c r="D197" s="18">
        <v>94.6</v>
      </c>
      <c r="E197" s="18">
        <v>105.7</v>
      </c>
      <c r="F197" s="18">
        <v>63.2</v>
      </c>
      <c r="G197" s="18">
        <v>96.7</v>
      </c>
      <c r="H197" s="18">
        <v>94.6</v>
      </c>
      <c r="I197" s="18">
        <v>127.4</v>
      </c>
      <c r="J197" s="18">
        <v>118</v>
      </c>
      <c r="K197" s="18">
        <v>94.6</v>
      </c>
      <c r="L197" s="18">
        <v>109.7</v>
      </c>
      <c r="M197" s="18">
        <v>121.2</v>
      </c>
      <c r="N197" s="18">
        <v>99.7</v>
      </c>
      <c r="P197" s="18">
        <v>116.9</v>
      </c>
      <c r="Q197" s="18">
        <v>74.5</v>
      </c>
      <c r="R197" s="18">
        <v>103.5</v>
      </c>
      <c r="S197" s="18">
        <v>106.8</v>
      </c>
      <c r="T197" s="18">
        <v>70.7</v>
      </c>
      <c r="U197" s="18">
        <v>103.9</v>
      </c>
      <c r="V197" s="18">
        <v>103.8</v>
      </c>
      <c r="W197" s="18">
        <v>126</v>
      </c>
      <c r="X197" s="18">
        <v>117.9</v>
      </c>
      <c r="Y197" s="18">
        <v>105</v>
      </c>
      <c r="Z197" s="18">
        <v>126.5</v>
      </c>
      <c r="AA197" s="18">
        <v>132.6</v>
      </c>
      <c r="AB197" s="18">
        <v>107.7</v>
      </c>
    </row>
    <row r="198" spans="1:28">
      <c r="A198" s="17">
        <f t="shared" si="2"/>
        <v>44228</v>
      </c>
      <c r="B198" s="18">
        <v>112.2</v>
      </c>
      <c r="C198" s="18">
        <v>71.3</v>
      </c>
      <c r="D198" s="18">
        <v>99.7</v>
      </c>
      <c r="E198" s="18">
        <v>102.8</v>
      </c>
      <c r="F198" s="18">
        <v>77.2</v>
      </c>
      <c r="G198" s="18">
        <v>102.8</v>
      </c>
      <c r="H198" s="18">
        <v>100.7</v>
      </c>
      <c r="I198" s="18">
        <v>121.9</v>
      </c>
      <c r="J198" s="18">
        <v>117.7</v>
      </c>
      <c r="K198" s="18">
        <v>101</v>
      </c>
      <c r="L198" s="18">
        <v>120.7</v>
      </c>
      <c r="M198" s="18">
        <v>127.6</v>
      </c>
      <c r="N198" s="18">
        <v>104.3</v>
      </c>
      <c r="P198" s="18">
        <v>117.6</v>
      </c>
      <c r="Q198" s="18">
        <v>77.8</v>
      </c>
      <c r="R198" s="18">
        <v>107</v>
      </c>
      <c r="S198" s="18">
        <v>108.4</v>
      </c>
      <c r="T198" s="18">
        <v>70.8</v>
      </c>
      <c r="U198" s="18">
        <v>110.5</v>
      </c>
      <c r="V198" s="18">
        <v>106.2</v>
      </c>
      <c r="W198" s="18">
        <v>124.3</v>
      </c>
      <c r="X198" s="18">
        <v>117.9</v>
      </c>
      <c r="Y198" s="18">
        <v>106.6</v>
      </c>
      <c r="Z198" s="18">
        <v>125.2</v>
      </c>
      <c r="AA198" s="18">
        <v>133.1</v>
      </c>
      <c r="AB198" s="18">
        <v>109.9</v>
      </c>
    </row>
    <row r="199" spans="1:28">
      <c r="A199" s="17">
        <f t="shared" si="2"/>
        <v>44256</v>
      </c>
      <c r="B199" s="18">
        <v>129.19999999999999</v>
      </c>
      <c r="C199" s="18">
        <v>79.3</v>
      </c>
      <c r="D199" s="18">
        <v>109.2</v>
      </c>
      <c r="E199" s="18">
        <v>109.6</v>
      </c>
      <c r="F199" s="18">
        <v>72.7</v>
      </c>
      <c r="G199" s="18">
        <v>115.2</v>
      </c>
      <c r="H199" s="18">
        <v>108.7</v>
      </c>
      <c r="I199" s="18">
        <v>125.2</v>
      </c>
      <c r="J199" s="18">
        <v>117.8</v>
      </c>
      <c r="K199" s="18">
        <v>107.4</v>
      </c>
      <c r="L199" s="18">
        <v>125</v>
      </c>
      <c r="M199" s="18">
        <v>141.19999999999999</v>
      </c>
      <c r="N199" s="18">
        <v>111.9</v>
      </c>
      <c r="P199" s="18">
        <v>127.9</v>
      </c>
      <c r="Q199" s="18">
        <v>78.3</v>
      </c>
      <c r="R199" s="18">
        <v>107.7</v>
      </c>
      <c r="S199" s="18">
        <v>108.1</v>
      </c>
      <c r="T199" s="18">
        <v>75.099999999999994</v>
      </c>
      <c r="U199" s="18">
        <v>116.9</v>
      </c>
      <c r="V199" s="18">
        <v>107.8</v>
      </c>
      <c r="W199" s="18">
        <v>123.2</v>
      </c>
      <c r="X199" s="18">
        <v>118.2</v>
      </c>
      <c r="Y199" s="18">
        <v>107.5</v>
      </c>
      <c r="Z199" s="18">
        <v>125.5</v>
      </c>
      <c r="AA199" s="18">
        <v>139.9</v>
      </c>
      <c r="AB199" s="18">
        <v>111.8</v>
      </c>
    </row>
    <row r="200" spans="1:28">
      <c r="A200" s="17">
        <f t="shared" ref="A200:A253" si="3">+EDATE(A199,1)</f>
        <v>44287</v>
      </c>
      <c r="B200" s="18">
        <v>116.5</v>
      </c>
      <c r="C200" s="18">
        <v>74.900000000000006</v>
      </c>
      <c r="D200" s="18">
        <v>100.7</v>
      </c>
      <c r="E200" s="18">
        <v>105.1</v>
      </c>
      <c r="F200" s="18">
        <v>65.7</v>
      </c>
      <c r="G200" s="18">
        <v>97.8</v>
      </c>
      <c r="H200" s="18">
        <v>103.6</v>
      </c>
      <c r="I200" s="18">
        <v>126</v>
      </c>
      <c r="J200" s="18">
        <v>118.4</v>
      </c>
      <c r="K200" s="18">
        <v>101.7</v>
      </c>
      <c r="L200" s="18">
        <v>121.3</v>
      </c>
      <c r="M200" s="18">
        <v>139.30000000000001</v>
      </c>
      <c r="N200" s="18">
        <v>104.3</v>
      </c>
      <c r="P200" s="18">
        <v>128.30000000000001</v>
      </c>
      <c r="Q200" s="18">
        <v>77.8</v>
      </c>
      <c r="R200" s="18">
        <v>106</v>
      </c>
      <c r="S200" s="18">
        <v>108.2</v>
      </c>
      <c r="T200" s="18">
        <v>71.7</v>
      </c>
      <c r="U200" s="18">
        <v>101.3</v>
      </c>
      <c r="V200" s="18">
        <v>109.4</v>
      </c>
      <c r="W200" s="18">
        <v>126.3</v>
      </c>
      <c r="X200" s="18">
        <v>118.8</v>
      </c>
      <c r="Y200" s="18">
        <v>107.3</v>
      </c>
      <c r="Z200" s="18">
        <v>126.5</v>
      </c>
      <c r="AA200" s="18">
        <v>138.9</v>
      </c>
      <c r="AB200" s="18">
        <v>108.7</v>
      </c>
    </row>
    <row r="201" spans="1:28">
      <c r="A201" s="17">
        <f t="shared" si="3"/>
        <v>44317</v>
      </c>
      <c r="B201" s="18">
        <v>108.8</v>
      </c>
      <c r="C201" s="18">
        <v>73</v>
      </c>
      <c r="D201" s="18">
        <v>85.1</v>
      </c>
      <c r="E201" s="18">
        <v>104.8</v>
      </c>
      <c r="F201" s="18">
        <v>71.400000000000006</v>
      </c>
      <c r="G201" s="18">
        <v>97.7</v>
      </c>
      <c r="H201" s="18">
        <v>106.3</v>
      </c>
      <c r="I201" s="18">
        <v>119.2</v>
      </c>
      <c r="J201" s="18">
        <v>118.8</v>
      </c>
      <c r="K201" s="18">
        <v>101.9</v>
      </c>
      <c r="L201" s="18">
        <v>121.3</v>
      </c>
      <c r="M201" s="18">
        <v>144.1</v>
      </c>
      <c r="N201" s="18">
        <v>101.7</v>
      </c>
      <c r="P201" s="18">
        <v>108.1</v>
      </c>
      <c r="Q201" s="18">
        <v>74</v>
      </c>
      <c r="R201" s="18">
        <v>84.8</v>
      </c>
      <c r="S201" s="18">
        <v>104.9</v>
      </c>
      <c r="T201" s="18">
        <v>64.2</v>
      </c>
      <c r="U201" s="18">
        <v>100.9</v>
      </c>
      <c r="V201" s="18">
        <v>110.2</v>
      </c>
      <c r="W201" s="18">
        <v>122.4</v>
      </c>
      <c r="X201" s="18">
        <v>118.9</v>
      </c>
      <c r="Y201" s="18">
        <v>106.1</v>
      </c>
      <c r="Z201" s="18">
        <v>125.6</v>
      </c>
      <c r="AA201" s="18">
        <v>145.1</v>
      </c>
      <c r="AB201" s="18">
        <v>102.8</v>
      </c>
    </row>
    <row r="202" spans="1:28">
      <c r="A202" s="17">
        <f t="shared" si="3"/>
        <v>44348</v>
      </c>
      <c r="B202" s="18">
        <v>117.9</v>
      </c>
      <c r="C202" s="18">
        <v>73.5</v>
      </c>
      <c r="D202" s="18">
        <v>103.8</v>
      </c>
      <c r="E202" s="18">
        <v>106.4</v>
      </c>
      <c r="F202" s="18">
        <v>63.6</v>
      </c>
      <c r="G202" s="18">
        <v>111.1</v>
      </c>
      <c r="H202" s="18">
        <v>113.3</v>
      </c>
      <c r="I202" s="18">
        <v>126.5</v>
      </c>
      <c r="J202" s="18">
        <v>119</v>
      </c>
      <c r="K202" s="18">
        <v>108.6</v>
      </c>
      <c r="L202" s="18">
        <v>133.1</v>
      </c>
      <c r="M202" s="18">
        <v>142.5</v>
      </c>
      <c r="N202" s="18">
        <v>109.9</v>
      </c>
      <c r="P202" s="18">
        <v>121.8</v>
      </c>
      <c r="Q202" s="18">
        <v>76.5</v>
      </c>
      <c r="R202" s="18">
        <v>105.5</v>
      </c>
      <c r="S202" s="18">
        <v>109</v>
      </c>
      <c r="T202" s="18">
        <v>68.2</v>
      </c>
      <c r="U202" s="18">
        <v>113.4</v>
      </c>
      <c r="V202" s="18">
        <v>111.9</v>
      </c>
      <c r="W202" s="18">
        <v>126.4</v>
      </c>
      <c r="X202" s="18">
        <v>119.1</v>
      </c>
      <c r="Y202" s="18">
        <v>108.1</v>
      </c>
      <c r="Z202" s="18">
        <v>127.1</v>
      </c>
      <c r="AA202" s="18">
        <v>148.30000000000001</v>
      </c>
      <c r="AB202" s="18">
        <v>110.6</v>
      </c>
    </row>
    <row r="203" spans="1:28">
      <c r="A203" s="17">
        <f t="shared" si="3"/>
        <v>44378</v>
      </c>
      <c r="B203" s="18">
        <v>122.5</v>
      </c>
      <c r="C203" s="18">
        <v>76</v>
      </c>
      <c r="D203" s="18">
        <v>112.6</v>
      </c>
      <c r="E203" s="18">
        <v>113.6</v>
      </c>
      <c r="F203" s="18">
        <v>62</v>
      </c>
      <c r="G203" s="18">
        <v>118.3</v>
      </c>
      <c r="H203" s="18">
        <v>111</v>
      </c>
      <c r="I203" s="18">
        <v>128.5</v>
      </c>
      <c r="J203" s="18">
        <v>119</v>
      </c>
      <c r="K203" s="18">
        <v>111</v>
      </c>
      <c r="L203" s="18">
        <v>130</v>
      </c>
      <c r="M203" s="18">
        <v>150.30000000000001</v>
      </c>
      <c r="N203" s="18">
        <v>113.1</v>
      </c>
      <c r="P203" s="18">
        <v>120.1</v>
      </c>
      <c r="Q203" s="18">
        <v>73.8</v>
      </c>
      <c r="R203" s="18">
        <v>110.6</v>
      </c>
      <c r="S203" s="18">
        <v>111.4</v>
      </c>
      <c r="T203" s="18">
        <v>67.3</v>
      </c>
      <c r="U203" s="18">
        <v>117.5</v>
      </c>
      <c r="V203" s="18">
        <v>113.8</v>
      </c>
      <c r="W203" s="18">
        <v>127.5</v>
      </c>
      <c r="X203" s="18">
        <v>119.2</v>
      </c>
      <c r="Y203" s="18">
        <v>110.1</v>
      </c>
      <c r="Z203" s="18">
        <v>126.4</v>
      </c>
      <c r="AA203" s="18">
        <v>149.1</v>
      </c>
      <c r="AB203" s="18">
        <v>111.9</v>
      </c>
    </row>
    <row r="204" spans="1:28">
      <c r="A204" s="17">
        <f t="shared" si="3"/>
        <v>44409</v>
      </c>
      <c r="B204" s="18">
        <v>127.9</v>
      </c>
      <c r="C204" s="18">
        <v>74</v>
      </c>
      <c r="D204" s="18">
        <v>114.5</v>
      </c>
      <c r="E204" s="18">
        <v>113</v>
      </c>
      <c r="F204" s="18">
        <v>73.8</v>
      </c>
      <c r="G204" s="18">
        <v>117.9</v>
      </c>
      <c r="H204" s="18">
        <v>111.2</v>
      </c>
      <c r="I204" s="18">
        <v>120.2</v>
      </c>
      <c r="J204" s="18">
        <v>119.6</v>
      </c>
      <c r="K204" s="18">
        <v>106.7</v>
      </c>
      <c r="L204" s="18">
        <v>121.4</v>
      </c>
      <c r="M204" s="18">
        <v>145</v>
      </c>
      <c r="N204" s="18">
        <v>111.9</v>
      </c>
      <c r="P204" s="18">
        <v>115.8</v>
      </c>
      <c r="Q204" s="18">
        <v>73.7</v>
      </c>
      <c r="R204" s="18">
        <v>111.4</v>
      </c>
      <c r="S204" s="18">
        <v>110.7</v>
      </c>
      <c r="T204" s="18">
        <v>65.400000000000006</v>
      </c>
      <c r="U204" s="18">
        <v>118.2</v>
      </c>
      <c r="V204" s="18">
        <v>114.6</v>
      </c>
      <c r="W204" s="18">
        <v>119.9</v>
      </c>
      <c r="X204" s="18">
        <v>119.4</v>
      </c>
      <c r="Y204" s="18">
        <v>109.9</v>
      </c>
      <c r="Z204" s="18">
        <v>126.8</v>
      </c>
      <c r="AA204" s="18">
        <v>139.6</v>
      </c>
      <c r="AB204" s="18">
        <v>111</v>
      </c>
    </row>
    <row r="205" spans="1:28">
      <c r="A205" s="17">
        <f t="shared" si="3"/>
        <v>44440</v>
      </c>
      <c r="B205" s="18">
        <v>129.1</v>
      </c>
      <c r="C205" s="18">
        <v>77.400000000000006</v>
      </c>
      <c r="D205" s="18">
        <v>115.6</v>
      </c>
      <c r="E205" s="18">
        <v>114.2</v>
      </c>
      <c r="F205" s="18">
        <v>66.099999999999994</v>
      </c>
      <c r="G205" s="18">
        <v>118.5</v>
      </c>
      <c r="H205" s="18">
        <v>117.6</v>
      </c>
      <c r="I205" s="18">
        <v>133.19999999999999</v>
      </c>
      <c r="J205" s="18">
        <v>119.7</v>
      </c>
      <c r="K205" s="18">
        <v>112.3</v>
      </c>
      <c r="L205" s="18">
        <v>132.19999999999999</v>
      </c>
      <c r="M205" s="18">
        <v>156.9</v>
      </c>
      <c r="N205" s="18">
        <v>115.6</v>
      </c>
      <c r="P205" s="18">
        <v>123.3</v>
      </c>
      <c r="Q205" s="18">
        <v>78.7</v>
      </c>
      <c r="R205" s="18">
        <v>112.2</v>
      </c>
      <c r="S205" s="18">
        <v>112.7</v>
      </c>
      <c r="T205" s="18">
        <v>70.2</v>
      </c>
      <c r="U205" s="18">
        <v>122</v>
      </c>
      <c r="V205" s="18">
        <v>117.7</v>
      </c>
      <c r="W205" s="18">
        <v>134.69999999999999</v>
      </c>
      <c r="X205" s="18">
        <v>119.5</v>
      </c>
      <c r="Y205" s="18">
        <v>115.8</v>
      </c>
      <c r="Z205" s="18">
        <v>137.30000000000001</v>
      </c>
      <c r="AA205" s="18">
        <v>157.30000000000001</v>
      </c>
      <c r="AB205" s="18">
        <v>116.7</v>
      </c>
    </row>
    <row r="206" spans="1:28">
      <c r="A206" s="17">
        <f t="shared" si="3"/>
        <v>44470</v>
      </c>
      <c r="B206" s="18">
        <v>123.4</v>
      </c>
      <c r="C206" s="18">
        <v>80.3</v>
      </c>
      <c r="D206" s="18">
        <v>116.3</v>
      </c>
      <c r="E206" s="18">
        <v>116.1</v>
      </c>
      <c r="F206" s="18">
        <v>75</v>
      </c>
      <c r="G206" s="18">
        <v>126.1</v>
      </c>
      <c r="H206" s="18">
        <v>120.4</v>
      </c>
      <c r="I206" s="18">
        <v>126.7</v>
      </c>
      <c r="J206" s="18">
        <v>119.9</v>
      </c>
      <c r="K206" s="18">
        <v>111.2</v>
      </c>
      <c r="L206" s="18">
        <v>123.6</v>
      </c>
      <c r="M206" s="18">
        <v>162.1</v>
      </c>
      <c r="N206" s="18">
        <v>115.8</v>
      </c>
      <c r="P206" s="18">
        <v>121.7</v>
      </c>
      <c r="Q206" s="18">
        <v>78.599999999999994</v>
      </c>
      <c r="R206" s="18">
        <v>110.2</v>
      </c>
      <c r="S206" s="18">
        <v>114</v>
      </c>
      <c r="T206" s="18">
        <v>78.8</v>
      </c>
      <c r="U206" s="18">
        <v>128.69999999999999</v>
      </c>
      <c r="V206" s="18">
        <v>119.1</v>
      </c>
      <c r="W206" s="18">
        <v>129.4</v>
      </c>
      <c r="X206" s="18">
        <v>119.6</v>
      </c>
      <c r="Y206" s="18">
        <v>112.4</v>
      </c>
      <c r="Z206" s="18">
        <v>129.5</v>
      </c>
      <c r="AA206" s="18">
        <v>155.9</v>
      </c>
      <c r="AB206" s="18">
        <v>115.9</v>
      </c>
    </row>
    <row r="207" spans="1:28">
      <c r="A207" s="17">
        <f t="shared" si="3"/>
        <v>44501</v>
      </c>
      <c r="B207" s="18">
        <v>122</v>
      </c>
      <c r="C207" s="18">
        <v>85.7</v>
      </c>
      <c r="D207" s="18">
        <v>116.8</v>
      </c>
      <c r="E207" s="18">
        <v>115</v>
      </c>
      <c r="F207" s="18">
        <v>86.2</v>
      </c>
      <c r="G207" s="18">
        <v>133.6</v>
      </c>
      <c r="H207" s="18">
        <v>128</v>
      </c>
      <c r="I207" s="18">
        <v>130.9</v>
      </c>
      <c r="J207" s="18">
        <v>120.5</v>
      </c>
      <c r="K207" s="18">
        <v>123.3</v>
      </c>
      <c r="L207" s="18">
        <v>143.6</v>
      </c>
      <c r="M207" s="18">
        <v>160.5</v>
      </c>
      <c r="N207" s="18">
        <v>122.8</v>
      </c>
      <c r="P207" s="18">
        <v>122</v>
      </c>
      <c r="Q207" s="18">
        <v>85</v>
      </c>
      <c r="R207" s="18">
        <v>113.5</v>
      </c>
      <c r="S207" s="18">
        <v>113.4</v>
      </c>
      <c r="T207" s="18">
        <v>71.8</v>
      </c>
      <c r="U207" s="18">
        <v>128.4</v>
      </c>
      <c r="V207" s="18">
        <v>124.1</v>
      </c>
      <c r="W207" s="18">
        <v>131.9</v>
      </c>
      <c r="X207" s="18">
        <v>120.1</v>
      </c>
      <c r="Y207" s="18">
        <v>116.2</v>
      </c>
      <c r="Z207" s="18">
        <v>133.80000000000001</v>
      </c>
      <c r="AA207" s="18">
        <v>160.80000000000001</v>
      </c>
      <c r="AB207" s="18">
        <v>117.2</v>
      </c>
    </row>
    <row r="208" spans="1:28">
      <c r="A208" s="17">
        <f t="shared" si="3"/>
        <v>44531</v>
      </c>
      <c r="B208" s="18">
        <v>122.8</v>
      </c>
      <c r="C208" s="18">
        <v>92.2</v>
      </c>
      <c r="D208" s="18">
        <v>118.4</v>
      </c>
      <c r="E208" s="18">
        <v>114.7</v>
      </c>
      <c r="F208" s="18">
        <v>71.599999999999994</v>
      </c>
      <c r="G208" s="18">
        <v>153.80000000000001</v>
      </c>
      <c r="H208" s="18">
        <v>147.30000000000001</v>
      </c>
      <c r="I208" s="18">
        <v>136.1</v>
      </c>
      <c r="J208" s="18">
        <v>120.5</v>
      </c>
      <c r="K208" s="18">
        <v>140.9</v>
      </c>
      <c r="L208" s="18">
        <v>159.5</v>
      </c>
      <c r="M208" s="18">
        <v>182.5</v>
      </c>
      <c r="N208" s="18">
        <v>132.4</v>
      </c>
      <c r="P208" s="18">
        <v>121.9</v>
      </c>
      <c r="Q208" s="18">
        <v>83</v>
      </c>
      <c r="R208" s="18">
        <v>115.1</v>
      </c>
      <c r="S208" s="18">
        <v>113.5</v>
      </c>
      <c r="T208" s="18">
        <v>74.3</v>
      </c>
      <c r="U208" s="18">
        <v>127.7</v>
      </c>
      <c r="V208" s="18">
        <v>124.1</v>
      </c>
      <c r="W208" s="18">
        <v>130</v>
      </c>
      <c r="X208" s="18">
        <v>120.3</v>
      </c>
      <c r="Y208" s="18">
        <v>115.8</v>
      </c>
      <c r="Z208" s="18">
        <v>131.4</v>
      </c>
      <c r="AA208" s="18">
        <v>172.5</v>
      </c>
      <c r="AB208" s="18">
        <v>119</v>
      </c>
    </row>
    <row r="209" spans="1:28">
      <c r="A209" s="17">
        <f t="shared" si="3"/>
        <v>44562</v>
      </c>
      <c r="B209" s="18">
        <v>113</v>
      </c>
      <c r="C209" s="18">
        <v>78.2</v>
      </c>
      <c r="D209" s="18">
        <v>104.7</v>
      </c>
      <c r="E209" s="18">
        <v>112.8</v>
      </c>
      <c r="F209" s="18">
        <v>67.900000000000006</v>
      </c>
      <c r="G209" s="18">
        <v>120.4</v>
      </c>
      <c r="H209" s="18">
        <v>116.3</v>
      </c>
      <c r="I209" s="18">
        <v>89.8</v>
      </c>
      <c r="J209" s="18">
        <v>120.4</v>
      </c>
      <c r="K209" s="18">
        <v>105.1</v>
      </c>
      <c r="L209" s="18">
        <v>112.5</v>
      </c>
      <c r="M209" s="18">
        <v>156.30000000000001</v>
      </c>
      <c r="N209" s="18">
        <v>107.9</v>
      </c>
      <c r="P209" s="18">
        <v>116.6</v>
      </c>
      <c r="Q209" s="18">
        <v>78.2</v>
      </c>
      <c r="R209" s="18">
        <v>113.2</v>
      </c>
      <c r="S209" s="18">
        <v>113.6</v>
      </c>
      <c r="T209" s="18">
        <v>74.8</v>
      </c>
      <c r="U209" s="18">
        <v>128.5</v>
      </c>
      <c r="V209" s="18">
        <v>126.8</v>
      </c>
      <c r="W209" s="18">
        <v>88.6</v>
      </c>
      <c r="X209" s="18">
        <v>120.4</v>
      </c>
      <c r="Y209" s="18">
        <v>116.1</v>
      </c>
      <c r="Z209" s="18">
        <v>129.80000000000001</v>
      </c>
      <c r="AA209" s="18">
        <v>171.5</v>
      </c>
      <c r="AB209" s="18">
        <v>116.2</v>
      </c>
    </row>
    <row r="210" spans="1:28">
      <c r="A210" s="17">
        <f t="shared" si="3"/>
        <v>44593</v>
      </c>
      <c r="B210" s="18">
        <v>114.5</v>
      </c>
      <c r="C210" s="18">
        <v>72.400000000000006</v>
      </c>
      <c r="D210" s="18">
        <v>106.6</v>
      </c>
      <c r="E210" s="18">
        <v>108.2</v>
      </c>
      <c r="F210" s="18">
        <v>85.5</v>
      </c>
      <c r="G210" s="18">
        <v>112.2</v>
      </c>
      <c r="H210" s="18">
        <v>120.6</v>
      </c>
      <c r="I210" s="18">
        <v>133.1</v>
      </c>
      <c r="J210" s="18">
        <v>120.4</v>
      </c>
      <c r="K210" s="18">
        <v>109.8</v>
      </c>
      <c r="L210" s="18">
        <v>126.1</v>
      </c>
      <c r="M210" s="18">
        <v>160.80000000000001</v>
      </c>
      <c r="N210" s="18">
        <v>111.3</v>
      </c>
      <c r="P210" s="18">
        <v>120.1</v>
      </c>
      <c r="Q210" s="18">
        <v>78.7</v>
      </c>
      <c r="R210" s="18">
        <v>113.7</v>
      </c>
      <c r="S210" s="18">
        <v>114</v>
      </c>
      <c r="T210" s="18">
        <v>76.099999999999994</v>
      </c>
      <c r="U210" s="18">
        <v>121.4</v>
      </c>
      <c r="V210" s="18">
        <v>127</v>
      </c>
      <c r="W210" s="18">
        <v>135.4</v>
      </c>
      <c r="X210" s="18">
        <v>120.6</v>
      </c>
      <c r="Y210" s="18">
        <v>116.5</v>
      </c>
      <c r="Z210" s="18">
        <v>131</v>
      </c>
      <c r="AA210" s="18">
        <v>168.4</v>
      </c>
      <c r="AB210" s="18">
        <v>117.5</v>
      </c>
    </row>
    <row r="211" spans="1:28">
      <c r="A211" s="17">
        <f t="shared" si="3"/>
        <v>44621</v>
      </c>
      <c r="B211" s="18">
        <v>122.3</v>
      </c>
      <c r="C211" s="18">
        <v>78.8</v>
      </c>
      <c r="D211" s="18">
        <v>117.7</v>
      </c>
      <c r="E211" s="18">
        <v>116.3</v>
      </c>
      <c r="F211" s="18">
        <v>70.7</v>
      </c>
      <c r="G211" s="18">
        <v>129.4</v>
      </c>
      <c r="H211" s="18">
        <v>130.30000000000001</v>
      </c>
      <c r="I211" s="18">
        <v>139.80000000000001</v>
      </c>
      <c r="J211" s="18">
        <v>120.6</v>
      </c>
      <c r="K211" s="18">
        <v>116.7</v>
      </c>
      <c r="L211" s="18">
        <v>128.9</v>
      </c>
      <c r="M211" s="18">
        <v>191.3</v>
      </c>
      <c r="N211" s="18">
        <v>119.7</v>
      </c>
      <c r="P211" s="18">
        <v>120.7</v>
      </c>
      <c r="Q211" s="18">
        <v>77.3</v>
      </c>
      <c r="R211" s="18">
        <v>116.1</v>
      </c>
      <c r="S211" s="18">
        <v>115</v>
      </c>
      <c r="T211" s="18">
        <v>74.8</v>
      </c>
      <c r="U211" s="18">
        <v>130.9</v>
      </c>
      <c r="V211" s="18">
        <v>128.5</v>
      </c>
      <c r="W211" s="18">
        <v>137.69999999999999</v>
      </c>
      <c r="X211" s="18">
        <v>120.9</v>
      </c>
      <c r="Y211" s="18">
        <v>117</v>
      </c>
      <c r="Z211" s="18">
        <v>129.19999999999999</v>
      </c>
      <c r="AA211" s="18">
        <v>187.9</v>
      </c>
      <c r="AB211" s="18">
        <v>119.5</v>
      </c>
    </row>
    <row r="212" spans="1:28">
      <c r="A212" s="17">
        <f t="shared" si="3"/>
        <v>44652</v>
      </c>
      <c r="B212" s="18">
        <v>113.3</v>
      </c>
      <c r="C212" s="18">
        <v>75.400000000000006</v>
      </c>
      <c r="D212" s="18">
        <v>111.5</v>
      </c>
      <c r="E212" s="18">
        <v>112.3</v>
      </c>
      <c r="F212" s="18">
        <v>70.900000000000006</v>
      </c>
      <c r="G212" s="18">
        <v>121.3</v>
      </c>
      <c r="H212" s="18">
        <v>121.3</v>
      </c>
      <c r="I212" s="18">
        <v>137.5</v>
      </c>
      <c r="J212" s="18">
        <v>120.9</v>
      </c>
      <c r="K212" s="18">
        <v>110.3</v>
      </c>
      <c r="L212" s="18">
        <v>131.69999999999999</v>
      </c>
      <c r="M212" s="18">
        <v>172.3</v>
      </c>
      <c r="N212" s="18">
        <v>114.9</v>
      </c>
      <c r="P212" s="18">
        <v>124.7</v>
      </c>
      <c r="Q212" s="18">
        <v>78.3</v>
      </c>
      <c r="R212" s="18">
        <v>116.8</v>
      </c>
      <c r="S212" s="18">
        <v>115.4</v>
      </c>
      <c r="T212" s="18">
        <v>77.7</v>
      </c>
      <c r="U212" s="18">
        <v>126.3</v>
      </c>
      <c r="V212" s="18">
        <v>127.7</v>
      </c>
      <c r="W212" s="18">
        <v>137.19999999999999</v>
      </c>
      <c r="X212" s="18">
        <v>121.2</v>
      </c>
      <c r="Y212" s="18">
        <v>115.9</v>
      </c>
      <c r="Z212" s="18">
        <v>136.30000000000001</v>
      </c>
      <c r="AA212" s="18">
        <v>171.7</v>
      </c>
      <c r="AB212" s="18">
        <v>119.4</v>
      </c>
    </row>
    <row r="213" spans="1:28">
      <c r="A213" s="17">
        <f t="shared" si="3"/>
        <v>44682</v>
      </c>
      <c r="B213" s="18">
        <v>120.9</v>
      </c>
      <c r="C213" s="18">
        <v>78.2</v>
      </c>
      <c r="D213" s="18">
        <v>117</v>
      </c>
      <c r="E213" s="18">
        <v>115.8</v>
      </c>
      <c r="F213" s="18">
        <v>80.7</v>
      </c>
      <c r="G213" s="18">
        <v>126.9</v>
      </c>
      <c r="H213" s="18">
        <v>124.8</v>
      </c>
      <c r="I213" s="18">
        <v>135.1</v>
      </c>
      <c r="J213" s="18">
        <v>121.2</v>
      </c>
      <c r="K213" s="18">
        <v>116.1</v>
      </c>
      <c r="L213" s="18">
        <v>129</v>
      </c>
      <c r="M213" s="18">
        <v>187.8</v>
      </c>
      <c r="N213" s="18">
        <v>118.7</v>
      </c>
      <c r="P213" s="18">
        <v>120.5</v>
      </c>
      <c r="Q213" s="18">
        <v>78.900000000000006</v>
      </c>
      <c r="R213" s="18">
        <v>116.3</v>
      </c>
      <c r="S213" s="18">
        <v>115.8</v>
      </c>
      <c r="T213" s="18">
        <v>71.900000000000006</v>
      </c>
      <c r="U213" s="18">
        <v>130.6</v>
      </c>
      <c r="V213" s="18">
        <v>128.80000000000001</v>
      </c>
      <c r="W213" s="18">
        <v>139.69999999999999</v>
      </c>
      <c r="X213" s="18">
        <v>121.2</v>
      </c>
      <c r="Y213" s="18">
        <v>120.5</v>
      </c>
      <c r="Z213" s="18">
        <v>133.1</v>
      </c>
      <c r="AA213" s="18">
        <v>188.9</v>
      </c>
      <c r="AB213" s="18">
        <v>119.8</v>
      </c>
    </row>
    <row r="214" spans="1:28">
      <c r="A214" s="17">
        <f t="shared" si="3"/>
        <v>44713</v>
      </c>
      <c r="B214" s="18">
        <v>116.4</v>
      </c>
      <c r="C214" s="18">
        <v>75</v>
      </c>
      <c r="D214" s="18">
        <v>113.8</v>
      </c>
      <c r="E214" s="18">
        <v>112.5</v>
      </c>
      <c r="F214" s="18">
        <v>68.099999999999994</v>
      </c>
      <c r="G214" s="18">
        <v>129.6</v>
      </c>
      <c r="H214" s="18">
        <v>130.80000000000001</v>
      </c>
      <c r="I214" s="18">
        <v>141.4</v>
      </c>
      <c r="J214" s="18">
        <v>121.4</v>
      </c>
      <c r="K214" s="18">
        <v>119.5</v>
      </c>
      <c r="L214" s="18">
        <v>135.9</v>
      </c>
      <c r="M214" s="18">
        <v>167.1</v>
      </c>
      <c r="N214" s="18">
        <v>118.4</v>
      </c>
      <c r="P214" s="18">
        <v>120.2</v>
      </c>
      <c r="Q214" s="18">
        <v>78.8</v>
      </c>
      <c r="R214" s="18">
        <v>115.8</v>
      </c>
      <c r="S214" s="18">
        <v>115.3</v>
      </c>
      <c r="T214" s="18">
        <v>74.900000000000006</v>
      </c>
      <c r="U214" s="18">
        <v>132.19999999999999</v>
      </c>
      <c r="V214" s="18">
        <v>128.80000000000001</v>
      </c>
      <c r="W214" s="18">
        <v>140.4</v>
      </c>
      <c r="X214" s="18">
        <v>121.4</v>
      </c>
      <c r="Y214" s="18">
        <v>118.6</v>
      </c>
      <c r="Z214" s="18">
        <v>129.6</v>
      </c>
      <c r="AA214" s="18">
        <v>173.6</v>
      </c>
      <c r="AB214" s="18">
        <v>119.4</v>
      </c>
    </row>
    <row r="215" spans="1:28">
      <c r="A215" s="17">
        <f t="shared" si="3"/>
        <v>44743</v>
      </c>
      <c r="B215" s="18">
        <v>119.2</v>
      </c>
      <c r="C215" s="18">
        <v>84.5</v>
      </c>
      <c r="D215" s="18">
        <v>116.8</v>
      </c>
      <c r="E215" s="18">
        <v>117.8</v>
      </c>
      <c r="F215" s="18">
        <v>72.8</v>
      </c>
      <c r="G215" s="18">
        <v>133</v>
      </c>
      <c r="H215" s="18">
        <v>126.9</v>
      </c>
      <c r="I215" s="18">
        <v>137.5</v>
      </c>
      <c r="J215" s="18">
        <v>121.7</v>
      </c>
      <c r="K215" s="18">
        <v>120.1</v>
      </c>
      <c r="L215" s="18">
        <v>131</v>
      </c>
      <c r="M215" s="18">
        <v>168.3</v>
      </c>
      <c r="N215" s="18">
        <v>120</v>
      </c>
      <c r="P215" s="18">
        <v>116.9</v>
      </c>
      <c r="Q215" s="18">
        <v>81.7</v>
      </c>
      <c r="R215" s="18">
        <v>114.8</v>
      </c>
      <c r="S215" s="18">
        <v>115.6</v>
      </c>
      <c r="T215" s="18">
        <v>79.599999999999994</v>
      </c>
      <c r="U215" s="18">
        <v>132.4</v>
      </c>
      <c r="V215" s="18">
        <v>129.30000000000001</v>
      </c>
      <c r="W215" s="18">
        <v>136.9</v>
      </c>
      <c r="X215" s="18">
        <v>121.9</v>
      </c>
      <c r="Y215" s="18">
        <v>118.8</v>
      </c>
      <c r="Z215" s="18">
        <v>126.6</v>
      </c>
      <c r="AA215" s="18">
        <v>167.4</v>
      </c>
      <c r="AB215" s="18">
        <v>118.6</v>
      </c>
    </row>
    <row r="216" spans="1:28">
      <c r="A216" s="17">
        <f t="shared" si="3"/>
        <v>44774</v>
      </c>
      <c r="B216" s="18">
        <v>132.9</v>
      </c>
      <c r="C216" s="18">
        <v>81.599999999999994</v>
      </c>
      <c r="D216" s="18">
        <v>123.5</v>
      </c>
      <c r="E216" s="18">
        <v>118</v>
      </c>
      <c r="F216" s="18">
        <v>90.7</v>
      </c>
      <c r="G216" s="18">
        <v>131.9</v>
      </c>
      <c r="H216" s="18">
        <v>125.8</v>
      </c>
      <c r="I216" s="18">
        <v>138.9</v>
      </c>
      <c r="J216" s="18">
        <v>121.9</v>
      </c>
      <c r="K216" s="18">
        <v>117.6</v>
      </c>
      <c r="L216" s="18">
        <v>123.7</v>
      </c>
      <c r="M216" s="18">
        <v>182.7</v>
      </c>
      <c r="N216" s="18">
        <v>121.7</v>
      </c>
      <c r="P216" s="18">
        <v>120.6</v>
      </c>
      <c r="Q216" s="18">
        <v>81.400000000000006</v>
      </c>
      <c r="R216" s="18">
        <v>120.7</v>
      </c>
      <c r="S216" s="18">
        <v>115.5</v>
      </c>
      <c r="T216" s="18">
        <v>78.8</v>
      </c>
      <c r="U216" s="18">
        <v>131.4</v>
      </c>
      <c r="V216" s="18">
        <v>129.5</v>
      </c>
      <c r="W216" s="18">
        <v>139</v>
      </c>
      <c r="X216" s="18">
        <v>121.8</v>
      </c>
      <c r="Y216" s="18">
        <v>120.7</v>
      </c>
      <c r="Z216" s="18">
        <v>128.6</v>
      </c>
      <c r="AA216" s="18">
        <v>177.5</v>
      </c>
      <c r="AB216" s="18">
        <v>120.5</v>
      </c>
    </row>
    <row r="217" spans="1:28">
      <c r="A217" s="17">
        <f t="shared" si="3"/>
        <v>44805</v>
      </c>
      <c r="B217" s="18">
        <v>124.3</v>
      </c>
      <c r="C217" s="18">
        <v>77.400000000000006</v>
      </c>
      <c r="D217" s="18">
        <v>121.6</v>
      </c>
      <c r="E217" s="18">
        <v>115.7</v>
      </c>
      <c r="F217" s="18">
        <v>67.400000000000006</v>
      </c>
      <c r="G217" s="18">
        <v>130.19999999999999</v>
      </c>
      <c r="H217" s="18">
        <v>130.1</v>
      </c>
      <c r="I217" s="18">
        <v>141.69999999999999</v>
      </c>
      <c r="J217" s="18">
        <v>122.1</v>
      </c>
      <c r="K217" s="18">
        <v>119.2</v>
      </c>
      <c r="L217" s="18">
        <v>124.7</v>
      </c>
      <c r="M217" s="18">
        <v>216.7</v>
      </c>
      <c r="N217" s="18">
        <v>120.5</v>
      </c>
      <c r="P217" s="18">
        <v>119.6</v>
      </c>
      <c r="Q217" s="18">
        <v>78.3</v>
      </c>
      <c r="R217" s="18">
        <v>118.6</v>
      </c>
      <c r="S217" s="18">
        <v>114.3</v>
      </c>
      <c r="T217" s="18">
        <v>73.5</v>
      </c>
      <c r="U217" s="18">
        <v>133.69999999999999</v>
      </c>
      <c r="V217" s="18">
        <v>129.69999999999999</v>
      </c>
      <c r="W217" s="18">
        <v>142.5</v>
      </c>
      <c r="X217" s="18">
        <v>121.9</v>
      </c>
      <c r="Y217" s="18">
        <v>122.7</v>
      </c>
      <c r="Z217" s="18">
        <v>129.4</v>
      </c>
      <c r="AA217" s="18">
        <v>217.2</v>
      </c>
      <c r="AB217" s="18">
        <v>121.8</v>
      </c>
    </row>
    <row r="218" spans="1:28">
      <c r="A218" s="17">
        <f t="shared" si="3"/>
        <v>44835</v>
      </c>
      <c r="B218" s="18">
        <v>118</v>
      </c>
      <c r="C218" s="18">
        <v>79.599999999999994</v>
      </c>
      <c r="D218" s="18">
        <v>121.4</v>
      </c>
      <c r="E218" s="18">
        <v>117.7</v>
      </c>
      <c r="F218" s="18">
        <v>71.599999999999994</v>
      </c>
      <c r="G218" s="18">
        <v>132.19999999999999</v>
      </c>
      <c r="H218" s="18">
        <v>123.4</v>
      </c>
      <c r="I218" s="18">
        <v>138.6</v>
      </c>
      <c r="J218" s="18">
        <v>122.4</v>
      </c>
      <c r="K218" s="18">
        <v>118.2</v>
      </c>
      <c r="L218" s="18">
        <v>122.2</v>
      </c>
      <c r="M218" s="18">
        <v>233.2</v>
      </c>
      <c r="N218" s="18">
        <v>120.5</v>
      </c>
      <c r="P218" s="18">
        <v>116.3</v>
      </c>
      <c r="Q218" s="18">
        <v>78.099999999999994</v>
      </c>
      <c r="R218" s="18">
        <v>115.4</v>
      </c>
      <c r="S218" s="18">
        <v>115.5</v>
      </c>
      <c r="T218" s="18">
        <v>75.7</v>
      </c>
      <c r="U218" s="18">
        <v>133.5</v>
      </c>
      <c r="V218" s="18">
        <v>122.3</v>
      </c>
      <c r="W218" s="18">
        <v>141.69999999999999</v>
      </c>
      <c r="X218" s="18">
        <v>122.1</v>
      </c>
      <c r="Y218" s="18">
        <v>119.3</v>
      </c>
      <c r="Z218" s="18">
        <v>127.9</v>
      </c>
      <c r="AA218" s="18">
        <v>225.4</v>
      </c>
      <c r="AB218" s="18">
        <v>120.4</v>
      </c>
    </row>
    <row r="219" spans="1:28">
      <c r="A219" s="17">
        <f t="shared" si="3"/>
        <v>44866</v>
      </c>
      <c r="B219" s="18">
        <v>119</v>
      </c>
      <c r="C219" s="18">
        <v>77</v>
      </c>
      <c r="D219" s="18">
        <v>119.7</v>
      </c>
      <c r="E219" s="18">
        <v>117.5</v>
      </c>
      <c r="F219" s="18">
        <v>88.5</v>
      </c>
      <c r="G219" s="18">
        <v>130.69999999999999</v>
      </c>
      <c r="H219" s="18">
        <v>129.5</v>
      </c>
      <c r="I219" s="18">
        <v>139.69999999999999</v>
      </c>
      <c r="J219" s="18">
        <v>122.5</v>
      </c>
      <c r="K219" s="18">
        <v>125.9</v>
      </c>
      <c r="L219" s="18">
        <v>137.4</v>
      </c>
      <c r="M219" s="18">
        <v>216.9</v>
      </c>
      <c r="N219" s="18">
        <v>122.9</v>
      </c>
      <c r="P219" s="18">
        <v>118.5</v>
      </c>
      <c r="Q219" s="18">
        <v>76.900000000000006</v>
      </c>
      <c r="R219" s="18">
        <v>116.5</v>
      </c>
      <c r="S219" s="18">
        <v>116.2</v>
      </c>
      <c r="T219" s="18">
        <v>73.8</v>
      </c>
      <c r="U219" s="18">
        <v>124.6</v>
      </c>
      <c r="V219" s="18">
        <v>125.3</v>
      </c>
      <c r="W219" s="18">
        <v>140.9</v>
      </c>
      <c r="X219" s="18">
        <v>122.1</v>
      </c>
      <c r="Y219" s="18">
        <v>118.7</v>
      </c>
      <c r="Z219" s="18">
        <v>128.30000000000001</v>
      </c>
      <c r="AA219" s="18">
        <v>217</v>
      </c>
      <c r="AB219" s="18">
        <v>117.4</v>
      </c>
    </row>
    <row r="220" spans="1:28">
      <c r="A220" s="17">
        <f t="shared" si="3"/>
        <v>44896</v>
      </c>
      <c r="B220" s="18">
        <v>118.6</v>
      </c>
      <c r="C220" s="18">
        <v>87.1</v>
      </c>
      <c r="D220" s="18">
        <v>118.2</v>
      </c>
      <c r="E220" s="18">
        <v>117.2</v>
      </c>
      <c r="F220" s="18">
        <v>70.099999999999994</v>
      </c>
      <c r="G220" s="18">
        <v>156.9</v>
      </c>
      <c r="H220" s="18">
        <v>150.9</v>
      </c>
      <c r="I220" s="18">
        <v>150.30000000000001</v>
      </c>
      <c r="J220" s="18">
        <v>122.7</v>
      </c>
      <c r="K220" s="18">
        <v>146.1</v>
      </c>
      <c r="L220" s="18">
        <v>155.6</v>
      </c>
      <c r="M220" s="18">
        <v>218.1</v>
      </c>
      <c r="N220" s="18">
        <v>132.9</v>
      </c>
      <c r="P220" s="18">
        <v>117.7</v>
      </c>
      <c r="Q220" s="18">
        <v>78.7</v>
      </c>
      <c r="R220" s="18">
        <v>114.7</v>
      </c>
      <c r="S220" s="18">
        <v>115.8</v>
      </c>
      <c r="T220" s="18">
        <v>73.099999999999994</v>
      </c>
      <c r="U220" s="18">
        <v>129</v>
      </c>
      <c r="V220" s="18">
        <v>127.1</v>
      </c>
      <c r="W220" s="18">
        <v>143.5</v>
      </c>
      <c r="X220" s="18">
        <v>122.5</v>
      </c>
      <c r="Y220" s="18">
        <v>119.8</v>
      </c>
      <c r="Z220" s="18">
        <v>128.80000000000001</v>
      </c>
      <c r="AA220" s="18">
        <v>204.9</v>
      </c>
      <c r="AB220" s="18">
        <v>119.2</v>
      </c>
    </row>
    <row r="221" spans="1:28">
      <c r="A221" s="17">
        <f t="shared" si="3"/>
        <v>44927</v>
      </c>
      <c r="B221" s="18">
        <v>114.5</v>
      </c>
      <c r="C221" s="18">
        <v>80.5</v>
      </c>
      <c r="D221" s="18">
        <v>107.4</v>
      </c>
      <c r="E221" s="18">
        <v>115.4</v>
      </c>
      <c r="F221" s="18">
        <v>68.2</v>
      </c>
      <c r="G221" s="18">
        <v>119.3</v>
      </c>
      <c r="H221" s="18">
        <v>120.6</v>
      </c>
      <c r="I221" s="18">
        <v>147.6</v>
      </c>
      <c r="J221" s="18">
        <v>122.7</v>
      </c>
      <c r="K221" s="18">
        <v>108.4</v>
      </c>
      <c r="L221" s="18">
        <v>112.5</v>
      </c>
      <c r="M221" s="18">
        <v>179.5</v>
      </c>
      <c r="N221" s="18">
        <v>112.2</v>
      </c>
      <c r="P221" s="18">
        <v>118.3</v>
      </c>
      <c r="Q221" s="18">
        <v>80.3</v>
      </c>
      <c r="R221" s="18">
        <v>115.6</v>
      </c>
      <c r="S221" s="18">
        <v>115.9</v>
      </c>
      <c r="T221" s="18">
        <v>75.099999999999994</v>
      </c>
      <c r="U221" s="18">
        <v>126.4</v>
      </c>
      <c r="V221" s="18">
        <v>130.80000000000001</v>
      </c>
      <c r="W221" s="18">
        <v>145.69999999999999</v>
      </c>
      <c r="X221" s="18">
        <v>122.7</v>
      </c>
      <c r="Y221" s="18">
        <v>119.5</v>
      </c>
      <c r="Z221" s="18">
        <v>130.30000000000001</v>
      </c>
      <c r="AA221" s="18">
        <v>197</v>
      </c>
      <c r="AB221" s="18">
        <v>120.5</v>
      </c>
    </row>
    <row r="222" spans="1:28">
      <c r="A222" s="17">
        <f t="shared" si="3"/>
        <v>44958</v>
      </c>
      <c r="B222" s="18">
        <v>113.4</v>
      </c>
      <c r="C222" s="18">
        <v>73.599999999999994</v>
      </c>
      <c r="D222" s="18">
        <v>109.3</v>
      </c>
      <c r="E222" s="18">
        <v>110</v>
      </c>
      <c r="F222" s="18">
        <v>84</v>
      </c>
      <c r="G222" s="18">
        <v>115.7</v>
      </c>
      <c r="H222" s="18">
        <v>123.6</v>
      </c>
      <c r="I222" s="18">
        <v>144.80000000000001</v>
      </c>
      <c r="J222" s="18">
        <v>122.8</v>
      </c>
      <c r="K222" s="18">
        <v>112.8</v>
      </c>
      <c r="L222" s="18">
        <v>125.5</v>
      </c>
      <c r="M222" s="18">
        <v>185.8</v>
      </c>
      <c r="N222" s="18">
        <v>113.9</v>
      </c>
      <c r="P222" s="18">
        <v>119.3</v>
      </c>
      <c r="Q222" s="18">
        <v>79.900000000000006</v>
      </c>
      <c r="R222" s="18">
        <v>116.3</v>
      </c>
      <c r="S222" s="18">
        <v>116</v>
      </c>
      <c r="T222" s="18">
        <v>73.599999999999994</v>
      </c>
      <c r="U222" s="18">
        <v>125.9</v>
      </c>
      <c r="V222" s="18">
        <v>130.1</v>
      </c>
      <c r="W222" s="18">
        <v>147.6</v>
      </c>
      <c r="X222" s="18">
        <v>123</v>
      </c>
      <c r="Y222" s="18">
        <v>120.2</v>
      </c>
      <c r="Z222" s="18">
        <v>131.19999999999999</v>
      </c>
      <c r="AA222" s="18">
        <v>194.5</v>
      </c>
      <c r="AB222" s="18">
        <v>120.4</v>
      </c>
    </row>
    <row r="223" spans="1:28">
      <c r="A223" s="17">
        <f t="shared" si="3"/>
        <v>44986</v>
      </c>
      <c r="B223" s="18">
        <v>123.8</v>
      </c>
      <c r="C223" s="18">
        <v>83.9</v>
      </c>
      <c r="D223" s="18">
        <v>118.5</v>
      </c>
      <c r="E223" s="18">
        <v>117.5</v>
      </c>
      <c r="F223" s="18">
        <v>67</v>
      </c>
      <c r="G223" s="18">
        <v>123.9</v>
      </c>
      <c r="H223" s="18">
        <v>133.1</v>
      </c>
      <c r="I223" s="18">
        <v>157.4</v>
      </c>
      <c r="J223" s="18">
        <v>123</v>
      </c>
      <c r="K223" s="18">
        <v>119.8</v>
      </c>
      <c r="L223" s="18">
        <v>132</v>
      </c>
      <c r="M223" s="18">
        <v>220.4</v>
      </c>
      <c r="N223" s="18">
        <v>121.3</v>
      </c>
      <c r="P223" s="18">
        <v>122.2</v>
      </c>
      <c r="Q223" s="18">
        <v>82.3</v>
      </c>
      <c r="R223" s="18">
        <v>116.6</v>
      </c>
      <c r="S223" s="18">
        <v>116.2</v>
      </c>
      <c r="T223" s="18">
        <v>72</v>
      </c>
      <c r="U223" s="18">
        <v>125.6</v>
      </c>
      <c r="V223" s="18">
        <v>131.1</v>
      </c>
      <c r="W223" s="18">
        <v>155.4</v>
      </c>
      <c r="X223" s="18">
        <v>123.2</v>
      </c>
      <c r="Y223" s="18">
        <v>120.7</v>
      </c>
      <c r="Z223" s="18">
        <v>132.69999999999999</v>
      </c>
      <c r="AA223" s="18">
        <v>214.6</v>
      </c>
      <c r="AB223" s="18">
        <v>120.9</v>
      </c>
    </row>
    <row r="224" spans="1:28">
      <c r="A224" s="17">
        <f t="shared" si="3"/>
        <v>45017</v>
      </c>
      <c r="B224" s="18">
        <v>106.3</v>
      </c>
      <c r="C224" s="18">
        <v>78.099999999999994</v>
      </c>
      <c r="D224" s="18">
        <v>106.9</v>
      </c>
      <c r="E224" s="18">
        <v>112.8</v>
      </c>
      <c r="F224" s="18">
        <v>63</v>
      </c>
      <c r="G224" s="18">
        <v>118.6</v>
      </c>
      <c r="H224" s="18">
        <v>123.5</v>
      </c>
      <c r="I224" s="18">
        <v>145.9</v>
      </c>
      <c r="J224" s="18">
        <v>123.3</v>
      </c>
      <c r="K224" s="18">
        <v>115.2</v>
      </c>
      <c r="L224" s="18">
        <v>127.8</v>
      </c>
      <c r="M224" s="18">
        <v>209.3</v>
      </c>
      <c r="N224" s="18">
        <v>114.2</v>
      </c>
      <c r="P224" s="18">
        <v>116.8</v>
      </c>
      <c r="Q224" s="18">
        <v>80.900000000000006</v>
      </c>
      <c r="R224" s="18">
        <v>112.1</v>
      </c>
      <c r="S224" s="18">
        <v>115.9</v>
      </c>
      <c r="T224" s="18">
        <v>70.3</v>
      </c>
      <c r="U224" s="18">
        <v>124.3</v>
      </c>
      <c r="V224" s="18">
        <v>129.80000000000001</v>
      </c>
      <c r="W224" s="18">
        <v>145.19999999999999</v>
      </c>
      <c r="X224" s="18">
        <v>123.5</v>
      </c>
      <c r="Y224" s="18">
        <v>120.4</v>
      </c>
      <c r="Z224" s="18">
        <v>131.80000000000001</v>
      </c>
      <c r="AA224" s="18">
        <v>207.8</v>
      </c>
      <c r="AB224" s="18">
        <v>118.3</v>
      </c>
    </row>
    <row r="225" spans="1:28">
      <c r="A225" s="17">
        <f t="shared" si="3"/>
        <v>45047</v>
      </c>
      <c r="B225" s="18">
        <v>120.2</v>
      </c>
      <c r="C225" s="18">
        <v>83</v>
      </c>
      <c r="D225" s="18">
        <v>115.1</v>
      </c>
      <c r="E225" s="18">
        <v>117.6</v>
      </c>
      <c r="F225" s="18">
        <v>86.7</v>
      </c>
      <c r="G225" s="18">
        <v>121</v>
      </c>
      <c r="H225" s="18">
        <v>125.7</v>
      </c>
      <c r="I225" s="18">
        <v>139.9</v>
      </c>
      <c r="J225" s="18">
        <v>123.6</v>
      </c>
      <c r="K225" s="18">
        <v>118</v>
      </c>
      <c r="L225" s="18">
        <v>132.9</v>
      </c>
      <c r="M225" s="18">
        <v>200</v>
      </c>
      <c r="N225" s="18">
        <v>118.9</v>
      </c>
      <c r="P225" s="18">
        <v>120.3</v>
      </c>
      <c r="Q225" s="18">
        <v>83.2</v>
      </c>
      <c r="R225" s="18">
        <v>114.3</v>
      </c>
      <c r="S225" s="18">
        <v>117.4</v>
      </c>
      <c r="T225" s="18">
        <v>76.3</v>
      </c>
      <c r="U225" s="18">
        <v>124.5</v>
      </c>
      <c r="V225" s="18">
        <v>129.6</v>
      </c>
      <c r="W225" s="18">
        <v>145.19999999999999</v>
      </c>
      <c r="X225" s="18">
        <v>123.5</v>
      </c>
      <c r="Y225" s="18">
        <v>121.8</v>
      </c>
      <c r="Z225" s="18">
        <v>136.9</v>
      </c>
      <c r="AA225" s="18">
        <v>201.2</v>
      </c>
      <c r="AB225" s="18">
        <v>120</v>
      </c>
    </row>
    <row r="226" spans="1:28">
      <c r="A226" s="17">
        <f t="shared" si="3"/>
        <v>45078</v>
      </c>
      <c r="B226" s="18">
        <v>118.2</v>
      </c>
      <c r="C226" s="18">
        <v>76.099999999999994</v>
      </c>
      <c r="D226" s="18">
        <v>110.4</v>
      </c>
      <c r="E226" s="18">
        <v>115.6</v>
      </c>
      <c r="F226" s="18">
        <v>66.5</v>
      </c>
      <c r="G226" s="18">
        <v>121.5</v>
      </c>
      <c r="H226" s="18">
        <v>132.30000000000001</v>
      </c>
      <c r="I226" s="18">
        <v>148.4</v>
      </c>
      <c r="J226" s="18">
        <v>123.7</v>
      </c>
      <c r="K226" s="18">
        <v>124.6</v>
      </c>
      <c r="L226" s="18">
        <v>156.19999999999999</v>
      </c>
      <c r="M226" s="18">
        <v>188.7</v>
      </c>
      <c r="N226" s="18">
        <v>121.2</v>
      </c>
      <c r="P226" s="18">
        <v>122.1</v>
      </c>
      <c r="Q226" s="18">
        <v>80.400000000000006</v>
      </c>
      <c r="R226" s="18">
        <v>112.7</v>
      </c>
      <c r="S226" s="18">
        <v>118.3</v>
      </c>
      <c r="T226" s="18">
        <v>73.7</v>
      </c>
      <c r="U226" s="18">
        <v>124.5</v>
      </c>
      <c r="V226" s="18">
        <v>130.30000000000001</v>
      </c>
      <c r="W226" s="18">
        <v>147</v>
      </c>
      <c r="X226" s="18">
        <v>123.7</v>
      </c>
      <c r="Y226" s="18">
        <v>123.6</v>
      </c>
      <c r="Z226" s="18">
        <v>148.9</v>
      </c>
      <c r="AA226" s="18">
        <v>195.6</v>
      </c>
      <c r="AB226" s="18">
        <v>122.5</v>
      </c>
    </row>
    <row r="227" spans="1:28">
      <c r="A227" s="17">
        <f t="shared" si="3"/>
        <v>45108</v>
      </c>
      <c r="B227" s="18">
        <v>121.3</v>
      </c>
      <c r="C227" s="18">
        <v>86.1</v>
      </c>
      <c r="D227" s="18">
        <v>111.9</v>
      </c>
      <c r="E227" s="18">
        <v>118.2</v>
      </c>
      <c r="F227" s="18">
        <v>63.5</v>
      </c>
      <c r="G227" s="18">
        <v>124.4</v>
      </c>
      <c r="H227" s="18">
        <v>124.4</v>
      </c>
      <c r="I227" s="18">
        <v>144.30000000000001</v>
      </c>
      <c r="J227" s="18">
        <v>123.9</v>
      </c>
      <c r="K227" s="18">
        <v>122.6</v>
      </c>
      <c r="L227" s="18">
        <v>143.1</v>
      </c>
      <c r="M227" s="18">
        <v>190.2</v>
      </c>
      <c r="N227" s="18">
        <v>120.5</v>
      </c>
      <c r="P227" s="18">
        <v>118.9</v>
      </c>
      <c r="Q227" s="18">
        <v>82.6</v>
      </c>
      <c r="R227" s="18">
        <v>109.8</v>
      </c>
      <c r="S227" s="18">
        <v>116</v>
      </c>
      <c r="T227" s="18">
        <v>70.099999999999994</v>
      </c>
      <c r="U227" s="18">
        <v>124.4</v>
      </c>
      <c r="V227" s="18">
        <v>126.4</v>
      </c>
      <c r="W227" s="18">
        <v>144.19999999999999</v>
      </c>
      <c r="X227" s="18">
        <v>124.2</v>
      </c>
      <c r="Y227" s="18">
        <v>121.1</v>
      </c>
      <c r="Z227" s="18">
        <v>137.9</v>
      </c>
      <c r="AA227" s="18">
        <v>189</v>
      </c>
      <c r="AB227" s="18">
        <v>119</v>
      </c>
    </row>
    <row r="228" spans="1:28">
      <c r="A228" s="17">
        <f t="shared" si="3"/>
        <v>45139</v>
      </c>
      <c r="B228" s="18">
        <v>133.5</v>
      </c>
      <c r="C228" s="18">
        <v>81.5</v>
      </c>
      <c r="D228" s="18">
        <v>115.2</v>
      </c>
      <c r="E228" s="18">
        <v>121.6</v>
      </c>
      <c r="F228" s="18">
        <v>83.1</v>
      </c>
      <c r="G228" s="18">
        <v>126</v>
      </c>
      <c r="H228" s="18">
        <v>125.6</v>
      </c>
      <c r="I228" s="18">
        <v>145.4</v>
      </c>
      <c r="J228" s="18">
        <v>124.1</v>
      </c>
      <c r="K228" s="18">
        <v>117.9</v>
      </c>
      <c r="L228" s="18">
        <v>133.30000000000001</v>
      </c>
      <c r="M228" s="18">
        <v>213.8</v>
      </c>
      <c r="N228" s="18">
        <v>122.2</v>
      </c>
      <c r="P228" s="18">
        <v>121.4</v>
      </c>
      <c r="Q228" s="18">
        <v>81.099999999999994</v>
      </c>
      <c r="R228" s="18">
        <v>112.6</v>
      </c>
      <c r="S228" s="18">
        <v>118.9</v>
      </c>
      <c r="T228" s="18">
        <v>71.900000000000006</v>
      </c>
      <c r="U228" s="18">
        <v>124.9</v>
      </c>
      <c r="V228" s="18">
        <v>129.30000000000001</v>
      </c>
      <c r="W228" s="18">
        <v>145.9</v>
      </c>
      <c r="X228" s="18">
        <v>124.1</v>
      </c>
      <c r="Y228" s="18">
        <v>121</v>
      </c>
      <c r="Z228" s="18">
        <v>138.4</v>
      </c>
      <c r="AA228" s="18">
        <v>210.1</v>
      </c>
      <c r="AB228" s="18">
        <v>121</v>
      </c>
    </row>
    <row r="229" spans="1:28">
      <c r="A229" s="17">
        <f t="shared" si="3"/>
        <v>45170</v>
      </c>
      <c r="B229" s="18">
        <v>127</v>
      </c>
      <c r="C229" s="18">
        <v>81.3</v>
      </c>
      <c r="D229" s="18">
        <v>115.6</v>
      </c>
      <c r="E229" s="18">
        <v>121</v>
      </c>
      <c r="F229" s="18">
        <v>67</v>
      </c>
      <c r="G229" s="18">
        <v>121.2</v>
      </c>
      <c r="H229" s="18">
        <v>129.30000000000001</v>
      </c>
      <c r="I229" s="18">
        <v>139.1</v>
      </c>
      <c r="J229" s="18">
        <v>124.4</v>
      </c>
      <c r="K229" s="18">
        <v>117.1</v>
      </c>
      <c r="L229" s="18">
        <v>131.19999999999999</v>
      </c>
      <c r="M229" s="18">
        <v>224.1</v>
      </c>
      <c r="N229" s="18">
        <v>119.6</v>
      </c>
      <c r="P229" s="18">
        <v>122.8</v>
      </c>
      <c r="Q229" s="18">
        <v>81.900000000000006</v>
      </c>
      <c r="R229" s="18">
        <v>112.8</v>
      </c>
      <c r="S229" s="18">
        <v>119.8</v>
      </c>
      <c r="T229" s="18">
        <v>73.8</v>
      </c>
      <c r="U229" s="18">
        <v>125.1</v>
      </c>
      <c r="V229" s="18">
        <v>128.69999999999999</v>
      </c>
      <c r="W229" s="18">
        <v>139.19999999999999</v>
      </c>
      <c r="X229" s="18">
        <v>124.3</v>
      </c>
      <c r="Y229" s="18">
        <v>120.6</v>
      </c>
      <c r="Z229" s="18">
        <v>136.5</v>
      </c>
      <c r="AA229" s="18">
        <v>224.7</v>
      </c>
      <c r="AB229" s="18">
        <v>121</v>
      </c>
    </row>
    <row r="230" spans="1:28">
      <c r="A230" s="17">
        <f t="shared" si="3"/>
        <v>45200</v>
      </c>
      <c r="B230" s="18">
        <v>124.5</v>
      </c>
      <c r="C230" s="18">
        <v>80.5</v>
      </c>
      <c r="D230" s="18">
        <v>115.2</v>
      </c>
      <c r="E230" s="18">
        <v>121.4</v>
      </c>
      <c r="F230" s="18">
        <v>66.2</v>
      </c>
      <c r="G230" s="18">
        <v>123</v>
      </c>
      <c r="H230" s="18">
        <v>135.19999999999999</v>
      </c>
      <c r="I230" s="18">
        <v>143.30000000000001</v>
      </c>
      <c r="J230" s="18">
        <v>124.8</v>
      </c>
      <c r="K230" s="18">
        <v>120.1</v>
      </c>
      <c r="L230" s="18">
        <v>129.4</v>
      </c>
      <c r="M230" s="18">
        <v>221.5</v>
      </c>
      <c r="N230" s="18">
        <v>119.4</v>
      </c>
      <c r="P230" s="18">
        <v>122.6</v>
      </c>
      <c r="Q230" s="18">
        <v>79</v>
      </c>
      <c r="R230" s="18">
        <v>109.4</v>
      </c>
      <c r="S230" s="18">
        <v>119.1</v>
      </c>
      <c r="T230" s="18">
        <v>70.2</v>
      </c>
      <c r="U230" s="18">
        <v>123.4</v>
      </c>
      <c r="V230" s="18">
        <v>134.4</v>
      </c>
      <c r="W230" s="18">
        <v>146.6</v>
      </c>
      <c r="X230" s="18">
        <v>124.6</v>
      </c>
      <c r="Y230" s="18">
        <v>121.5</v>
      </c>
      <c r="Z230" s="18">
        <v>135.69999999999999</v>
      </c>
      <c r="AA230" s="18">
        <v>214.3</v>
      </c>
      <c r="AB230" s="18">
        <v>119.2</v>
      </c>
    </row>
    <row r="231" spans="1:28">
      <c r="A231" s="17">
        <f t="shared" si="3"/>
        <v>45231</v>
      </c>
      <c r="B231" s="18">
        <v>128.9</v>
      </c>
      <c r="C231" s="18">
        <v>79.8</v>
      </c>
      <c r="D231" s="18">
        <v>115.6</v>
      </c>
      <c r="E231" s="18">
        <v>120.5</v>
      </c>
      <c r="F231" s="18">
        <v>89.3</v>
      </c>
      <c r="G231" s="18">
        <v>130.6</v>
      </c>
      <c r="H231" s="18">
        <v>133.5</v>
      </c>
      <c r="I231" s="18">
        <v>145.9</v>
      </c>
      <c r="J231" s="18">
        <v>125.1</v>
      </c>
      <c r="K231" s="18">
        <v>128.69999999999999</v>
      </c>
      <c r="L231" s="18">
        <v>151.1</v>
      </c>
      <c r="M231" s="18">
        <v>249.1</v>
      </c>
      <c r="N231" s="18">
        <v>127.2</v>
      </c>
      <c r="P231" s="18">
        <v>128.19999999999999</v>
      </c>
      <c r="Q231" s="18">
        <v>80.3</v>
      </c>
      <c r="R231" s="18">
        <v>112.5</v>
      </c>
      <c r="S231" s="18">
        <v>119.4</v>
      </c>
      <c r="T231" s="18">
        <v>74.3</v>
      </c>
      <c r="U231" s="18">
        <v>124.1</v>
      </c>
      <c r="V231" s="18">
        <v>129.80000000000001</v>
      </c>
      <c r="W231" s="18">
        <v>147.6</v>
      </c>
      <c r="X231" s="18">
        <v>124.7</v>
      </c>
      <c r="Y231" s="18">
        <v>121.5</v>
      </c>
      <c r="Z231" s="18">
        <v>141.69999999999999</v>
      </c>
      <c r="AA231" s="18">
        <v>249.1</v>
      </c>
      <c r="AB231" s="18">
        <v>121.7</v>
      </c>
    </row>
    <row r="232" spans="1:28">
      <c r="A232" s="17">
        <f t="shared" si="3"/>
        <v>45261</v>
      </c>
      <c r="B232" s="18">
        <v>124.8</v>
      </c>
      <c r="C232" s="18">
        <v>85.6</v>
      </c>
      <c r="D232" s="18">
        <v>113.3</v>
      </c>
      <c r="E232" s="18">
        <v>121</v>
      </c>
      <c r="F232" s="18">
        <v>71.900000000000006</v>
      </c>
      <c r="G232" s="18">
        <v>153</v>
      </c>
      <c r="H232" s="18">
        <v>150.6</v>
      </c>
      <c r="I232" s="18">
        <v>166.7</v>
      </c>
      <c r="J232" s="18">
        <v>125.1</v>
      </c>
      <c r="K232" s="18">
        <v>147</v>
      </c>
      <c r="L232" s="18">
        <v>162</v>
      </c>
      <c r="M232" s="18">
        <v>226.7</v>
      </c>
      <c r="N232" s="18">
        <v>134.19999999999999</v>
      </c>
      <c r="P232" s="18">
        <v>123.6</v>
      </c>
      <c r="Q232" s="18">
        <v>78.099999999999994</v>
      </c>
      <c r="R232" s="18">
        <v>109.8</v>
      </c>
      <c r="S232" s="18">
        <v>119.7</v>
      </c>
      <c r="T232" s="18">
        <v>75</v>
      </c>
      <c r="U232" s="18">
        <v>125.1</v>
      </c>
      <c r="V232" s="18">
        <v>127.2</v>
      </c>
      <c r="W232" s="18">
        <v>158.9</v>
      </c>
      <c r="X232" s="18">
        <v>124.9</v>
      </c>
      <c r="Y232" s="18">
        <v>120.5</v>
      </c>
      <c r="Z232" s="18">
        <v>134.80000000000001</v>
      </c>
      <c r="AA232" s="18">
        <v>211.3</v>
      </c>
      <c r="AB232" s="18">
        <v>120.3</v>
      </c>
    </row>
    <row r="233" spans="1:28">
      <c r="A233" s="17">
        <f t="shared" si="3"/>
        <v>45292</v>
      </c>
      <c r="B233" s="18">
        <v>125.5</v>
      </c>
      <c r="C233" s="18">
        <v>80.2</v>
      </c>
      <c r="D233" s="18">
        <v>103.5</v>
      </c>
      <c r="E233" s="18">
        <v>119.9</v>
      </c>
      <c r="F233" s="18">
        <v>65.5</v>
      </c>
      <c r="G233" s="18">
        <v>118</v>
      </c>
      <c r="H233" s="18">
        <v>118.2</v>
      </c>
      <c r="I233" s="18">
        <v>149.30000000000001</v>
      </c>
      <c r="J233" s="18">
        <v>125</v>
      </c>
      <c r="K233" s="18">
        <v>109.7</v>
      </c>
      <c r="L233" s="18">
        <v>118.6</v>
      </c>
      <c r="M233" s="18">
        <v>195.9</v>
      </c>
      <c r="N233" s="18">
        <v>113.7</v>
      </c>
      <c r="P233" s="18">
        <v>129.6</v>
      </c>
      <c r="Q233" s="18">
        <v>79.7</v>
      </c>
      <c r="R233" s="18">
        <v>111.8</v>
      </c>
      <c r="S233" s="18">
        <v>120.5</v>
      </c>
      <c r="T233" s="18">
        <v>72.8</v>
      </c>
      <c r="U233" s="18">
        <v>124.7</v>
      </c>
      <c r="V233" s="18">
        <v>128.4</v>
      </c>
      <c r="W233" s="18">
        <v>147.6</v>
      </c>
      <c r="X233" s="18">
        <v>125.1</v>
      </c>
      <c r="Y233" s="18">
        <v>121</v>
      </c>
      <c r="Z233" s="18">
        <v>138.1</v>
      </c>
      <c r="AA233" s="18">
        <v>214.9</v>
      </c>
      <c r="AB233" s="18">
        <v>122</v>
      </c>
    </row>
    <row r="234" spans="1:28">
      <c r="A234" s="17">
        <f t="shared" si="3"/>
        <v>45323</v>
      </c>
      <c r="B234" s="18">
        <v>124.9</v>
      </c>
      <c r="C234" s="18">
        <v>72.400000000000006</v>
      </c>
      <c r="D234" s="18">
        <v>107.2</v>
      </c>
      <c r="E234" s="18">
        <v>116.4</v>
      </c>
      <c r="F234" s="18">
        <v>87.3</v>
      </c>
      <c r="G234" s="18">
        <v>115.8</v>
      </c>
      <c r="H234" s="18">
        <v>120.8</v>
      </c>
      <c r="I234" s="18">
        <v>141.80000000000001</v>
      </c>
      <c r="J234" s="18">
        <v>125.1</v>
      </c>
      <c r="K234" s="18">
        <v>113</v>
      </c>
      <c r="L234" s="18">
        <v>131.1</v>
      </c>
      <c r="M234" s="18">
        <v>204.5</v>
      </c>
      <c r="N234" s="18">
        <v>116.4</v>
      </c>
      <c r="P234" s="18">
        <v>131.80000000000001</v>
      </c>
      <c r="Q234" s="18">
        <v>76.2</v>
      </c>
      <c r="R234" s="18">
        <v>111.6</v>
      </c>
      <c r="S234" s="18">
        <v>120.3</v>
      </c>
      <c r="T234" s="18">
        <v>76.2</v>
      </c>
      <c r="U234" s="18">
        <v>123.7</v>
      </c>
      <c r="V234" s="18">
        <v>125.9</v>
      </c>
      <c r="W234" s="18">
        <v>144.80000000000001</v>
      </c>
      <c r="X234" s="18">
        <v>125.3</v>
      </c>
      <c r="Y234" s="18">
        <v>121</v>
      </c>
      <c r="Z234" s="18">
        <v>137.9</v>
      </c>
      <c r="AA234" s="18">
        <v>214.5</v>
      </c>
      <c r="AB234" s="18">
        <v>121.8</v>
      </c>
    </row>
    <row r="235" spans="1:28">
      <c r="A235" s="17">
        <f t="shared" si="3"/>
        <v>45352</v>
      </c>
      <c r="B235" s="18">
        <v>116.2</v>
      </c>
      <c r="C235" s="18">
        <v>78.8</v>
      </c>
      <c r="D235" s="18">
        <v>106.1</v>
      </c>
      <c r="E235" s="18">
        <v>122.7</v>
      </c>
      <c r="F235" s="18">
        <v>68.2</v>
      </c>
      <c r="G235" s="18">
        <v>120.6</v>
      </c>
      <c r="H235" s="18">
        <v>128.19999999999999</v>
      </c>
      <c r="I235" s="18">
        <v>146.4</v>
      </c>
      <c r="J235" s="18">
        <v>125.3</v>
      </c>
      <c r="K235" s="18">
        <v>117.4</v>
      </c>
      <c r="L235" s="18">
        <v>138.9</v>
      </c>
      <c r="M235" s="18">
        <v>221.8</v>
      </c>
      <c r="N235" s="18">
        <v>118.8</v>
      </c>
      <c r="P235" s="18">
        <v>120.6</v>
      </c>
      <c r="Q235" s="18">
        <v>77.599999999999994</v>
      </c>
      <c r="R235" s="18">
        <v>108.9</v>
      </c>
      <c r="S235" s="18">
        <v>123</v>
      </c>
      <c r="T235" s="18">
        <v>74</v>
      </c>
      <c r="U235" s="18">
        <v>124.5</v>
      </c>
      <c r="V235" s="18">
        <v>126.8</v>
      </c>
      <c r="W235" s="18">
        <v>144.5</v>
      </c>
      <c r="X235" s="18">
        <v>125.5</v>
      </c>
      <c r="Y235" s="18">
        <v>119</v>
      </c>
      <c r="Z235" s="18">
        <v>139.6</v>
      </c>
      <c r="AA235" s="18">
        <v>214.5</v>
      </c>
      <c r="AB235" s="18">
        <v>120.4</v>
      </c>
    </row>
    <row r="236" spans="1:28">
      <c r="A236" s="17">
        <f t="shared" si="3"/>
        <v>45383</v>
      </c>
      <c r="B236" s="18">
        <v>123.7</v>
      </c>
      <c r="C236" s="18">
        <v>79.599999999999994</v>
      </c>
      <c r="D236" s="18">
        <v>110.5</v>
      </c>
      <c r="E236" s="18">
        <v>118.7</v>
      </c>
      <c r="F236" s="18">
        <v>66.900000000000006</v>
      </c>
      <c r="G236" s="18">
        <v>118.3</v>
      </c>
      <c r="H236" s="18">
        <v>121.6</v>
      </c>
      <c r="I236" s="18">
        <v>149.80000000000001</v>
      </c>
      <c r="J236" s="18">
        <v>125.7</v>
      </c>
      <c r="K236" s="18">
        <v>117.2</v>
      </c>
      <c r="L236" s="18">
        <v>148</v>
      </c>
      <c r="M236" s="18">
        <v>219</v>
      </c>
      <c r="N236" s="18">
        <v>120.3</v>
      </c>
      <c r="P236" s="18">
        <v>129.19999999999999</v>
      </c>
      <c r="Q236" s="18">
        <v>82.5</v>
      </c>
      <c r="R236" s="18">
        <v>111.6</v>
      </c>
      <c r="S236" s="18">
        <v>120.9</v>
      </c>
      <c r="T236" s="18">
        <v>75.599999999999994</v>
      </c>
      <c r="U236" s="18">
        <v>123.9</v>
      </c>
      <c r="V236" s="18">
        <v>128</v>
      </c>
      <c r="W236" s="18">
        <v>148.6</v>
      </c>
      <c r="X236" s="18">
        <v>125.9</v>
      </c>
      <c r="Y236" s="18">
        <v>121.8</v>
      </c>
      <c r="Z236" s="18">
        <v>151.80000000000001</v>
      </c>
      <c r="AA236" s="18">
        <v>216.7</v>
      </c>
      <c r="AB236" s="18">
        <v>122.9</v>
      </c>
    </row>
    <row r="237" spans="1:28">
      <c r="A237" s="17">
        <f t="shared" si="3"/>
        <v>45413</v>
      </c>
      <c r="B237" s="18">
        <v>130.80000000000001</v>
      </c>
      <c r="C237" s="18">
        <v>78.2</v>
      </c>
      <c r="D237" s="18">
        <v>111.8</v>
      </c>
      <c r="E237" s="18">
        <v>119.5</v>
      </c>
      <c r="F237" s="18">
        <v>88</v>
      </c>
      <c r="G237" s="18">
        <v>120.9</v>
      </c>
      <c r="H237" s="18">
        <v>125.1</v>
      </c>
      <c r="I237" s="18">
        <v>139.9</v>
      </c>
      <c r="J237" s="18">
        <v>126</v>
      </c>
      <c r="K237" s="18">
        <v>118.2</v>
      </c>
      <c r="L237" s="18">
        <v>143.19999999999999</v>
      </c>
      <c r="M237" s="18">
        <v>219.2</v>
      </c>
      <c r="N237" s="18">
        <v>121.4</v>
      </c>
      <c r="P237" s="18">
        <v>131.4</v>
      </c>
      <c r="Q237" s="18">
        <v>78.400000000000006</v>
      </c>
      <c r="R237" s="18">
        <v>111.2</v>
      </c>
      <c r="S237" s="18">
        <v>119.6</v>
      </c>
      <c r="T237" s="18">
        <v>77</v>
      </c>
      <c r="U237" s="18">
        <v>124.9</v>
      </c>
      <c r="V237" s="18">
        <v>129.19999999999999</v>
      </c>
      <c r="W237" s="18">
        <v>145.4</v>
      </c>
      <c r="X237" s="18">
        <v>125.9</v>
      </c>
      <c r="Y237" s="18">
        <v>121.5</v>
      </c>
      <c r="Z237" s="18">
        <v>146.9</v>
      </c>
      <c r="AA237" s="18">
        <v>220.7</v>
      </c>
      <c r="AB237" s="18">
        <v>122.7</v>
      </c>
    </row>
    <row r="238" spans="1:28">
      <c r="A238" s="17">
        <f t="shared" si="3"/>
        <v>45444</v>
      </c>
      <c r="B238" s="18">
        <v>122.5</v>
      </c>
      <c r="C238" s="18">
        <v>70.7</v>
      </c>
      <c r="D238" s="18">
        <v>105.2</v>
      </c>
      <c r="E238" s="18">
        <v>115.5</v>
      </c>
      <c r="F238" s="18">
        <v>65.599999999999994</v>
      </c>
      <c r="G238" s="18">
        <v>122</v>
      </c>
      <c r="H238" s="18">
        <v>128.4</v>
      </c>
      <c r="I238" s="18">
        <v>150.69999999999999</v>
      </c>
      <c r="J238" s="18">
        <v>126.2</v>
      </c>
      <c r="K238" s="18">
        <v>121.5</v>
      </c>
      <c r="L238" s="18">
        <v>140.30000000000001</v>
      </c>
      <c r="M238" s="18">
        <v>225</v>
      </c>
      <c r="N238" s="18">
        <v>119</v>
      </c>
      <c r="P238" s="18">
        <v>126.2</v>
      </c>
      <c r="Q238" s="18">
        <v>75.8</v>
      </c>
      <c r="R238" s="18">
        <v>108</v>
      </c>
      <c r="S238" s="18">
        <v>118.3</v>
      </c>
      <c r="T238" s="18">
        <v>72.8</v>
      </c>
      <c r="U238" s="18">
        <v>126.1</v>
      </c>
      <c r="V238" s="18">
        <v>126.6</v>
      </c>
      <c r="W238" s="18">
        <v>149.19999999999999</v>
      </c>
      <c r="X238" s="18">
        <v>126</v>
      </c>
      <c r="Y238" s="18">
        <v>120.5</v>
      </c>
      <c r="Z238" s="18">
        <v>133.30000000000001</v>
      </c>
      <c r="AA238" s="18">
        <v>233.1</v>
      </c>
      <c r="AB238" s="18">
        <v>120.7</v>
      </c>
    </row>
    <row r="239" spans="1:28">
      <c r="A239" s="17">
        <f t="shared" si="3"/>
        <v>45474</v>
      </c>
      <c r="B239" s="18">
        <v>141.1</v>
      </c>
      <c r="C239" s="18">
        <v>80.599999999999994</v>
      </c>
      <c r="D239" s="18">
        <v>113.5</v>
      </c>
      <c r="E239" s="18">
        <v>120.8</v>
      </c>
      <c r="F239" s="18">
        <v>67.2</v>
      </c>
      <c r="G239" s="18">
        <v>124.6</v>
      </c>
      <c r="H239" s="18">
        <v>126.9</v>
      </c>
      <c r="I239" s="18">
        <v>147.69999999999999</v>
      </c>
      <c r="J239" s="18">
        <v>126.2</v>
      </c>
      <c r="K239" s="18">
        <v>122.6</v>
      </c>
      <c r="L239" s="18">
        <v>142.5</v>
      </c>
      <c r="M239" s="18">
        <v>245.3</v>
      </c>
      <c r="N239" s="18">
        <v>124.3</v>
      </c>
      <c r="P239" s="18">
        <v>138</v>
      </c>
      <c r="Q239" s="18">
        <v>77.2</v>
      </c>
      <c r="R239" s="18">
        <v>111.6</v>
      </c>
      <c r="S239" s="18">
        <v>118.8</v>
      </c>
      <c r="T239" s="18">
        <v>73.7</v>
      </c>
      <c r="U239" s="18">
        <v>125.3</v>
      </c>
      <c r="V239" s="18">
        <v>128.9</v>
      </c>
      <c r="W239" s="18">
        <v>147.6</v>
      </c>
      <c r="X239" s="18">
        <v>126.5</v>
      </c>
      <c r="Y239" s="18">
        <v>120.9</v>
      </c>
      <c r="Z239" s="18">
        <v>136.6</v>
      </c>
      <c r="AA239" s="18">
        <v>243.1</v>
      </c>
      <c r="AB239" s="18">
        <v>122.8</v>
      </c>
    </row>
    <row r="240" spans="1:28">
      <c r="A240" s="17">
        <f t="shared" si="3"/>
        <v>45505</v>
      </c>
      <c r="B240" s="18">
        <v>145.80000000000001</v>
      </c>
      <c r="C240" s="18">
        <v>75.7</v>
      </c>
      <c r="D240" s="18">
        <v>112.4</v>
      </c>
      <c r="E240" s="18">
        <v>122.4</v>
      </c>
      <c r="F240" s="18">
        <v>88.9</v>
      </c>
      <c r="G240" s="18">
        <v>129.5</v>
      </c>
      <c r="H240" s="18">
        <v>125.9</v>
      </c>
      <c r="I240" s="18">
        <v>149.6</v>
      </c>
      <c r="J240" s="18">
        <v>126.5</v>
      </c>
      <c r="K240" s="18">
        <v>118</v>
      </c>
      <c r="L240" s="18">
        <v>133.4</v>
      </c>
      <c r="M240" s="18">
        <v>227.8</v>
      </c>
      <c r="N240" s="18">
        <v>124</v>
      </c>
      <c r="P240" s="18">
        <v>132.6</v>
      </c>
      <c r="Q240" s="18">
        <v>75.599999999999994</v>
      </c>
      <c r="R240" s="18">
        <v>110.1</v>
      </c>
      <c r="S240" s="18">
        <v>119.8</v>
      </c>
      <c r="T240" s="18">
        <v>76.599999999999994</v>
      </c>
      <c r="U240" s="18">
        <v>128.1</v>
      </c>
      <c r="V240" s="18">
        <v>130.1</v>
      </c>
      <c r="W240" s="18">
        <v>150.30000000000001</v>
      </c>
      <c r="X240" s="18">
        <v>126.5</v>
      </c>
      <c r="Y240" s="18">
        <v>121.1</v>
      </c>
      <c r="Z240" s="18">
        <v>138.19999999999999</v>
      </c>
      <c r="AA240" s="18">
        <v>226.6</v>
      </c>
      <c r="AB240" s="18">
        <v>122.8</v>
      </c>
    </row>
    <row r="241" spans="1:28">
      <c r="A241" s="17">
        <f t="shared" si="3"/>
        <v>45536</v>
      </c>
      <c r="B241" s="18">
        <v>136.1</v>
      </c>
      <c r="C241" s="18">
        <v>74.3</v>
      </c>
      <c r="D241" s="18">
        <v>111.5</v>
      </c>
      <c r="E241" s="18">
        <v>120.3</v>
      </c>
      <c r="F241" s="18">
        <v>66.400000000000006</v>
      </c>
      <c r="G241" s="18">
        <v>122.5</v>
      </c>
      <c r="H241" s="18">
        <v>130.1</v>
      </c>
      <c r="I241" s="18">
        <v>149.69999999999999</v>
      </c>
      <c r="J241" s="18">
        <v>126.8</v>
      </c>
      <c r="K241" s="18">
        <v>117.9</v>
      </c>
      <c r="L241" s="18">
        <v>134.1</v>
      </c>
      <c r="M241" s="18">
        <v>227.2</v>
      </c>
      <c r="N241" s="18">
        <v>120.5</v>
      </c>
      <c r="P241" s="18">
        <v>132</v>
      </c>
      <c r="Q241" s="18">
        <v>75.099999999999994</v>
      </c>
      <c r="R241" s="18">
        <v>109.1</v>
      </c>
      <c r="S241" s="18">
        <v>119.3</v>
      </c>
      <c r="T241" s="18">
        <v>73.7</v>
      </c>
      <c r="U241" s="18">
        <v>127.3</v>
      </c>
      <c r="V241" s="18">
        <v>129.6</v>
      </c>
      <c r="W241" s="18">
        <v>149.19999999999999</v>
      </c>
      <c r="X241" s="18">
        <v>126.7</v>
      </c>
      <c r="Y241" s="18">
        <v>121.3</v>
      </c>
      <c r="Z241" s="18">
        <v>139.4</v>
      </c>
      <c r="AA241" s="18">
        <v>228</v>
      </c>
      <c r="AB241" s="18">
        <v>122.2</v>
      </c>
    </row>
    <row r="242" spans="1:28">
      <c r="A242" s="17">
        <f t="shared" si="3"/>
        <v>45566</v>
      </c>
      <c r="B242" s="18">
        <v>138.4</v>
      </c>
      <c r="C242" s="18">
        <v>78.099999999999994</v>
      </c>
      <c r="D242" s="18">
        <v>117</v>
      </c>
      <c r="E242" s="18">
        <v>121.9</v>
      </c>
      <c r="F242" s="18">
        <v>71.599999999999994</v>
      </c>
      <c r="G242" s="18">
        <v>129.19999999999999</v>
      </c>
      <c r="H242" s="18">
        <v>129.5</v>
      </c>
      <c r="I242" s="18">
        <v>146</v>
      </c>
      <c r="J242" s="18">
        <v>127.2</v>
      </c>
      <c r="K242" s="18">
        <v>118.9</v>
      </c>
      <c r="L242" s="18">
        <v>135.9</v>
      </c>
      <c r="M242" s="18">
        <v>239.2</v>
      </c>
      <c r="N242" s="18">
        <v>123.8</v>
      </c>
      <c r="P242" s="18">
        <v>136</v>
      </c>
      <c r="Q242" s="18">
        <v>76.7</v>
      </c>
      <c r="R242" s="18">
        <v>111.5</v>
      </c>
      <c r="S242" s="18">
        <v>119.8</v>
      </c>
      <c r="T242" s="18">
        <v>75.2</v>
      </c>
      <c r="U242" s="18">
        <v>129.4</v>
      </c>
      <c r="V242" s="18">
        <v>128.9</v>
      </c>
      <c r="W242" s="18">
        <v>149.4</v>
      </c>
      <c r="X242" s="18">
        <v>127</v>
      </c>
      <c r="Y242" s="18">
        <v>120.6</v>
      </c>
      <c r="Z242" s="18">
        <v>142.1</v>
      </c>
      <c r="AA242" s="18">
        <v>231.3</v>
      </c>
      <c r="AB242" s="18">
        <v>123.8</v>
      </c>
    </row>
    <row r="243" spans="1:28">
      <c r="A243" s="17">
        <f t="shared" si="3"/>
        <v>45597</v>
      </c>
      <c r="B243" s="18">
        <v>132</v>
      </c>
      <c r="C243" s="18">
        <v>72.8</v>
      </c>
      <c r="D243" s="18">
        <v>112.9</v>
      </c>
      <c r="E243" s="18">
        <v>118.8</v>
      </c>
      <c r="F243" s="18">
        <v>88.3</v>
      </c>
      <c r="G243" s="18">
        <v>137.9</v>
      </c>
      <c r="H243" s="18">
        <v>132.19999999999999</v>
      </c>
      <c r="I243" s="18">
        <v>147.9</v>
      </c>
      <c r="J243" s="18">
        <v>127.5</v>
      </c>
      <c r="K243" s="18">
        <v>128.19999999999999</v>
      </c>
      <c r="L243" s="18">
        <v>152.30000000000001</v>
      </c>
      <c r="M243" s="18">
        <v>231.8</v>
      </c>
      <c r="N243" s="18">
        <v>127.7</v>
      </c>
      <c r="P243" s="18">
        <v>130.9</v>
      </c>
      <c r="Q243" s="18">
        <v>73.599999999999994</v>
      </c>
      <c r="R243" s="18">
        <v>109.9</v>
      </c>
      <c r="S243" s="18">
        <v>118</v>
      </c>
      <c r="T243" s="18">
        <v>73.2</v>
      </c>
      <c r="U243" s="18">
        <v>130.69999999999999</v>
      </c>
      <c r="V243" s="18">
        <v>128.80000000000001</v>
      </c>
      <c r="W243" s="18">
        <v>149.5</v>
      </c>
      <c r="X243" s="18">
        <v>127.2</v>
      </c>
      <c r="Y243" s="18">
        <v>121.1</v>
      </c>
      <c r="Z243" s="18">
        <v>142.80000000000001</v>
      </c>
      <c r="AA243" s="18">
        <v>232</v>
      </c>
      <c r="AB243" s="18">
        <v>122.4</v>
      </c>
    </row>
    <row r="244" spans="1:28">
      <c r="A244" s="17">
        <f t="shared" si="3"/>
        <v>45627</v>
      </c>
      <c r="B244" s="18">
        <v>135.5</v>
      </c>
      <c r="C244" s="18">
        <v>79.5</v>
      </c>
      <c r="D244" s="18">
        <v>114.5</v>
      </c>
      <c r="E244" s="18">
        <v>121.8</v>
      </c>
      <c r="F244" s="18">
        <v>69</v>
      </c>
      <c r="G244" s="18">
        <v>159.80000000000001</v>
      </c>
      <c r="H244" s="18">
        <v>158.80000000000001</v>
      </c>
      <c r="I244" s="18">
        <v>156.80000000000001</v>
      </c>
      <c r="J244" s="18">
        <v>127.6</v>
      </c>
      <c r="K244" s="18">
        <v>149</v>
      </c>
      <c r="L244" s="18">
        <v>172.2</v>
      </c>
      <c r="M244" s="18">
        <v>258.8</v>
      </c>
      <c r="N244" s="18">
        <v>138.9</v>
      </c>
      <c r="P244" s="18">
        <v>134.1</v>
      </c>
      <c r="Q244" s="18">
        <v>72.599999999999994</v>
      </c>
      <c r="R244" s="18">
        <v>110.9</v>
      </c>
      <c r="S244" s="18">
        <v>120.4</v>
      </c>
      <c r="T244" s="18">
        <v>72.099999999999994</v>
      </c>
      <c r="U244" s="18">
        <v>130.19999999999999</v>
      </c>
      <c r="V244" s="18">
        <v>134.4</v>
      </c>
      <c r="W244" s="18">
        <v>149.19999999999999</v>
      </c>
      <c r="X244" s="18">
        <v>127.4</v>
      </c>
      <c r="Y244" s="18">
        <v>122</v>
      </c>
      <c r="Z244" s="18">
        <v>143.69999999999999</v>
      </c>
      <c r="AA244" s="18">
        <v>239.9</v>
      </c>
      <c r="AB244" s="18">
        <v>124.4</v>
      </c>
    </row>
    <row r="245" spans="1:28">
      <c r="A245" s="17">
        <f t="shared" si="3"/>
        <v>45658</v>
      </c>
      <c r="B245" s="18">
        <v>130</v>
      </c>
      <c r="C245" s="18">
        <v>75</v>
      </c>
      <c r="D245" s="18">
        <v>104.4</v>
      </c>
      <c r="E245" s="18">
        <v>119.6</v>
      </c>
      <c r="F245" s="18">
        <v>65.3</v>
      </c>
      <c r="G245" s="18">
        <v>124.3</v>
      </c>
      <c r="H245" s="18">
        <v>119.4</v>
      </c>
      <c r="I245" s="18">
        <v>150.6</v>
      </c>
      <c r="J245" s="18">
        <v>127.5</v>
      </c>
      <c r="K245" s="18">
        <v>110.7</v>
      </c>
      <c r="L245" s="18">
        <v>122.7</v>
      </c>
      <c r="M245" s="18">
        <v>216.9</v>
      </c>
      <c r="N245" s="18">
        <v>116.3</v>
      </c>
      <c r="P245" s="18">
        <v>134</v>
      </c>
      <c r="Q245" s="18">
        <v>74.3</v>
      </c>
      <c r="R245" s="18">
        <v>112.6</v>
      </c>
      <c r="S245" s="18">
        <v>120</v>
      </c>
      <c r="T245" s="18">
        <v>72.7</v>
      </c>
      <c r="U245" s="18">
        <v>130.80000000000001</v>
      </c>
      <c r="V245" s="18">
        <v>129.6</v>
      </c>
      <c r="W245" s="18">
        <v>149.1</v>
      </c>
      <c r="X245" s="18">
        <v>127.6</v>
      </c>
      <c r="Y245" s="18">
        <v>122.1</v>
      </c>
      <c r="Z245" s="18">
        <v>143.4</v>
      </c>
      <c r="AA245" s="18">
        <v>238</v>
      </c>
      <c r="AB245" s="18">
        <v>124.6</v>
      </c>
    </row>
    <row r="246" spans="1:28">
      <c r="A246" s="17">
        <f t="shared" si="3"/>
        <v>45689</v>
      </c>
      <c r="B246" s="18">
        <v>125.9</v>
      </c>
      <c r="C246" s="18">
        <v>69</v>
      </c>
      <c r="D246" s="18">
        <v>105.3</v>
      </c>
      <c r="E246" s="18">
        <v>113.7</v>
      </c>
      <c r="F246" s="18">
        <v>81.3</v>
      </c>
      <c r="G246" s="18">
        <v>116.7</v>
      </c>
      <c r="H246" s="18">
        <v>123.2</v>
      </c>
      <c r="I246" s="18">
        <v>147</v>
      </c>
      <c r="J246" s="18">
        <v>127.6</v>
      </c>
      <c r="K246" s="18">
        <v>113.8</v>
      </c>
      <c r="L246" s="18">
        <v>135.6</v>
      </c>
      <c r="M246" s="18">
        <v>246.6</v>
      </c>
      <c r="N246" s="18">
        <v>117.9</v>
      </c>
      <c r="P246" s="18">
        <v>132.9</v>
      </c>
      <c r="Q246" s="18">
        <v>75.7</v>
      </c>
      <c r="R246" s="18">
        <v>112.4</v>
      </c>
      <c r="S246" s="18">
        <v>120.2</v>
      </c>
      <c r="T246" s="18">
        <v>71.099999999999994</v>
      </c>
      <c r="U246" s="18">
        <v>128.19999999999999</v>
      </c>
      <c r="V246" s="18">
        <v>130.4</v>
      </c>
      <c r="W246" s="18">
        <v>150.5</v>
      </c>
      <c r="X246" s="18">
        <v>127.7</v>
      </c>
      <c r="Y246" s="18">
        <v>122</v>
      </c>
      <c r="Z246" s="18">
        <v>143.19999999999999</v>
      </c>
      <c r="AA246" s="18">
        <v>256.8</v>
      </c>
      <c r="AB246" s="18">
        <v>124.8</v>
      </c>
    </row>
    <row r="247" spans="1:28">
      <c r="A247" s="17">
        <f t="shared" si="3"/>
        <v>45717</v>
      </c>
      <c r="B247" s="18">
        <v>134.80000000000001</v>
      </c>
      <c r="C247" s="18">
        <v>74.400000000000006</v>
      </c>
      <c r="D247" s="18">
        <v>111.5</v>
      </c>
      <c r="E247" s="18">
        <v>121.2</v>
      </c>
      <c r="F247" s="18">
        <v>67.7</v>
      </c>
      <c r="G247" s="18">
        <v>127</v>
      </c>
      <c r="H247" s="18">
        <v>126.8</v>
      </c>
      <c r="I247" s="18">
        <v>154.19999999999999</v>
      </c>
      <c r="J247" s="18">
        <v>127.8</v>
      </c>
      <c r="K247" s="18">
        <v>119.6</v>
      </c>
      <c r="L247" s="18">
        <v>144.6</v>
      </c>
      <c r="M247" s="18">
        <v>255.3</v>
      </c>
      <c r="N247" s="18">
        <v>124.1</v>
      </c>
      <c r="P247" s="18">
        <v>133.30000000000001</v>
      </c>
      <c r="Q247" s="18">
        <v>73</v>
      </c>
      <c r="R247" s="18">
        <v>109.7</v>
      </c>
      <c r="S247" s="18">
        <v>120.1</v>
      </c>
      <c r="T247" s="18">
        <v>73</v>
      </c>
      <c r="U247" s="18">
        <v>130.5</v>
      </c>
      <c r="V247" s="18">
        <v>125.7</v>
      </c>
      <c r="W247" s="18">
        <v>152.19999999999999</v>
      </c>
      <c r="X247" s="18">
        <v>127.9</v>
      </c>
      <c r="Y247" s="18">
        <v>121.6</v>
      </c>
      <c r="Z247" s="18">
        <v>145.69999999999999</v>
      </c>
      <c r="AA247" s="18">
        <v>246</v>
      </c>
      <c r="AB247" s="18">
        <v>123.8</v>
      </c>
    </row>
    <row r="248" spans="1:28">
      <c r="A248" s="17">
        <f t="shared" si="3"/>
        <v>45748</v>
      </c>
      <c r="B248" s="18">
        <v>125.9</v>
      </c>
      <c r="C248" s="18">
        <v>69.7</v>
      </c>
      <c r="D248" s="18">
        <v>107.3</v>
      </c>
      <c r="E248" s="18">
        <v>117.2</v>
      </c>
      <c r="F248" s="18">
        <v>63.5</v>
      </c>
      <c r="G248" s="18">
        <v>124.9</v>
      </c>
      <c r="H248" s="18">
        <v>125</v>
      </c>
      <c r="I248" s="18">
        <v>154.1</v>
      </c>
      <c r="J248" s="18">
        <v>128.19999999999999</v>
      </c>
      <c r="K248" s="18">
        <v>120</v>
      </c>
      <c r="L248" s="18">
        <v>145.30000000000001</v>
      </c>
      <c r="M248" s="18">
        <v>247.3</v>
      </c>
      <c r="N248" s="18">
        <v>121.4</v>
      </c>
      <c r="P248" s="18">
        <v>138</v>
      </c>
      <c r="Q248" s="18">
        <v>72.3</v>
      </c>
      <c r="R248" s="18">
        <v>112.6</v>
      </c>
      <c r="S248" s="18">
        <v>120.4</v>
      </c>
      <c r="T248" s="18">
        <v>72</v>
      </c>
      <c r="U248" s="18">
        <v>132</v>
      </c>
      <c r="V248" s="18">
        <v>131.30000000000001</v>
      </c>
      <c r="W248" s="18">
        <v>152.69999999999999</v>
      </c>
      <c r="X248" s="18">
        <v>128.4</v>
      </c>
      <c r="Y248" s="18">
        <v>124.1</v>
      </c>
      <c r="Z248" s="18">
        <v>148.6</v>
      </c>
      <c r="AA248" s="18">
        <v>244.3</v>
      </c>
      <c r="AB248" s="18">
        <v>125.7</v>
      </c>
    </row>
    <row r="249" spans="1:28">
      <c r="A249" s="17">
        <f t="shared" si="3"/>
        <v>45778</v>
      </c>
      <c r="B249" s="18">
        <v>133.69999999999999</v>
      </c>
      <c r="C249" s="18">
        <v>68.099999999999994</v>
      </c>
      <c r="D249" s="18">
        <v>114.5</v>
      </c>
      <c r="E249" s="18">
        <v>121.4</v>
      </c>
      <c r="F249" s="18">
        <v>81.7</v>
      </c>
      <c r="G249" s="18">
        <v>129.69999999999999</v>
      </c>
      <c r="H249" s="18">
        <v>126.6</v>
      </c>
      <c r="I249" s="18">
        <v>152.9</v>
      </c>
      <c r="J249" s="18">
        <v>128.5</v>
      </c>
      <c r="K249" s="18">
        <v>120</v>
      </c>
      <c r="L249" s="18">
        <v>146</v>
      </c>
      <c r="M249" s="18">
        <v>231.9</v>
      </c>
      <c r="N249" s="18">
        <v>124.3</v>
      </c>
      <c r="P249" s="18">
        <v>134.6</v>
      </c>
      <c r="Q249" s="18">
        <v>67.900000000000006</v>
      </c>
      <c r="R249" s="18">
        <v>113.6</v>
      </c>
      <c r="S249" s="18">
        <v>121.2</v>
      </c>
      <c r="T249" s="18">
        <v>71.400000000000006</v>
      </c>
      <c r="U249" s="18">
        <v>133.5</v>
      </c>
      <c r="V249" s="18">
        <v>130.5</v>
      </c>
      <c r="W249" s="18">
        <v>158.69999999999999</v>
      </c>
      <c r="X249" s="18">
        <v>128.30000000000001</v>
      </c>
      <c r="Y249" s="18">
        <v>122.9</v>
      </c>
      <c r="Z249" s="18">
        <v>149.69999999999999</v>
      </c>
      <c r="AA249" s="18">
        <v>234.1</v>
      </c>
      <c r="AB249" s="18">
        <v>125.5</v>
      </c>
    </row>
    <row r="250" spans="1:28">
      <c r="A250" s="17">
        <f t="shared" si="3"/>
        <v>45809</v>
      </c>
      <c r="B250" s="18">
        <v>130.9</v>
      </c>
      <c r="C250" s="18">
        <v>67.2</v>
      </c>
      <c r="D250" s="18">
        <v>108.2</v>
      </c>
      <c r="E250" s="18">
        <v>118.9</v>
      </c>
      <c r="F250" s="18">
        <v>67.8</v>
      </c>
      <c r="G250" s="18">
        <v>127.4</v>
      </c>
      <c r="H250" s="18">
        <v>134.4</v>
      </c>
      <c r="I250" s="18">
        <v>145.5</v>
      </c>
      <c r="J250" s="18">
        <v>128.6</v>
      </c>
      <c r="K250" s="18">
        <v>122.4</v>
      </c>
      <c r="L250" s="18">
        <v>147.5</v>
      </c>
      <c r="M250" s="18">
        <v>234.7</v>
      </c>
      <c r="N250" s="18">
        <v>122.5</v>
      </c>
      <c r="P250" s="18">
        <v>134.9</v>
      </c>
      <c r="Q250" s="18">
        <v>72</v>
      </c>
      <c r="R250" s="18">
        <v>110.7</v>
      </c>
      <c r="S250" s="18">
        <v>121.4</v>
      </c>
      <c r="T250" s="18">
        <v>74.5</v>
      </c>
      <c r="U250" s="18">
        <v>132</v>
      </c>
      <c r="V250" s="18">
        <v>132.30000000000001</v>
      </c>
      <c r="W250" s="18">
        <v>144.4</v>
      </c>
      <c r="X250" s="18">
        <v>128.5</v>
      </c>
      <c r="Y250" s="18">
        <v>121.4</v>
      </c>
      <c r="Z250" s="18">
        <v>139.9</v>
      </c>
      <c r="AA250" s="18">
        <v>243.2</v>
      </c>
      <c r="AB250" s="18">
        <v>124.2</v>
      </c>
    </row>
    <row r="251" spans="1:28">
      <c r="A251" s="17">
        <f t="shared" si="3"/>
        <v>45839</v>
      </c>
      <c r="B251" s="18">
        <v>142.5</v>
      </c>
      <c r="C251" s="18">
        <v>74.2</v>
      </c>
      <c r="D251" s="18">
        <v>119.8</v>
      </c>
      <c r="E251" s="18">
        <v>125</v>
      </c>
      <c r="F251" s="18">
        <v>69.3</v>
      </c>
      <c r="G251" s="18">
        <v>132.9</v>
      </c>
      <c r="H251" s="18">
        <v>130.69999999999999</v>
      </c>
      <c r="I251" s="18">
        <v>157.4</v>
      </c>
      <c r="J251" s="18">
        <v>128.9</v>
      </c>
      <c r="K251" s="18">
        <v>124.7</v>
      </c>
      <c r="L251" s="18">
        <v>159.6</v>
      </c>
      <c r="M251" s="18">
        <v>250.8</v>
      </c>
      <c r="N251" s="18">
        <v>129.9</v>
      </c>
      <c r="P251" s="18">
        <v>139.1</v>
      </c>
      <c r="Q251" s="18">
        <v>70.5</v>
      </c>
      <c r="R251" s="18">
        <v>117.6</v>
      </c>
      <c r="S251" s="18">
        <v>122.8</v>
      </c>
      <c r="T251" s="18">
        <v>75.2</v>
      </c>
      <c r="U251" s="18">
        <v>133.4</v>
      </c>
      <c r="V251" s="18">
        <v>132.5</v>
      </c>
      <c r="W251" s="18">
        <v>156.9</v>
      </c>
      <c r="X251" s="18">
        <v>129.19999999999999</v>
      </c>
      <c r="Y251" s="18">
        <v>122.8</v>
      </c>
      <c r="Z251" s="18">
        <v>153</v>
      </c>
      <c r="AA251" s="18">
        <v>248</v>
      </c>
      <c r="AB251" s="18">
        <v>128.1</v>
      </c>
    </row>
    <row r="252" spans="1:28">
      <c r="A252" s="17">
        <f t="shared" si="3"/>
        <v>45870</v>
      </c>
      <c r="B252" s="18">
        <v>148.1</v>
      </c>
      <c r="C252" s="18">
        <v>71.900000000000006</v>
      </c>
      <c r="D252" s="18">
        <v>114.5</v>
      </c>
      <c r="E252" s="18">
        <v>124.4</v>
      </c>
      <c r="F252" s="18">
        <v>83</v>
      </c>
      <c r="G252" s="18">
        <v>136.30000000000001</v>
      </c>
      <c r="H252" s="18">
        <v>126.4</v>
      </c>
      <c r="I252" s="18">
        <v>152.5</v>
      </c>
      <c r="J252" s="18">
        <v>129.1</v>
      </c>
      <c r="K252" s="18">
        <v>118.7</v>
      </c>
      <c r="L252" s="18">
        <v>140.1</v>
      </c>
      <c r="M252" s="18">
        <v>241</v>
      </c>
      <c r="N252" s="18">
        <v>126.9</v>
      </c>
      <c r="P252" s="18">
        <v>134.5</v>
      </c>
      <c r="Q252" s="18">
        <v>71.5</v>
      </c>
      <c r="R252" s="18">
        <v>111.9</v>
      </c>
      <c r="S252" s="18">
        <v>121.3</v>
      </c>
      <c r="T252" s="18">
        <v>72.099999999999994</v>
      </c>
      <c r="U252" s="18">
        <v>134.1</v>
      </c>
      <c r="V252" s="18">
        <v>130.30000000000001</v>
      </c>
      <c r="W252" s="18">
        <v>153.30000000000001</v>
      </c>
      <c r="X252" s="18">
        <v>129.19999999999999</v>
      </c>
      <c r="Y252" s="18">
        <v>121.9</v>
      </c>
      <c r="Z252" s="18">
        <v>145.5</v>
      </c>
      <c r="AA252" s="18">
        <v>242</v>
      </c>
      <c r="AB252" s="18">
        <v>125.5</v>
      </c>
    </row>
    <row r="253" spans="1:28">
      <c r="A253" s="17">
        <f t="shared" si="3"/>
        <v>45901</v>
      </c>
      <c r="B253" s="18">
        <v>142.5</v>
      </c>
      <c r="C253" s="18">
        <v>71.3</v>
      </c>
      <c r="D253" s="18">
        <v>117</v>
      </c>
      <c r="E253" s="18">
        <v>122.4</v>
      </c>
      <c r="F253" s="18">
        <v>66.8</v>
      </c>
      <c r="G253" s="18">
        <v>128.4</v>
      </c>
      <c r="H253" s="18">
        <v>133.19999999999999</v>
      </c>
      <c r="I253" s="18">
        <v>156.5</v>
      </c>
      <c r="J253" s="18">
        <v>129.30000000000001</v>
      </c>
      <c r="K253" s="18">
        <v>119</v>
      </c>
      <c r="L253" s="18">
        <v>143.1</v>
      </c>
      <c r="M253" s="18">
        <v>248</v>
      </c>
      <c r="N253" s="18">
        <v>125.4</v>
      </c>
      <c r="P253" s="18">
        <v>138.30000000000001</v>
      </c>
      <c r="Q253" s="18">
        <v>71.8</v>
      </c>
      <c r="R253" s="18">
        <v>114.4</v>
      </c>
      <c r="S253" s="18">
        <v>121.3</v>
      </c>
      <c r="T253" s="18">
        <v>73.900000000000006</v>
      </c>
      <c r="U253" s="18">
        <v>133.5</v>
      </c>
      <c r="V253" s="18">
        <v>132.30000000000001</v>
      </c>
      <c r="W253" s="18">
        <v>155.9</v>
      </c>
      <c r="X253" s="18">
        <v>129.30000000000001</v>
      </c>
      <c r="Y253" s="18">
        <v>122.5</v>
      </c>
      <c r="Z253" s="18">
        <v>148.9</v>
      </c>
      <c r="AA253" s="18">
        <v>249.2</v>
      </c>
      <c r="AB253" s="18">
        <v>127.1</v>
      </c>
    </row>
  </sheetData>
  <hyperlinks>
    <hyperlink ref="B1" r:id="rId1" xr:uid="{F5053730-3CEC-4D67-8B4C-7DC01DC233EA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C718-A4B5-44A8-9FFB-053BC92B353E}">
  <dimension ref="A1:M447"/>
  <sheetViews>
    <sheetView showGridLines="0" tabSelected="1" workbookViewId="0">
      <pane xSplit="1" ySplit="3" topLeftCell="B411" activePane="bottomRight" state="frozen"/>
      <selection pane="topRight" activeCell="B1" sqref="B1"/>
      <selection pane="bottomLeft" activeCell="A4" sqref="A4"/>
      <selection pane="bottomRight" activeCell="F455" sqref="F455"/>
    </sheetView>
  </sheetViews>
  <sheetFormatPr baseColWidth="10" defaultRowHeight="14.5"/>
  <sheetData>
    <row r="1" spans="1:13">
      <c r="A1" t="s">
        <v>76</v>
      </c>
      <c r="B1" s="24" t="s">
        <v>102</v>
      </c>
      <c r="C1" s="24" t="s">
        <v>102</v>
      </c>
      <c r="D1" s="24" t="s">
        <v>103</v>
      </c>
      <c r="J1" t="s">
        <v>94</v>
      </c>
      <c r="K1" s="7" t="s">
        <v>95</v>
      </c>
    </row>
    <row r="2" spans="1:13">
      <c r="K2" s="7" t="s">
        <v>96</v>
      </c>
      <c r="L2" s="5" t="s">
        <v>104</v>
      </c>
      <c r="M2" s="24" t="s">
        <v>96</v>
      </c>
    </row>
    <row r="3" spans="1:13">
      <c r="A3" s="11" t="s">
        <v>17</v>
      </c>
      <c r="B3" s="11" t="s">
        <v>57</v>
      </c>
      <c r="C3" s="11" t="s">
        <v>74</v>
      </c>
      <c r="D3" s="11" t="s">
        <v>75</v>
      </c>
      <c r="J3" t="s">
        <v>100</v>
      </c>
      <c r="K3" s="7" t="s">
        <v>97</v>
      </c>
      <c r="L3" s="7" t="s">
        <v>98</v>
      </c>
    </row>
    <row r="4" spans="1:13">
      <c r="A4" s="13">
        <v>32874</v>
      </c>
      <c r="B4" s="15">
        <v>21.25</v>
      </c>
      <c r="C4" s="15">
        <v>61.643999999999998</v>
      </c>
      <c r="D4" s="15">
        <v>127.4</v>
      </c>
    </row>
    <row r="5" spans="1:13">
      <c r="A5" s="13">
        <v>32905</v>
      </c>
      <c r="B5" s="15">
        <v>19.809999999999999</v>
      </c>
      <c r="C5" s="15">
        <v>62.210799999999999</v>
      </c>
      <c r="D5" s="15">
        <v>128</v>
      </c>
    </row>
    <row r="6" spans="1:13">
      <c r="A6" s="13">
        <v>32933</v>
      </c>
      <c r="B6" s="15">
        <v>18.39</v>
      </c>
      <c r="C6" s="15">
        <v>62.506799999999998</v>
      </c>
      <c r="D6" s="15">
        <v>128.69999999999999</v>
      </c>
    </row>
    <row r="7" spans="1:13">
      <c r="A7" s="13">
        <v>32964</v>
      </c>
      <c r="B7" s="15">
        <v>16.61</v>
      </c>
      <c r="C7" s="15">
        <v>62.359699999999997</v>
      </c>
      <c r="D7" s="15">
        <v>128.9</v>
      </c>
    </row>
    <row r="8" spans="1:13">
      <c r="A8" s="13">
        <v>32994</v>
      </c>
      <c r="B8" s="15">
        <v>16.350000000000001</v>
      </c>
      <c r="C8" s="15">
        <v>62.547400000000003</v>
      </c>
      <c r="D8" s="15">
        <v>129.19999999999999</v>
      </c>
    </row>
    <row r="9" spans="1:13">
      <c r="A9" s="13">
        <v>33025</v>
      </c>
      <c r="B9" s="15">
        <v>15.1</v>
      </c>
      <c r="C9" s="15">
        <v>62.754100000000001</v>
      </c>
      <c r="D9" s="15">
        <v>129.9</v>
      </c>
    </row>
    <row r="10" spans="1:13">
      <c r="A10" s="13">
        <v>33055</v>
      </c>
      <c r="B10" s="15">
        <v>17.170000000000002</v>
      </c>
      <c r="C10" s="15">
        <v>62.649700000000003</v>
      </c>
      <c r="D10" s="15">
        <v>130.4</v>
      </c>
    </row>
    <row r="11" spans="1:13">
      <c r="A11" s="13">
        <v>33086</v>
      </c>
      <c r="B11" s="15">
        <v>27.17</v>
      </c>
      <c r="C11" s="15">
        <v>62.876100000000001</v>
      </c>
      <c r="D11" s="15">
        <v>131.6</v>
      </c>
    </row>
    <row r="12" spans="1:13">
      <c r="A12" s="13">
        <v>33117</v>
      </c>
      <c r="B12" s="15">
        <v>34.9</v>
      </c>
      <c r="C12" s="15">
        <v>62.896000000000001</v>
      </c>
      <c r="D12" s="15">
        <v>132.69999999999999</v>
      </c>
    </row>
    <row r="13" spans="1:13">
      <c r="A13" s="13">
        <v>33147</v>
      </c>
      <c r="B13" s="15">
        <v>36.020000000000003</v>
      </c>
      <c r="C13" s="15">
        <v>62.506</v>
      </c>
      <c r="D13" s="15">
        <v>133.5</v>
      </c>
    </row>
    <row r="14" spans="1:13">
      <c r="A14" s="13">
        <v>33178</v>
      </c>
      <c r="B14" s="15">
        <v>33.07</v>
      </c>
      <c r="C14" s="15">
        <v>61.7271</v>
      </c>
      <c r="D14" s="15">
        <v>133.80000000000001</v>
      </c>
    </row>
    <row r="15" spans="1:13">
      <c r="A15" s="13">
        <v>33208</v>
      </c>
      <c r="B15" s="15">
        <v>28.27</v>
      </c>
      <c r="C15" s="15">
        <v>61.293900000000001</v>
      </c>
      <c r="D15" s="15">
        <v>133.80000000000001</v>
      </c>
    </row>
    <row r="16" spans="1:13">
      <c r="A16" s="13">
        <v>33239</v>
      </c>
      <c r="B16" s="15">
        <v>23.57</v>
      </c>
      <c r="C16" s="15">
        <v>61.0931</v>
      </c>
      <c r="D16" s="15">
        <v>134.6</v>
      </c>
    </row>
    <row r="17" spans="1:4">
      <c r="A17" s="13">
        <v>33270</v>
      </c>
      <c r="B17" s="15">
        <v>19.54</v>
      </c>
      <c r="C17" s="15">
        <v>60.652200000000001</v>
      </c>
      <c r="D17" s="15">
        <v>134.80000000000001</v>
      </c>
    </row>
    <row r="18" spans="1:4">
      <c r="A18" s="13">
        <v>33298</v>
      </c>
      <c r="B18" s="15">
        <v>19.079999999999998</v>
      </c>
      <c r="C18" s="15">
        <v>60.306899999999999</v>
      </c>
      <c r="D18" s="15">
        <v>135</v>
      </c>
    </row>
    <row r="19" spans="1:4">
      <c r="A19" s="13">
        <v>33329</v>
      </c>
      <c r="B19" s="15">
        <v>19.18</v>
      </c>
      <c r="C19" s="15">
        <v>60.465800000000002</v>
      </c>
      <c r="D19" s="15">
        <v>135.19999999999999</v>
      </c>
    </row>
    <row r="20" spans="1:4">
      <c r="A20" s="13">
        <v>33359</v>
      </c>
      <c r="B20" s="15">
        <v>19.190000000000001</v>
      </c>
      <c r="C20" s="15">
        <v>61.067100000000003</v>
      </c>
      <c r="D20" s="15">
        <v>135.6</v>
      </c>
    </row>
    <row r="21" spans="1:4">
      <c r="A21" s="13">
        <v>33390</v>
      </c>
      <c r="B21" s="15">
        <v>18.170000000000002</v>
      </c>
      <c r="C21" s="15">
        <v>61.561100000000003</v>
      </c>
      <c r="D21" s="15">
        <v>136</v>
      </c>
    </row>
    <row r="22" spans="1:4">
      <c r="A22" s="13">
        <v>33420</v>
      </c>
      <c r="B22" s="15">
        <v>19.399999999999999</v>
      </c>
      <c r="C22" s="15">
        <v>61.722999999999999</v>
      </c>
      <c r="D22" s="15">
        <v>136.19999999999999</v>
      </c>
    </row>
    <row r="23" spans="1:4">
      <c r="A23" s="13">
        <v>33451</v>
      </c>
      <c r="B23" s="15">
        <v>19.77</v>
      </c>
      <c r="C23" s="15">
        <v>61.735999999999997</v>
      </c>
      <c r="D23" s="15">
        <v>136.6</v>
      </c>
    </row>
    <row r="24" spans="1:4">
      <c r="A24" s="13">
        <v>33482</v>
      </c>
      <c r="B24" s="15">
        <v>20.5</v>
      </c>
      <c r="C24" s="15">
        <v>62.246400000000001</v>
      </c>
      <c r="D24" s="15">
        <v>137.19999999999999</v>
      </c>
    </row>
    <row r="25" spans="1:4">
      <c r="A25" s="13">
        <v>33512</v>
      </c>
      <c r="B25" s="15">
        <v>22.21</v>
      </c>
      <c r="C25" s="15">
        <v>62.182499999999997</v>
      </c>
      <c r="D25" s="15">
        <v>137.4</v>
      </c>
    </row>
    <row r="26" spans="1:4">
      <c r="A26" s="13">
        <v>33543</v>
      </c>
      <c r="B26" s="15">
        <v>21.11</v>
      </c>
      <c r="C26" s="15">
        <v>62.098300000000002</v>
      </c>
      <c r="D26" s="15">
        <v>137.80000000000001</v>
      </c>
    </row>
    <row r="27" spans="1:4">
      <c r="A27" s="13">
        <v>33573</v>
      </c>
      <c r="B27" s="15">
        <v>18.41</v>
      </c>
      <c r="C27" s="15">
        <v>61.8108</v>
      </c>
      <c r="D27" s="15">
        <v>137.9</v>
      </c>
    </row>
    <row r="28" spans="1:4">
      <c r="A28" s="13">
        <v>33604</v>
      </c>
      <c r="B28" s="15">
        <v>18.16</v>
      </c>
      <c r="C28" s="15">
        <v>61.489800000000002</v>
      </c>
      <c r="D28" s="15">
        <v>138.1</v>
      </c>
    </row>
    <row r="29" spans="1:4">
      <c r="A29" s="13">
        <v>33635</v>
      </c>
      <c r="B29" s="15">
        <v>18.05</v>
      </c>
      <c r="C29" s="15">
        <v>61.929900000000004</v>
      </c>
      <c r="D29" s="15">
        <v>138.6</v>
      </c>
    </row>
    <row r="30" spans="1:4">
      <c r="A30" s="13">
        <v>33664</v>
      </c>
      <c r="B30" s="15">
        <v>17.63</v>
      </c>
      <c r="C30" s="15">
        <v>62.448999999999998</v>
      </c>
      <c r="D30" s="15">
        <v>139.30000000000001</v>
      </c>
    </row>
    <row r="31" spans="1:4">
      <c r="A31" s="13">
        <v>33695</v>
      </c>
      <c r="B31" s="15">
        <v>18.920000000000002</v>
      </c>
      <c r="C31" s="15">
        <v>62.931199999999997</v>
      </c>
      <c r="D31" s="15">
        <v>139.5</v>
      </c>
    </row>
    <row r="32" spans="1:4">
      <c r="A32" s="13">
        <v>33725</v>
      </c>
      <c r="B32" s="15">
        <v>19.89</v>
      </c>
      <c r="C32" s="15">
        <v>63.135899999999999</v>
      </c>
      <c r="D32" s="15">
        <v>139.69999999999999</v>
      </c>
    </row>
    <row r="33" spans="1:4">
      <c r="A33" s="13">
        <v>33756</v>
      </c>
      <c r="B33" s="15">
        <v>21.16</v>
      </c>
      <c r="C33" s="15">
        <v>63.1736</v>
      </c>
      <c r="D33" s="15">
        <v>140.19999999999999</v>
      </c>
    </row>
    <row r="34" spans="1:4">
      <c r="A34" s="13">
        <v>33786</v>
      </c>
      <c r="B34" s="15">
        <v>20.239999999999998</v>
      </c>
      <c r="C34" s="15">
        <v>63.7408</v>
      </c>
      <c r="D34" s="15">
        <v>140.5</v>
      </c>
    </row>
    <row r="35" spans="1:4">
      <c r="A35" s="13">
        <v>33817</v>
      </c>
      <c r="B35" s="15">
        <v>19.739999999999998</v>
      </c>
      <c r="C35" s="15">
        <v>63.3917</v>
      </c>
      <c r="D35" s="15">
        <v>140.9</v>
      </c>
    </row>
    <row r="36" spans="1:4">
      <c r="A36" s="13">
        <v>33848</v>
      </c>
      <c r="B36" s="15">
        <v>20.27</v>
      </c>
      <c r="C36" s="15">
        <v>63.592700000000001</v>
      </c>
      <c r="D36" s="15">
        <v>141.30000000000001</v>
      </c>
    </row>
    <row r="37" spans="1:4">
      <c r="A37" s="13">
        <v>33878</v>
      </c>
      <c r="B37" s="15">
        <v>20.260000000000002</v>
      </c>
      <c r="C37" s="15">
        <v>64.028199999999998</v>
      </c>
      <c r="D37" s="15">
        <v>141.80000000000001</v>
      </c>
    </row>
    <row r="38" spans="1:4">
      <c r="A38" s="13">
        <v>33909</v>
      </c>
      <c r="B38" s="15">
        <v>19.21</v>
      </c>
      <c r="C38" s="15">
        <v>64.273200000000003</v>
      </c>
      <c r="D38" s="15">
        <v>142</v>
      </c>
    </row>
    <row r="39" spans="1:4">
      <c r="A39" s="13">
        <v>33939</v>
      </c>
      <c r="B39" s="15">
        <v>18.14</v>
      </c>
      <c r="C39" s="15">
        <v>64.366799999999998</v>
      </c>
      <c r="D39" s="15">
        <v>141.9</v>
      </c>
    </row>
    <row r="40" spans="1:4">
      <c r="A40" s="13">
        <v>33970</v>
      </c>
      <c r="B40" s="15">
        <v>17.39</v>
      </c>
      <c r="C40" s="15">
        <v>64.625600000000006</v>
      </c>
      <c r="D40" s="15">
        <v>142.6</v>
      </c>
    </row>
    <row r="41" spans="1:4">
      <c r="A41" s="13">
        <v>34001</v>
      </c>
      <c r="B41" s="15">
        <v>18.47</v>
      </c>
      <c r="C41" s="15">
        <v>64.929000000000002</v>
      </c>
      <c r="D41" s="15">
        <v>143.1</v>
      </c>
    </row>
    <row r="42" spans="1:4">
      <c r="A42" s="13">
        <v>34029</v>
      </c>
      <c r="B42" s="15">
        <v>18.79</v>
      </c>
      <c r="C42" s="15">
        <v>64.872</v>
      </c>
      <c r="D42" s="15">
        <v>143.6</v>
      </c>
    </row>
    <row r="43" spans="1:4">
      <c r="A43" s="13">
        <v>34060</v>
      </c>
      <c r="B43" s="15">
        <v>18.670000000000002</v>
      </c>
      <c r="C43" s="15">
        <v>65.061099999999996</v>
      </c>
      <c r="D43" s="15">
        <v>144</v>
      </c>
    </row>
    <row r="44" spans="1:4">
      <c r="A44" s="13">
        <v>34090</v>
      </c>
      <c r="B44" s="15">
        <v>18.510000000000002</v>
      </c>
      <c r="C44" s="15">
        <v>64.810400000000001</v>
      </c>
      <c r="D44" s="15">
        <v>144.19999999999999</v>
      </c>
    </row>
    <row r="45" spans="1:4">
      <c r="A45" s="13">
        <v>34121</v>
      </c>
      <c r="B45" s="15">
        <v>17.649999999999999</v>
      </c>
      <c r="C45" s="15">
        <v>64.955299999999994</v>
      </c>
      <c r="D45" s="15">
        <v>144.4</v>
      </c>
    </row>
    <row r="46" spans="1:4">
      <c r="A46" s="13">
        <v>34151</v>
      </c>
      <c r="B46" s="15">
        <v>16.78</v>
      </c>
      <c r="C46" s="15">
        <v>65.119799999999998</v>
      </c>
      <c r="D46" s="15">
        <v>144.4</v>
      </c>
    </row>
    <row r="47" spans="1:4">
      <c r="A47" s="13">
        <v>34182</v>
      </c>
      <c r="B47" s="15">
        <v>16.7</v>
      </c>
      <c r="C47" s="15">
        <v>65.049400000000006</v>
      </c>
      <c r="D47" s="15">
        <v>144.80000000000001</v>
      </c>
    </row>
    <row r="48" spans="1:4">
      <c r="A48" s="13">
        <v>34213</v>
      </c>
      <c r="B48" s="15">
        <v>16.010000000000002</v>
      </c>
      <c r="C48" s="15">
        <v>65.388199999999998</v>
      </c>
      <c r="D48" s="15">
        <v>145.1</v>
      </c>
    </row>
    <row r="49" spans="1:4">
      <c r="A49" s="13">
        <v>34243</v>
      </c>
      <c r="B49" s="15">
        <v>16.61</v>
      </c>
      <c r="C49" s="15">
        <v>65.870199999999997</v>
      </c>
      <c r="D49" s="15">
        <v>145.69999999999999</v>
      </c>
    </row>
    <row r="50" spans="1:4">
      <c r="A50" s="13">
        <v>34274</v>
      </c>
      <c r="B50" s="15">
        <v>15.2</v>
      </c>
      <c r="C50" s="15">
        <v>66.177899999999994</v>
      </c>
      <c r="D50" s="15">
        <v>145.80000000000001</v>
      </c>
    </row>
    <row r="51" spans="1:4">
      <c r="A51" s="13">
        <v>34304</v>
      </c>
      <c r="B51" s="15">
        <v>13.73</v>
      </c>
      <c r="C51" s="15">
        <v>66.560199999999995</v>
      </c>
      <c r="D51" s="15">
        <v>145.80000000000001</v>
      </c>
    </row>
    <row r="52" spans="1:4">
      <c r="A52" s="13">
        <v>34335</v>
      </c>
      <c r="B52" s="15">
        <v>14.29</v>
      </c>
      <c r="C52" s="15">
        <v>66.772199999999998</v>
      </c>
      <c r="D52" s="15">
        <v>146.19999999999999</v>
      </c>
    </row>
    <row r="53" spans="1:4">
      <c r="A53" s="13">
        <v>34366</v>
      </c>
      <c r="B53" s="15">
        <v>13.8</v>
      </c>
      <c r="C53" s="15">
        <v>66.806799999999996</v>
      </c>
      <c r="D53" s="15">
        <v>146.69999999999999</v>
      </c>
    </row>
    <row r="54" spans="1:4">
      <c r="A54" s="13">
        <v>34394</v>
      </c>
      <c r="B54" s="15">
        <v>13.82</v>
      </c>
      <c r="C54" s="15">
        <v>67.483199999999997</v>
      </c>
      <c r="D54" s="15">
        <v>147.19999999999999</v>
      </c>
    </row>
    <row r="55" spans="1:4">
      <c r="A55" s="13">
        <v>34425</v>
      </c>
      <c r="B55" s="15">
        <v>15.23</v>
      </c>
      <c r="C55" s="15">
        <v>67.877099999999999</v>
      </c>
      <c r="D55" s="15">
        <v>147.4</v>
      </c>
    </row>
    <row r="56" spans="1:4">
      <c r="A56" s="13">
        <v>34455</v>
      </c>
      <c r="B56" s="15">
        <v>16.190000000000001</v>
      </c>
      <c r="C56" s="15">
        <v>68.196100000000001</v>
      </c>
      <c r="D56" s="15">
        <v>147.5</v>
      </c>
    </row>
    <row r="57" spans="1:4">
      <c r="A57" s="13">
        <v>34486</v>
      </c>
      <c r="B57" s="15">
        <v>16.760000000000002</v>
      </c>
      <c r="C57" s="15">
        <v>68.652600000000007</v>
      </c>
      <c r="D57" s="15">
        <v>148</v>
      </c>
    </row>
    <row r="58" spans="1:4">
      <c r="A58" s="13">
        <v>34516</v>
      </c>
      <c r="B58" s="15">
        <v>17.600000000000001</v>
      </c>
      <c r="C58" s="15">
        <v>68.735299999999995</v>
      </c>
      <c r="D58" s="15">
        <v>148.4</v>
      </c>
    </row>
    <row r="59" spans="1:4">
      <c r="A59" s="13">
        <v>34547</v>
      </c>
      <c r="B59" s="15">
        <v>16.89</v>
      </c>
      <c r="C59" s="15">
        <v>69.195400000000006</v>
      </c>
      <c r="D59" s="15">
        <v>149</v>
      </c>
    </row>
    <row r="60" spans="1:4">
      <c r="A60" s="13">
        <v>34578</v>
      </c>
      <c r="B60" s="15">
        <v>15.9</v>
      </c>
      <c r="C60" s="15">
        <v>69.401700000000005</v>
      </c>
      <c r="D60" s="15">
        <v>149.4</v>
      </c>
    </row>
    <row r="61" spans="1:4">
      <c r="A61" s="13">
        <v>34608</v>
      </c>
      <c r="B61" s="15">
        <v>16.489999999999998</v>
      </c>
      <c r="C61" s="15">
        <v>69.968999999999994</v>
      </c>
      <c r="D61" s="15">
        <v>149.5</v>
      </c>
    </row>
    <row r="62" spans="1:4">
      <c r="A62" s="13">
        <v>34639</v>
      </c>
      <c r="B62" s="15">
        <v>17.190000000000001</v>
      </c>
      <c r="C62" s="15">
        <v>70.436700000000002</v>
      </c>
      <c r="D62" s="15">
        <v>149.69999999999999</v>
      </c>
    </row>
    <row r="63" spans="1:4">
      <c r="A63" s="13">
        <v>34669</v>
      </c>
      <c r="B63" s="15">
        <v>15.93</v>
      </c>
      <c r="C63" s="15">
        <v>71.141300000000001</v>
      </c>
      <c r="D63" s="15">
        <v>149.69999999999999</v>
      </c>
    </row>
    <row r="64" spans="1:4">
      <c r="A64" s="13">
        <v>34700</v>
      </c>
      <c r="B64" s="15">
        <v>16.55</v>
      </c>
      <c r="C64" s="15">
        <v>71.276200000000003</v>
      </c>
      <c r="D64" s="15">
        <v>150.30000000000001</v>
      </c>
    </row>
    <row r="65" spans="1:4">
      <c r="A65" s="13">
        <v>34731</v>
      </c>
      <c r="B65" s="15">
        <v>17.11</v>
      </c>
      <c r="C65" s="15">
        <v>71.190399999999997</v>
      </c>
      <c r="D65" s="15">
        <v>150.9</v>
      </c>
    </row>
    <row r="66" spans="1:4">
      <c r="A66" s="13">
        <v>34759</v>
      </c>
      <c r="B66" s="15">
        <v>17.010000000000002</v>
      </c>
      <c r="C66" s="15">
        <v>71.289100000000005</v>
      </c>
      <c r="D66" s="15">
        <v>151.4</v>
      </c>
    </row>
    <row r="67" spans="1:4">
      <c r="A67" s="13">
        <v>34790</v>
      </c>
      <c r="B67" s="15">
        <v>18.649999999999999</v>
      </c>
      <c r="C67" s="15">
        <v>71.162300000000002</v>
      </c>
      <c r="D67" s="15">
        <v>151.9</v>
      </c>
    </row>
    <row r="68" spans="1:4">
      <c r="A68" s="13">
        <v>34820</v>
      </c>
      <c r="B68" s="15">
        <v>18.350000000000001</v>
      </c>
      <c r="C68" s="15">
        <v>71.504400000000004</v>
      </c>
      <c r="D68" s="15">
        <v>152.19999999999999</v>
      </c>
    </row>
    <row r="69" spans="1:4">
      <c r="A69" s="13">
        <v>34851</v>
      </c>
      <c r="B69" s="15">
        <v>17.309999999999999</v>
      </c>
      <c r="C69" s="15">
        <v>71.742999999999995</v>
      </c>
      <c r="D69" s="15">
        <v>152.5</v>
      </c>
    </row>
    <row r="70" spans="1:4">
      <c r="A70" s="13">
        <v>34881</v>
      </c>
      <c r="B70" s="15">
        <v>15.85</v>
      </c>
      <c r="C70" s="15">
        <v>71.445899999999995</v>
      </c>
      <c r="D70" s="15">
        <v>152.5</v>
      </c>
    </row>
    <row r="71" spans="1:4">
      <c r="A71" s="13">
        <v>34912</v>
      </c>
      <c r="B71" s="15">
        <v>16.100000000000001</v>
      </c>
      <c r="C71" s="15">
        <v>72.38</v>
      </c>
      <c r="D71" s="15">
        <v>152.9</v>
      </c>
    </row>
    <row r="72" spans="1:4">
      <c r="A72" s="13">
        <v>34943</v>
      </c>
      <c r="B72" s="15">
        <v>16.7</v>
      </c>
      <c r="C72" s="15">
        <v>72.6601</v>
      </c>
      <c r="D72" s="15">
        <v>153.19999999999999</v>
      </c>
    </row>
    <row r="73" spans="1:4">
      <c r="A73" s="13">
        <v>34973</v>
      </c>
      <c r="B73" s="15">
        <v>16.11</v>
      </c>
      <c r="C73" s="15">
        <v>72.5428</v>
      </c>
      <c r="D73" s="15">
        <v>153.69999999999999</v>
      </c>
    </row>
    <row r="74" spans="1:4">
      <c r="A74" s="13">
        <v>35004</v>
      </c>
      <c r="B74" s="15">
        <v>16.86</v>
      </c>
      <c r="C74" s="15">
        <v>72.717799999999997</v>
      </c>
      <c r="D74" s="15">
        <v>153.6</v>
      </c>
    </row>
    <row r="75" spans="1:4">
      <c r="A75" s="13">
        <v>35034</v>
      </c>
      <c r="B75" s="15">
        <v>17.93</v>
      </c>
      <c r="C75" s="15">
        <v>72.967200000000005</v>
      </c>
      <c r="D75" s="15">
        <v>153.5</v>
      </c>
    </row>
    <row r="76" spans="1:4">
      <c r="A76" s="13">
        <v>35065</v>
      </c>
      <c r="B76" s="15">
        <v>17.850000000000001</v>
      </c>
      <c r="C76" s="15">
        <v>72.586600000000004</v>
      </c>
      <c r="D76" s="15">
        <v>154.4</v>
      </c>
    </row>
    <row r="77" spans="1:4">
      <c r="A77" s="13">
        <v>35096</v>
      </c>
      <c r="B77" s="15">
        <v>18</v>
      </c>
      <c r="C77" s="15">
        <v>73.638900000000007</v>
      </c>
      <c r="D77" s="15">
        <v>154.9</v>
      </c>
    </row>
    <row r="78" spans="1:4">
      <c r="A78" s="13">
        <v>35125</v>
      </c>
      <c r="B78" s="15">
        <v>19.850000000000001</v>
      </c>
      <c r="C78" s="15">
        <v>73.520200000000003</v>
      </c>
      <c r="D78" s="15">
        <v>155.69999999999999</v>
      </c>
    </row>
    <row r="79" spans="1:4">
      <c r="A79" s="13">
        <v>35156</v>
      </c>
      <c r="B79" s="15">
        <v>20.9</v>
      </c>
      <c r="C79" s="15">
        <v>74.266400000000004</v>
      </c>
      <c r="D79" s="15">
        <v>156.30000000000001</v>
      </c>
    </row>
    <row r="80" spans="1:4">
      <c r="A80" s="13">
        <v>35186</v>
      </c>
      <c r="B80" s="15">
        <v>19.149999999999999</v>
      </c>
      <c r="C80" s="15">
        <v>74.814499999999995</v>
      </c>
      <c r="D80" s="15">
        <v>156.6</v>
      </c>
    </row>
    <row r="81" spans="1:4">
      <c r="A81" s="13">
        <v>35217</v>
      </c>
      <c r="B81" s="15">
        <v>18.46</v>
      </c>
      <c r="C81" s="15">
        <v>75.377899999999997</v>
      </c>
      <c r="D81" s="15">
        <v>156.69999999999999</v>
      </c>
    </row>
    <row r="82" spans="1:4">
      <c r="A82" s="13">
        <v>35247</v>
      </c>
      <c r="B82" s="15">
        <v>19.57</v>
      </c>
      <c r="C82" s="15">
        <v>75.375399999999999</v>
      </c>
      <c r="D82" s="15">
        <v>157</v>
      </c>
    </row>
    <row r="83" spans="1:4">
      <c r="A83" s="13">
        <v>35278</v>
      </c>
      <c r="B83" s="15">
        <v>20.51</v>
      </c>
      <c r="C83" s="15">
        <v>75.756799999999998</v>
      </c>
      <c r="D83" s="15">
        <v>157.30000000000001</v>
      </c>
    </row>
    <row r="84" spans="1:4">
      <c r="A84" s="13">
        <v>35309</v>
      </c>
      <c r="B84" s="15">
        <v>22.63</v>
      </c>
      <c r="C84" s="15">
        <v>76.230400000000003</v>
      </c>
      <c r="D84" s="15">
        <v>157.80000000000001</v>
      </c>
    </row>
    <row r="85" spans="1:4">
      <c r="A85" s="13">
        <v>35339</v>
      </c>
      <c r="B85" s="15">
        <v>24.16</v>
      </c>
      <c r="C85" s="15">
        <v>76.219300000000004</v>
      </c>
      <c r="D85" s="15">
        <v>158.30000000000001</v>
      </c>
    </row>
    <row r="86" spans="1:4">
      <c r="A86" s="13">
        <v>35370</v>
      </c>
      <c r="B86" s="15">
        <v>22.76</v>
      </c>
      <c r="C86" s="15">
        <v>76.894099999999995</v>
      </c>
      <c r="D86" s="15">
        <v>158.6</v>
      </c>
    </row>
    <row r="87" spans="1:4">
      <c r="A87" s="13">
        <v>35400</v>
      </c>
      <c r="B87" s="15">
        <v>23.78</v>
      </c>
      <c r="C87" s="15">
        <v>77.373099999999994</v>
      </c>
      <c r="D87" s="15">
        <v>158.6</v>
      </c>
    </row>
    <row r="88" spans="1:4">
      <c r="A88" s="13">
        <v>35431</v>
      </c>
      <c r="B88" s="15">
        <v>23.54</v>
      </c>
      <c r="C88" s="15">
        <v>77.513800000000003</v>
      </c>
      <c r="D88" s="15">
        <v>159.1</v>
      </c>
    </row>
    <row r="89" spans="1:4">
      <c r="A89" s="13">
        <v>35462</v>
      </c>
      <c r="B89" s="15">
        <v>20.85</v>
      </c>
      <c r="C89" s="15">
        <v>78.424599999999998</v>
      </c>
      <c r="D89" s="15">
        <v>159.6</v>
      </c>
    </row>
    <row r="90" spans="1:4">
      <c r="A90" s="13">
        <v>35490</v>
      </c>
      <c r="B90" s="15">
        <v>19.13</v>
      </c>
      <c r="C90" s="15">
        <v>78.926599999999993</v>
      </c>
      <c r="D90" s="15">
        <v>160</v>
      </c>
    </row>
    <row r="91" spans="1:4">
      <c r="A91" s="13">
        <v>35521</v>
      </c>
      <c r="B91" s="15">
        <v>17.559999999999999</v>
      </c>
      <c r="C91" s="15">
        <v>78.992400000000004</v>
      </c>
      <c r="D91" s="15">
        <v>160.19999999999999</v>
      </c>
    </row>
    <row r="92" spans="1:4">
      <c r="A92" s="13">
        <v>35551</v>
      </c>
      <c r="B92" s="15">
        <v>19.02</v>
      </c>
      <c r="C92" s="15">
        <v>79.441100000000006</v>
      </c>
      <c r="D92" s="15">
        <v>160.1</v>
      </c>
    </row>
    <row r="93" spans="1:4">
      <c r="A93" s="13">
        <v>35582</v>
      </c>
      <c r="B93" s="15">
        <v>17.579999999999998</v>
      </c>
      <c r="C93" s="15">
        <v>79.8048</v>
      </c>
      <c r="D93" s="15">
        <v>160.30000000000001</v>
      </c>
    </row>
    <row r="94" spans="1:4">
      <c r="A94" s="13">
        <v>35612</v>
      </c>
      <c r="B94" s="15">
        <v>18.46</v>
      </c>
      <c r="C94" s="15">
        <v>80.48</v>
      </c>
      <c r="D94" s="15">
        <v>160.5</v>
      </c>
    </row>
    <row r="95" spans="1:4">
      <c r="A95" s="13">
        <v>35643</v>
      </c>
      <c r="B95" s="15">
        <v>18.600000000000001</v>
      </c>
      <c r="C95" s="15">
        <v>81.286199999999994</v>
      </c>
      <c r="D95" s="15">
        <v>160.80000000000001</v>
      </c>
    </row>
    <row r="96" spans="1:4">
      <c r="A96" s="13">
        <v>35674</v>
      </c>
      <c r="B96" s="15">
        <v>18.46</v>
      </c>
      <c r="C96" s="15">
        <v>82.037999999999997</v>
      </c>
      <c r="D96" s="15">
        <v>161.19999999999999</v>
      </c>
    </row>
    <row r="97" spans="1:4">
      <c r="A97" s="13">
        <v>35704</v>
      </c>
      <c r="B97" s="15">
        <v>19.87</v>
      </c>
      <c r="C97" s="15">
        <v>82.765699999999995</v>
      </c>
      <c r="D97" s="15">
        <v>161.6</v>
      </c>
    </row>
    <row r="98" spans="1:4">
      <c r="A98" s="13">
        <v>35735</v>
      </c>
      <c r="B98" s="15">
        <v>19.170000000000002</v>
      </c>
      <c r="C98" s="15">
        <v>83.432100000000005</v>
      </c>
      <c r="D98" s="15">
        <v>161.5</v>
      </c>
    </row>
    <row r="99" spans="1:4">
      <c r="A99" s="13">
        <v>35765</v>
      </c>
      <c r="B99" s="15">
        <v>17.18</v>
      </c>
      <c r="C99" s="15">
        <v>83.782600000000002</v>
      </c>
      <c r="D99" s="15">
        <v>161.30000000000001</v>
      </c>
    </row>
    <row r="100" spans="1:4">
      <c r="A100" s="13">
        <v>35796</v>
      </c>
      <c r="B100" s="15">
        <v>15.19</v>
      </c>
      <c r="C100" s="15">
        <v>84.165599999999998</v>
      </c>
      <c r="D100" s="15">
        <v>161.6</v>
      </c>
    </row>
    <row r="101" spans="1:4">
      <c r="A101" s="13">
        <v>35827</v>
      </c>
      <c r="B101" s="15">
        <v>14.07</v>
      </c>
      <c r="C101" s="15">
        <v>84.3048</v>
      </c>
      <c r="D101" s="15">
        <v>161.9</v>
      </c>
    </row>
    <row r="102" spans="1:4">
      <c r="A102" s="13">
        <v>35855</v>
      </c>
      <c r="B102" s="15">
        <v>13.1</v>
      </c>
      <c r="C102" s="15">
        <v>84.3416</v>
      </c>
      <c r="D102" s="15">
        <v>162.19999999999999</v>
      </c>
    </row>
    <row r="103" spans="1:4">
      <c r="A103" s="13">
        <v>35886</v>
      </c>
      <c r="B103" s="15">
        <v>13.53</v>
      </c>
      <c r="C103" s="15">
        <v>84.626300000000001</v>
      </c>
      <c r="D103" s="15">
        <v>162.5</v>
      </c>
    </row>
    <row r="104" spans="1:4">
      <c r="A104" s="13">
        <v>35916</v>
      </c>
      <c r="B104" s="15">
        <v>14.36</v>
      </c>
      <c r="C104" s="15">
        <v>85.183899999999994</v>
      </c>
      <c r="D104" s="15">
        <v>162.80000000000001</v>
      </c>
    </row>
    <row r="105" spans="1:4">
      <c r="A105" s="13">
        <v>35947</v>
      </c>
      <c r="B105" s="15">
        <v>12.21</v>
      </c>
      <c r="C105" s="15">
        <v>84.680899999999994</v>
      </c>
      <c r="D105" s="15">
        <v>163</v>
      </c>
    </row>
    <row r="106" spans="1:4">
      <c r="A106" s="13">
        <v>35977</v>
      </c>
      <c r="B106" s="15">
        <v>12.08</v>
      </c>
      <c r="C106" s="15">
        <v>84.344800000000006</v>
      </c>
      <c r="D106" s="15">
        <v>163.19999999999999</v>
      </c>
    </row>
    <row r="107" spans="1:4">
      <c r="A107" s="13">
        <v>36008</v>
      </c>
      <c r="B107" s="15">
        <v>11.91</v>
      </c>
      <c r="C107" s="15">
        <v>86.084599999999995</v>
      </c>
      <c r="D107" s="15">
        <v>163.4</v>
      </c>
    </row>
    <row r="108" spans="1:4">
      <c r="A108" s="13">
        <v>36039</v>
      </c>
      <c r="B108" s="15">
        <v>13.34</v>
      </c>
      <c r="C108" s="15">
        <v>85.994500000000002</v>
      </c>
      <c r="D108" s="15">
        <v>163.6</v>
      </c>
    </row>
    <row r="109" spans="1:4">
      <c r="A109" s="13">
        <v>36069</v>
      </c>
      <c r="B109" s="15">
        <v>12.7</v>
      </c>
      <c r="C109" s="15">
        <v>86.596699999999998</v>
      </c>
      <c r="D109" s="15">
        <v>164</v>
      </c>
    </row>
    <row r="110" spans="1:4">
      <c r="A110" s="13">
        <v>36100</v>
      </c>
      <c r="B110" s="15">
        <v>11.04</v>
      </c>
      <c r="C110" s="15">
        <v>86.511399999999995</v>
      </c>
      <c r="D110" s="15">
        <v>164</v>
      </c>
    </row>
    <row r="111" spans="1:4">
      <c r="A111" s="13">
        <v>36130</v>
      </c>
      <c r="B111" s="15">
        <v>9.82</v>
      </c>
      <c r="C111" s="15">
        <v>86.860799999999998</v>
      </c>
      <c r="D111" s="15">
        <v>163.9</v>
      </c>
    </row>
    <row r="112" spans="1:4">
      <c r="A112" s="13">
        <v>36161</v>
      </c>
      <c r="B112" s="15">
        <v>11.11</v>
      </c>
      <c r="C112" s="15">
        <v>87.227699999999999</v>
      </c>
      <c r="D112" s="15">
        <v>164.3</v>
      </c>
    </row>
    <row r="113" spans="1:4">
      <c r="A113" s="13">
        <v>36192</v>
      </c>
      <c r="B113" s="15">
        <v>10.27</v>
      </c>
      <c r="C113" s="15">
        <v>87.726600000000005</v>
      </c>
      <c r="D113" s="15">
        <v>164.5</v>
      </c>
    </row>
    <row r="114" spans="1:4">
      <c r="A114" s="13">
        <v>36220</v>
      </c>
      <c r="B114" s="15">
        <v>12.51</v>
      </c>
      <c r="C114" s="15">
        <v>87.920299999999997</v>
      </c>
      <c r="D114" s="15">
        <v>165</v>
      </c>
    </row>
    <row r="115" spans="1:4">
      <c r="A115" s="13">
        <v>36251</v>
      </c>
      <c r="B115" s="15">
        <v>15.29</v>
      </c>
      <c r="C115" s="15">
        <v>88.115300000000005</v>
      </c>
      <c r="D115" s="15">
        <v>166.2</v>
      </c>
    </row>
    <row r="116" spans="1:4">
      <c r="A116" s="13">
        <v>36281</v>
      </c>
      <c r="B116" s="15">
        <v>15.23</v>
      </c>
      <c r="C116" s="15">
        <v>88.6554</v>
      </c>
      <c r="D116" s="15">
        <v>166.2</v>
      </c>
    </row>
    <row r="117" spans="1:4">
      <c r="A117" s="13">
        <v>36312</v>
      </c>
      <c r="B117" s="15">
        <v>15.86</v>
      </c>
      <c r="C117" s="15">
        <v>88.595799999999997</v>
      </c>
      <c r="D117" s="15">
        <v>166.2</v>
      </c>
    </row>
    <row r="118" spans="1:4">
      <c r="A118" s="13">
        <v>36342</v>
      </c>
      <c r="B118" s="15">
        <v>19.079999999999998</v>
      </c>
      <c r="C118" s="15">
        <v>89.123500000000007</v>
      </c>
      <c r="D118" s="15">
        <v>166.7</v>
      </c>
    </row>
    <row r="119" spans="1:4">
      <c r="A119" s="13">
        <v>36373</v>
      </c>
      <c r="B119" s="15">
        <v>20.22</v>
      </c>
      <c r="C119" s="15">
        <v>89.511600000000001</v>
      </c>
      <c r="D119" s="15">
        <v>167.1</v>
      </c>
    </row>
    <row r="120" spans="1:4">
      <c r="A120" s="13">
        <v>36404</v>
      </c>
      <c r="B120" s="15">
        <v>22.54</v>
      </c>
      <c r="C120" s="15">
        <v>89.136099999999999</v>
      </c>
      <c r="D120" s="15">
        <v>167.9</v>
      </c>
    </row>
    <row r="121" spans="1:4">
      <c r="A121" s="13">
        <v>36434</v>
      </c>
      <c r="B121" s="15">
        <v>22</v>
      </c>
      <c r="C121" s="15">
        <v>90.284199999999998</v>
      </c>
      <c r="D121" s="15">
        <v>168.2</v>
      </c>
    </row>
    <row r="122" spans="1:4">
      <c r="A122" s="13">
        <v>36465</v>
      </c>
      <c r="B122" s="15">
        <v>24.58</v>
      </c>
      <c r="C122" s="15">
        <v>90.763099999999994</v>
      </c>
      <c r="D122" s="15">
        <v>168.3</v>
      </c>
    </row>
    <row r="123" spans="1:4">
      <c r="A123" s="13">
        <v>36495</v>
      </c>
      <c r="B123" s="15">
        <v>25.47</v>
      </c>
      <c r="C123" s="15">
        <v>91.492599999999996</v>
      </c>
      <c r="D123" s="15">
        <v>168.3</v>
      </c>
    </row>
    <row r="124" spans="1:4">
      <c r="A124" s="13">
        <v>36526</v>
      </c>
      <c r="B124" s="15">
        <v>25.51</v>
      </c>
      <c r="C124" s="15">
        <v>91.4251</v>
      </c>
      <c r="D124" s="15">
        <v>168.8</v>
      </c>
    </row>
    <row r="125" spans="1:4">
      <c r="A125" s="13">
        <v>36557</v>
      </c>
      <c r="B125" s="15">
        <v>27.78</v>
      </c>
      <c r="C125" s="15">
        <v>91.735699999999994</v>
      </c>
      <c r="D125" s="15">
        <v>169.8</v>
      </c>
    </row>
    <row r="126" spans="1:4">
      <c r="A126" s="13">
        <v>36586</v>
      </c>
      <c r="B126" s="15">
        <v>27.49</v>
      </c>
      <c r="C126" s="15">
        <v>92.093299999999999</v>
      </c>
      <c r="D126" s="15">
        <v>171.2</v>
      </c>
    </row>
    <row r="127" spans="1:4">
      <c r="A127" s="13">
        <v>36617</v>
      </c>
      <c r="B127" s="15">
        <v>22.76</v>
      </c>
      <c r="C127" s="15">
        <v>92.683800000000005</v>
      </c>
      <c r="D127" s="15">
        <v>171.3</v>
      </c>
    </row>
    <row r="128" spans="1:4">
      <c r="A128" s="13">
        <v>36647</v>
      </c>
      <c r="B128" s="15">
        <v>27.74</v>
      </c>
      <c r="C128" s="15">
        <v>92.937600000000003</v>
      </c>
      <c r="D128" s="15">
        <v>171.5</v>
      </c>
    </row>
    <row r="129" spans="1:4">
      <c r="A129" s="13">
        <v>36678</v>
      </c>
      <c r="B129" s="15">
        <v>29.8</v>
      </c>
      <c r="C129" s="15">
        <v>93.007599999999996</v>
      </c>
      <c r="D129" s="15">
        <v>172.4</v>
      </c>
    </row>
    <row r="130" spans="1:4">
      <c r="A130" s="13">
        <v>36708</v>
      </c>
      <c r="B130" s="15">
        <v>28.68</v>
      </c>
      <c r="C130" s="15">
        <v>92.845799999999997</v>
      </c>
      <c r="D130" s="15">
        <v>172.8</v>
      </c>
    </row>
    <row r="131" spans="1:4">
      <c r="A131" s="13">
        <v>36739</v>
      </c>
      <c r="B131" s="15">
        <v>30.2</v>
      </c>
      <c r="C131" s="15">
        <v>92.597200000000001</v>
      </c>
      <c r="D131" s="15">
        <v>172.8</v>
      </c>
    </row>
    <row r="132" spans="1:4">
      <c r="A132" s="13">
        <v>36770</v>
      </c>
      <c r="B132" s="15">
        <v>33.14</v>
      </c>
      <c r="C132" s="15">
        <v>92.965299999999999</v>
      </c>
      <c r="D132" s="15">
        <v>173.7</v>
      </c>
    </row>
    <row r="133" spans="1:4">
      <c r="A133" s="13">
        <v>36800</v>
      </c>
      <c r="B133" s="15">
        <v>30.96</v>
      </c>
      <c r="C133" s="15">
        <v>92.641800000000003</v>
      </c>
      <c r="D133" s="15">
        <v>174</v>
      </c>
    </row>
    <row r="134" spans="1:4">
      <c r="A134" s="13">
        <v>36831</v>
      </c>
      <c r="B134" s="15">
        <v>32.549999999999997</v>
      </c>
      <c r="C134" s="15">
        <v>92.661799999999999</v>
      </c>
      <c r="D134" s="15">
        <v>174.1</v>
      </c>
    </row>
    <row r="135" spans="1:4">
      <c r="A135" s="13">
        <v>36861</v>
      </c>
      <c r="B135" s="15">
        <v>25.66</v>
      </c>
      <c r="C135" s="15">
        <v>92.3459</v>
      </c>
      <c r="D135" s="15">
        <v>174</v>
      </c>
    </row>
    <row r="136" spans="1:4">
      <c r="A136" s="13">
        <v>36892</v>
      </c>
      <c r="B136" s="15">
        <v>25.62</v>
      </c>
      <c r="C136" s="15">
        <v>91.890299999999996</v>
      </c>
      <c r="D136" s="15">
        <v>175.1</v>
      </c>
    </row>
    <row r="137" spans="1:4">
      <c r="A137" s="13">
        <v>36923</v>
      </c>
      <c r="B137" s="15">
        <v>27.5</v>
      </c>
      <c r="C137" s="15">
        <v>91.291499999999999</v>
      </c>
      <c r="D137" s="15">
        <v>175.8</v>
      </c>
    </row>
    <row r="138" spans="1:4">
      <c r="A138" s="13">
        <v>36951</v>
      </c>
      <c r="B138" s="15">
        <v>24.5</v>
      </c>
      <c r="C138" s="15">
        <v>91.052599999999998</v>
      </c>
      <c r="D138" s="15">
        <v>176.2</v>
      </c>
    </row>
    <row r="139" spans="1:4">
      <c r="A139" s="13">
        <v>36982</v>
      </c>
      <c r="B139" s="15">
        <v>25.66</v>
      </c>
      <c r="C139" s="15">
        <v>90.729299999999995</v>
      </c>
      <c r="D139" s="15">
        <v>176.9</v>
      </c>
    </row>
    <row r="140" spans="1:4">
      <c r="A140" s="13">
        <v>37012</v>
      </c>
      <c r="B140" s="15">
        <v>28.31</v>
      </c>
      <c r="C140" s="15">
        <v>90.2577</v>
      </c>
      <c r="D140" s="15">
        <v>177.7</v>
      </c>
    </row>
    <row r="141" spans="1:4">
      <c r="A141" s="13">
        <v>37043</v>
      </c>
      <c r="B141" s="15">
        <v>27.85</v>
      </c>
      <c r="C141" s="15">
        <v>89.767700000000005</v>
      </c>
      <c r="D141" s="15">
        <v>178</v>
      </c>
    </row>
    <row r="142" spans="1:4">
      <c r="A142" s="13">
        <v>37073</v>
      </c>
      <c r="B142" s="15">
        <v>24.61</v>
      </c>
      <c r="C142" s="15">
        <v>89.225999999999999</v>
      </c>
      <c r="D142" s="15">
        <v>177.5</v>
      </c>
    </row>
    <row r="143" spans="1:4">
      <c r="A143" s="13">
        <v>37104</v>
      </c>
      <c r="B143" s="15">
        <v>25.68</v>
      </c>
      <c r="C143" s="15">
        <v>89.132599999999996</v>
      </c>
      <c r="D143" s="15">
        <v>177.5</v>
      </c>
    </row>
    <row r="144" spans="1:4">
      <c r="A144" s="13">
        <v>37135</v>
      </c>
      <c r="B144" s="15">
        <v>25.62</v>
      </c>
      <c r="C144" s="15">
        <v>88.667900000000003</v>
      </c>
      <c r="D144" s="15">
        <v>178.3</v>
      </c>
    </row>
    <row r="145" spans="1:4">
      <c r="A145" s="13">
        <v>37165</v>
      </c>
      <c r="B145" s="15">
        <v>20.54</v>
      </c>
      <c r="C145" s="15">
        <v>88.392600000000002</v>
      </c>
      <c r="D145" s="15">
        <v>177.7</v>
      </c>
    </row>
    <row r="146" spans="1:4">
      <c r="A146" s="13">
        <v>37196</v>
      </c>
      <c r="B146" s="15">
        <v>18.8</v>
      </c>
      <c r="C146" s="15">
        <v>87.877399999999994</v>
      </c>
      <c r="D146" s="15">
        <v>177.4</v>
      </c>
    </row>
    <row r="147" spans="1:4">
      <c r="A147" s="13">
        <v>37226</v>
      </c>
      <c r="B147" s="15">
        <v>18.71</v>
      </c>
      <c r="C147" s="15">
        <v>87.834400000000002</v>
      </c>
      <c r="D147" s="15">
        <v>176.7</v>
      </c>
    </row>
    <row r="148" spans="1:4">
      <c r="A148" s="13">
        <v>37257</v>
      </c>
      <c r="B148" s="15">
        <v>19.420000000000002</v>
      </c>
      <c r="C148" s="15">
        <v>88.466499999999996</v>
      </c>
      <c r="D148" s="15">
        <v>177.1</v>
      </c>
    </row>
    <row r="149" spans="1:4">
      <c r="A149" s="13">
        <v>37288</v>
      </c>
      <c r="B149" s="15">
        <v>20.28</v>
      </c>
      <c r="C149" s="15">
        <v>88.466099999999997</v>
      </c>
      <c r="D149" s="15">
        <v>177.8</v>
      </c>
    </row>
    <row r="150" spans="1:4">
      <c r="A150" s="13">
        <v>37316</v>
      </c>
      <c r="B150" s="15">
        <v>23.7</v>
      </c>
      <c r="C150" s="15">
        <v>89.122799999999998</v>
      </c>
      <c r="D150" s="15">
        <v>178.8</v>
      </c>
    </row>
    <row r="151" spans="1:4">
      <c r="A151" s="13">
        <v>37347</v>
      </c>
      <c r="B151" s="15">
        <v>25.73</v>
      </c>
      <c r="C151" s="15">
        <v>89.553200000000004</v>
      </c>
      <c r="D151" s="15">
        <v>179.8</v>
      </c>
    </row>
    <row r="152" spans="1:4">
      <c r="A152" s="13">
        <v>37377</v>
      </c>
      <c r="B152" s="15">
        <v>25.35</v>
      </c>
      <c r="C152" s="15">
        <v>89.933999999999997</v>
      </c>
      <c r="D152" s="15">
        <v>179.8</v>
      </c>
    </row>
    <row r="153" spans="1:4">
      <c r="A153" s="13">
        <v>37408</v>
      </c>
      <c r="B153" s="15">
        <v>24.08</v>
      </c>
      <c r="C153" s="15">
        <v>90.676900000000003</v>
      </c>
      <c r="D153" s="15">
        <v>179.9</v>
      </c>
    </row>
    <row r="154" spans="1:4">
      <c r="A154" s="13">
        <v>37438</v>
      </c>
      <c r="B154" s="15">
        <v>25.74</v>
      </c>
      <c r="C154" s="15">
        <v>90.645499999999998</v>
      </c>
      <c r="D154" s="15">
        <v>180.1</v>
      </c>
    </row>
    <row r="155" spans="1:4">
      <c r="A155" s="13">
        <v>37469</v>
      </c>
      <c r="B155" s="15">
        <v>26.65</v>
      </c>
      <c r="C155" s="15">
        <v>90.547499999999999</v>
      </c>
      <c r="D155" s="15">
        <v>180.7</v>
      </c>
    </row>
    <row r="156" spans="1:4">
      <c r="A156" s="13">
        <v>37500</v>
      </c>
      <c r="B156" s="15">
        <v>28.4</v>
      </c>
      <c r="C156" s="15">
        <v>90.638099999999994</v>
      </c>
      <c r="D156" s="15">
        <v>181</v>
      </c>
    </row>
    <row r="157" spans="1:4">
      <c r="A157" s="13">
        <v>37530</v>
      </c>
      <c r="B157" s="15">
        <v>27.54</v>
      </c>
      <c r="C157" s="15">
        <v>90.4041</v>
      </c>
      <c r="D157" s="15">
        <v>181.3</v>
      </c>
    </row>
    <row r="158" spans="1:4">
      <c r="A158" s="13">
        <v>37561</v>
      </c>
      <c r="B158" s="15">
        <v>24.34</v>
      </c>
      <c r="C158" s="15">
        <v>90.898499999999999</v>
      </c>
      <c r="D158" s="15">
        <v>181.3</v>
      </c>
    </row>
    <row r="159" spans="1:4">
      <c r="A159" s="13">
        <v>37591</v>
      </c>
      <c r="B159" s="15">
        <v>28.33</v>
      </c>
      <c r="C159" s="15">
        <v>90.388999999999996</v>
      </c>
      <c r="D159" s="15">
        <v>180.9</v>
      </c>
    </row>
    <row r="160" spans="1:4">
      <c r="A160" s="13">
        <v>37622</v>
      </c>
      <c r="B160" s="15">
        <v>31.18</v>
      </c>
      <c r="C160" s="15">
        <v>91.135499999999993</v>
      </c>
      <c r="D160" s="15">
        <v>181.7</v>
      </c>
    </row>
    <row r="161" spans="1:4">
      <c r="A161" s="13">
        <v>37653</v>
      </c>
      <c r="B161" s="15">
        <v>32.770000000000003</v>
      </c>
      <c r="C161" s="15">
        <v>91.250200000000007</v>
      </c>
      <c r="D161" s="15">
        <v>183.1</v>
      </c>
    </row>
    <row r="162" spans="1:4">
      <c r="A162" s="13">
        <v>37681</v>
      </c>
      <c r="B162" s="15">
        <v>30.61</v>
      </c>
      <c r="C162" s="15">
        <v>91.005899999999997</v>
      </c>
      <c r="D162" s="15">
        <v>184.2</v>
      </c>
    </row>
    <row r="163" spans="1:4">
      <c r="A163" s="13">
        <v>37712</v>
      </c>
      <c r="B163" s="15">
        <v>25</v>
      </c>
      <c r="C163" s="15">
        <v>90.428100000000001</v>
      </c>
      <c r="D163" s="15">
        <v>183.8</v>
      </c>
    </row>
    <row r="164" spans="1:4">
      <c r="A164" s="13">
        <v>37742</v>
      </c>
      <c r="B164" s="15">
        <v>25.86</v>
      </c>
      <c r="C164" s="15">
        <v>90.407300000000006</v>
      </c>
      <c r="D164" s="15">
        <v>183.5</v>
      </c>
    </row>
    <row r="165" spans="1:4">
      <c r="A165" s="13">
        <v>37773</v>
      </c>
      <c r="B165" s="15">
        <v>27.65</v>
      </c>
      <c r="C165" s="15">
        <v>90.521799999999999</v>
      </c>
      <c r="D165" s="15">
        <v>183.7</v>
      </c>
    </row>
    <row r="166" spans="1:4">
      <c r="A166" s="13">
        <v>37803</v>
      </c>
      <c r="B166" s="15">
        <v>28.35</v>
      </c>
      <c r="C166" s="15">
        <v>90.989599999999996</v>
      </c>
      <c r="D166" s="15">
        <v>183.9</v>
      </c>
    </row>
    <row r="167" spans="1:4">
      <c r="A167" s="13">
        <v>37834</v>
      </c>
      <c r="B167" s="15">
        <v>29.89</v>
      </c>
      <c r="C167" s="15">
        <v>90.785799999999995</v>
      </c>
      <c r="D167" s="15">
        <v>184.6</v>
      </c>
    </row>
    <row r="168" spans="1:4">
      <c r="A168" s="13">
        <v>37865</v>
      </c>
      <c r="B168" s="15">
        <v>27.11</v>
      </c>
      <c r="C168" s="15">
        <v>91.382900000000006</v>
      </c>
      <c r="D168" s="15">
        <v>185.2</v>
      </c>
    </row>
    <row r="169" spans="1:4">
      <c r="A169" s="13">
        <v>37895</v>
      </c>
      <c r="B169" s="15">
        <v>29.61</v>
      </c>
      <c r="C169" s="15">
        <v>91.500500000000002</v>
      </c>
      <c r="D169" s="15">
        <v>185</v>
      </c>
    </row>
    <row r="170" spans="1:4">
      <c r="A170" s="13">
        <v>37926</v>
      </c>
      <c r="B170" s="15">
        <v>28.75</v>
      </c>
      <c r="C170" s="15">
        <v>92.126499999999993</v>
      </c>
      <c r="D170" s="15">
        <v>184.5</v>
      </c>
    </row>
    <row r="171" spans="1:4">
      <c r="A171" s="13">
        <v>37956</v>
      </c>
      <c r="B171" s="15">
        <v>29.81</v>
      </c>
      <c r="C171" s="15">
        <v>92.172200000000004</v>
      </c>
      <c r="D171" s="15">
        <v>184.3</v>
      </c>
    </row>
    <row r="172" spans="1:4">
      <c r="A172" s="13">
        <v>37987</v>
      </c>
      <c r="B172" s="15">
        <v>31.28</v>
      </c>
      <c r="C172" s="15">
        <v>92.326999999999998</v>
      </c>
      <c r="D172" s="15">
        <v>185.2</v>
      </c>
    </row>
    <row r="173" spans="1:4">
      <c r="A173" s="13">
        <v>38018</v>
      </c>
      <c r="B173" s="15">
        <v>30.86</v>
      </c>
      <c r="C173" s="15">
        <v>92.887299999999996</v>
      </c>
      <c r="D173" s="15">
        <v>186.2</v>
      </c>
    </row>
    <row r="174" spans="1:4">
      <c r="A174" s="13">
        <v>38047</v>
      </c>
      <c r="B174" s="15">
        <v>33.630000000000003</v>
      </c>
      <c r="C174" s="15">
        <v>92.532499999999999</v>
      </c>
      <c r="D174" s="15">
        <v>187.4</v>
      </c>
    </row>
    <row r="175" spans="1:4">
      <c r="A175" s="13">
        <v>38078</v>
      </c>
      <c r="B175" s="15">
        <v>33.590000000000003</v>
      </c>
      <c r="C175" s="15">
        <v>92.909599999999998</v>
      </c>
      <c r="D175" s="15">
        <v>188</v>
      </c>
    </row>
    <row r="176" spans="1:4">
      <c r="A176" s="13">
        <v>38108</v>
      </c>
      <c r="B176" s="15">
        <v>37.57</v>
      </c>
      <c r="C176" s="15">
        <v>93.583799999999997</v>
      </c>
      <c r="D176" s="15">
        <v>189.1</v>
      </c>
    </row>
    <row r="177" spans="1:4">
      <c r="A177" s="13">
        <v>38139</v>
      </c>
      <c r="B177" s="15">
        <v>35.18</v>
      </c>
      <c r="C177" s="15">
        <v>92.862099999999998</v>
      </c>
      <c r="D177" s="15">
        <v>189.7</v>
      </c>
    </row>
    <row r="178" spans="1:4">
      <c r="A178" s="13">
        <v>38169</v>
      </c>
      <c r="B178" s="15">
        <v>38.22</v>
      </c>
      <c r="C178" s="15">
        <v>93.551100000000005</v>
      </c>
      <c r="D178" s="15">
        <v>189.4</v>
      </c>
    </row>
    <row r="179" spans="1:4">
      <c r="A179" s="13">
        <v>38200</v>
      </c>
      <c r="B179" s="15">
        <v>42.74</v>
      </c>
      <c r="C179" s="15">
        <v>93.632800000000003</v>
      </c>
      <c r="D179" s="15">
        <v>189.5</v>
      </c>
    </row>
    <row r="180" spans="1:4">
      <c r="A180" s="13">
        <v>38231</v>
      </c>
      <c r="B180" s="15">
        <v>43.2</v>
      </c>
      <c r="C180" s="15">
        <v>93.741799999999998</v>
      </c>
      <c r="D180" s="15">
        <v>189.9</v>
      </c>
    </row>
    <row r="181" spans="1:4">
      <c r="A181" s="13">
        <v>38261</v>
      </c>
      <c r="B181" s="15">
        <v>49.78</v>
      </c>
      <c r="C181" s="15">
        <v>94.567099999999996</v>
      </c>
      <c r="D181" s="15">
        <v>190.9</v>
      </c>
    </row>
    <row r="182" spans="1:4">
      <c r="A182" s="13">
        <v>38292</v>
      </c>
      <c r="B182" s="15">
        <v>43.11</v>
      </c>
      <c r="C182" s="15">
        <v>94.8</v>
      </c>
      <c r="D182" s="15">
        <v>191</v>
      </c>
    </row>
    <row r="183" spans="1:4">
      <c r="A183" s="13">
        <v>38322</v>
      </c>
      <c r="B183" s="15">
        <v>39.6</v>
      </c>
      <c r="C183" s="15">
        <v>95.542599999999993</v>
      </c>
      <c r="D183" s="15">
        <v>190.3</v>
      </c>
    </row>
    <row r="184" spans="1:4">
      <c r="A184" s="13">
        <v>38353</v>
      </c>
      <c r="B184" s="15">
        <v>44.51</v>
      </c>
      <c r="C184" s="15">
        <v>95.883099999999999</v>
      </c>
      <c r="D184" s="15">
        <v>190.7</v>
      </c>
    </row>
    <row r="185" spans="1:4">
      <c r="A185" s="13">
        <v>38384</v>
      </c>
      <c r="B185" s="15">
        <v>45.48</v>
      </c>
      <c r="C185" s="15">
        <v>96.561599999999999</v>
      </c>
      <c r="D185" s="15">
        <v>191.8</v>
      </c>
    </row>
    <row r="186" spans="1:4">
      <c r="A186" s="13">
        <v>38412</v>
      </c>
      <c r="B186" s="15">
        <v>53.1</v>
      </c>
      <c r="C186" s="15">
        <v>96.437100000000001</v>
      </c>
      <c r="D186" s="15">
        <v>193.3</v>
      </c>
    </row>
    <row r="187" spans="1:4">
      <c r="A187" s="13">
        <v>38443</v>
      </c>
      <c r="B187" s="15">
        <v>51.88</v>
      </c>
      <c r="C187" s="15">
        <v>96.628</v>
      </c>
      <c r="D187" s="15">
        <v>194.6</v>
      </c>
    </row>
    <row r="188" spans="1:4">
      <c r="A188" s="13">
        <v>38473</v>
      </c>
      <c r="B188" s="15">
        <v>48.65</v>
      </c>
      <c r="C188" s="15">
        <v>96.730599999999995</v>
      </c>
      <c r="D188" s="15">
        <v>194.4</v>
      </c>
    </row>
    <row r="189" spans="1:4">
      <c r="A189" s="13">
        <v>38504</v>
      </c>
      <c r="B189" s="15">
        <v>54.35</v>
      </c>
      <c r="C189" s="15">
        <v>97.148799999999994</v>
      </c>
      <c r="D189" s="15">
        <v>194.5</v>
      </c>
    </row>
    <row r="190" spans="1:4">
      <c r="A190" s="13">
        <v>38534</v>
      </c>
      <c r="B190" s="15">
        <v>57.52</v>
      </c>
      <c r="C190" s="15">
        <v>96.838300000000004</v>
      </c>
      <c r="D190" s="15">
        <v>195.4</v>
      </c>
    </row>
    <row r="191" spans="1:4">
      <c r="A191" s="13">
        <v>38565</v>
      </c>
      <c r="B191" s="15">
        <v>63.98</v>
      </c>
      <c r="C191" s="15">
        <v>97.160300000000007</v>
      </c>
      <c r="D191" s="15">
        <v>196.4</v>
      </c>
    </row>
    <row r="192" spans="1:4">
      <c r="A192" s="13">
        <v>38596</v>
      </c>
      <c r="B192" s="15">
        <v>62.91</v>
      </c>
      <c r="C192" s="15">
        <v>95.272900000000007</v>
      </c>
      <c r="D192" s="15">
        <v>198.8</v>
      </c>
    </row>
    <row r="193" spans="1:4">
      <c r="A193" s="13">
        <v>38626</v>
      </c>
      <c r="B193" s="15">
        <v>58.54</v>
      </c>
      <c r="C193" s="15">
        <v>96.438299999999998</v>
      </c>
      <c r="D193" s="15">
        <v>199.2</v>
      </c>
    </row>
    <row r="194" spans="1:4">
      <c r="A194" s="13">
        <v>38657</v>
      </c>
      <c r="B194" s="15">
        <v>55.24</v>
      </c>
      <c r="C194" s="15">
        <v>97.495099999999994</v>
      </c>
      <c r="D194" s="15">
        <v>197.6</v>
      </c>
    </row>
    <row r="195" spans="1:4">
      <c r="A195" s="13">
        <v>38687</v>
      </c>
      <c r="B195" s="15">
        <v>56.86</v>
      </c>
      <c r="C195" s="15">
        <v>97.978800000000007</v>
      </c>
      <c r="D195" s="15">
        <v>196.8</v>
      </c>
    </row>
    <row r="196" spans="1:4">
      <c r="A196" s="13">
        <v>38718</v>
      </c>
      <c r="B196" s="15">
        <v>62.99</v>
      </c>
      <c r="C196" s="15">
        <v>98.130499999999998</v>
      </c>
      <c r="D196" s="15">
        <v>198.3</v>
      </c>
    </row>
    <row r="197" spans="1:4">
      <c r="A197" s="13">
        <v>38749</v>
      </c>
      <c r="B197" s="15">
        <v>60.21</v>
      </c>
      <c r="C197" s="15">
        <v>98.177899999999994</v>
      </c>
      <c r="D197" s="15">
        <v>198.7</v>
      </c>
    </row>
    <row r="198" spans="1:4">
      <c r="A198" s="13">
        <v>38777</v>
      </c>
      <c r="B198" s="15">
        <v>62.06</v>
      </c>
      <c r="C198" s="15">
        <v>98.389799999999994</v>
      </c>
      <c r="D198" s="15">
        <v>199.8</v>
      </c>
    </row>
    <row r="199" spans="1:4">
      <c r="A199" s="13">
        <v>38808</v>
      </c>
      <c r="B199" s="15">
        <v>70.260000000000005</v>
      </c>
      <c r="C199" s="15">
        <v>98.676900000000003</v>
      </c>
      <c r="D199" s="15">
        <v>201.5</v>
      </c>
    </row>
    <row r="200" spans="1:4">
      <c r="A200" s="13">
        <v>38838</v>
      </c>
      <c r="B200" s="15">
        <v>69.78</v>
      </c>
      <c r="C200" s="15">
        <v>98.705200000000005</v>
      </c>
      <c r="D200" s="15">
        <v>202.5</v>
      </c>
    </row>
    <row r="201" spans="1:4">
      <c r="A201" s="13">
        <v>38869</v>
      </c>
      <c r="B201" s="15">
        <v>68.56</v>
      </c>
      <c r="C201" s="15">
        <v>99.042699999999996</v>
      </c>
      <c r="D201" s="15">
        <v>202.9</v>
      </c>
    </row>
    <row r="202" spans="1:4">
      <c r="A202" s="13">
        <v>38899</v>
      </c>
      <c r="B202" s="15">
        <v>73.67</v>
      </c>
      <c r="C202" s="15">
        <v>98.980400000000003</v>
      </c>
      <c r="D202" s="15">
        <v>203.5</v>
      </c>
    </row>
    <row r="203" spans="1:4">
      <c r="A203" s="13">
        <v>38930</v>
      </c>
      <c r="B203" s="15">
        <v>73.23</v>
      </c>
      <c r="C203" s="15">
        <v>99.410600000000002</v>
      </c>
      <c r="D203" s="15">
        <v>203.9</v>
      </c>
    </row>
    <row r="204" spans="1:4">
      <c r="A204" s="13">
        <v>38961</v>
      </c>
      <c r="B204" s="15">
        <v>61.96</v>
      </c>
      <c r="C204" s="15">
        <v>99.220699999999994</v>
      </c>
      <c r="D204" s="15">
        <v>202.9</v>
      </c>
    </row>
    <row r="205" spans="1:4">
      <c r="A205" s="13">
        <v>38991</v>
      </c>
      <c r="B205" s="15">
        <v>57.81</v>
      </c>
      <c r="C205" s="15">
        <v>99.125299999999996</v>
      </c>
      <c r="D205" s="15">
        <v>201.8</v>
      </c>
    </row>
    <row r="206" spans="1:4">
      <c r="A206" s="13">
        <v>39022</v>
      </c>
      <c r="B206" s="15">
        <v>58.76</v>
      </c>
      <c r="C206" s="15">
        <v>99.096900000000005</v>
      </c>
      <c r="D206" s="15">
        <v>201.5</v>
      </c>
    </row>
    <row r="207" spans="1:4">
      <c r="A207" s="13">
        <v>39052</v>
      </c>
      <c r="B207" s="15">
        <v>62.47</v>
      </c>
      <c r="C207" s="15">
        <v>100.1122</v>
      </c>
      <c r="D207" s="15">
        <v>201.8</v>
      </c>
    </row>
    <row r="208" spans="1:4">
      <c r="A208" s="13">
        <v>39083</v>
      </c>
      <c r="B208" s="15">
        <v>53.68</v>
      </c>
      <c r="C208" s="15">
        <v>99.757099999999994</v>
      </c>
      <c r="D208" s="15">
        <v>202.416</v>
      </c>
    </row>
    <row r="209" spans="1:4">
      <c r="A209" s="13">
        <v>39114</v>
      </c>
      <c r="B209" s="15">
        <v>57.56</v>
      </c>
      <c r="C209" s="15">
        <v>100.72750000000001</v>
      </c>
      <c r="D209" s="15">
        <v>203.499</v>
      </c>
    </row>
    <row r="210" spans="1:4">
      <c r="A210" s="13">
        <v>39142</v>
      </c>
      <c r="B210" s="15">
        <v>62.05</v>
      </c>
      <c r="C210" s="15">
        <v>100.9023</v>
      </c>
      <c r="D210" s="15">
        <v>205.352</v>
      </c>
    </row>
    <row r="211" spans="1:4">
      <c r="A211" s="13">
        <v>39173</v>
      </c>
      <c r="B211" s="15">
        <v>67.489999999999995</v>
      </c>
      <c r="C211" s="15">
        <v>101.5874</v>
      </c>
      <c r="D211" s="15">
        <v>206.68600000000001</v>
      </c>
    </row>
    <row r="212" spans="1:4">
      <c r="A212" s="13">
        <v>39203</v>
      </c>
      <c r="B212" s="15">
        <v>67.209999999999994</v>
      </c>
      <c r="C212" s="15">
        <v>101.62990000000001</v>
      </c>
      <c r="D212" s="15">
        <v>207.94900000000001</v>
      </c>
    </row>
    <row r="213" spans="1:4">
      <c r="A213" s="13">
        <v>39234</v>
      </c>
      <c r="B213" s="15">
        <v>71.05</v>
      </c>
      <c r="C213" s="15">
        <v>101.6482</v>
      </c>
      <c r="D213" s="15">
        <v>208.352</v>
      </c>
    </row>
    <row r="214" spans="1:4">
      <c r="A214" s="13">
        <v>39264</v>
      </c>
      <c r="B214" s="15">
        <v>76.930000000000007</v>
      </c>
      <c r="C214" s="15">
        <v>101.49250000000001</v>
      </c>
      <c r="D214" s="15">
        <v>208.29900000000001</v>
      </c>
    </row>
    <row r="215" spans="1:4">
      <c r="A215" s="13">
        <v>39295</v>
      </c>
      <c r="B215" s="15">
        <v>70.760000000000005</v>
      </c>
      <c r="C215" s="15">
        <v>101.6874</v>
      </c>
      <c r="D215" s="15">
        <v>207.917</v>
      </c>
    </row>
    <row r="216" spans="1:4">
      <c r="A216" s="13">
        <v>39326</v>
      </c>
      <c r="B216" s="15">
        <v>77.17</v>
      </c>
      <c r="C216" s="15">
        <v>101.93980000000001</v>
      </c>
      <c r="D216" s="15">
        <v>208.49</v>
      </c>
    </row>
    <row r="217" spans="1:4">
      <c r="A217" s="13">
        <v>39356</v>
      </c>
      <c r="B217" s="15">
        <v>82.34</v>
      </c>
      <c r="C217" s="15">
        <v>101.6345</v>
      </c>
      <c r="D217" s="15">
        <v>208.93600000000001</v>
      </c>
    </row>
    <row r="218" spans="1:4">
      <c r="A218" s="13">
        <v>39387</v>
      </c>
      <c r="B218" s="15">
        <v>92.41</v>
      </c>
      <c r="C218" s="15">
        <v>102.2068</v>
      </c>
      <c r="D218" s="15">
        <v>210.17699999999999</v>
      </c>
    </row>
    <row r="219" spans="1:4">
      <c r="A219" s="13">
        <v>39417</v>
      </c>
      <c r="B219" s="15">
        <v>90.93</v>
      </c>
      <c r="C219" s="15">
        <v>102.2604</v>
      </c>
      <c r="D219" s="15">
        <v>210.036</v>
      </c>
    </row>
    <row r="220" spans="1:4">
      <c r="A220" s="13">
        <v>39448</v>
      </c>
      <c r="B220" s="15">
        <v>92.18</v>
      </c>
      <c r="C220" s="15">
        <v>102.14</v>
      </c>
      <c r="D220" s="15">
        <v>211.08</v>
      </c>
    </row>
    <row r="221" spans="1:4">
      <c r="A221" s="13">
        <v>39479</v>
      </c>
      <c r="B221" s="15">
        <v>94.99</v>
      </c>
      <c r="C221" s="15">
        <v>101.7671</v>
      </c>
      <c r="D221" s="15">
        <v>211.69300000000001</v>
      </c>
    </row>
    <row r="222" spans="1:4">
      <c r="A222" s="13">
        <v>39508</v>
      </c>
      <c r="B222" s="15">
        <v>103.64</v>
      </c>
      <c r="C222" s="15">
        <v>101.4355</v>
      </c>
      <c r="D222" s="15">
        <v>213.52799999999999</v>
      </c>
    </row>
    <row r="223" spans="1:4">
      <c r="A223" s="13">
        <v>39539</v>
      </c>
      <c r="B223" s="15">
        <v>109.07</v>
      </c>
      <c r="C223" s="15">
        <v>100.7424</v>
      </c>
      <c r="D223" s="15">
        <v>214.82300000000001</v>
      </c>
    </row>
    <row r="224" spans="1:4">
      <c r="A224" s="13">
        <v>39569</v>
      </c>
      <c r="B224" s="15">
        <v>122.8</v>
      </c>
      <c r="C224" s="15">
        <v>100.13200000000001</v>
      </c>
      <c r="D224" s="15">
        <v>216.63200000000001</v>
      </c>
    </row>
    <row r="225" spans="1:4">
      <c r="A225" s="13">
        <v>39600</v>
      </c>
      <c r="B225" s="15">
        <v>132.32</v>
      </c>
      <c r="C225" s="15">
        <v>99.865099999999998</v>
      </c>
      <c r="D225" s="15">
        <v>218.815</v>
      </c>
    </row>
    <row r="226" spans="1:4">
      <c r="A226" s="13">
        <v>39630</v>
      </c>
      <c r="B226" s="15">
        <v>132.72</v>
      </c>
      <c r="C226" s="15">
        <v>99.421400000000006</v>
      </c>
      <c r="D226" s="15">
        <v>219.964</v>
      </c>
    </row>
    <row r="227" spans="1:4">
      <c r="A227" s="13">
        <v>39661</v>
      </c>
      <c r="B227" s="15">
        <v>113.24</v>
      </c>
      <c r="C227" s="15">
        <v>97.844800000000006</v>
      </c>
      <c r="D227" s="15">
        <v>219.08600000000001</v>
      </c>
    </row>
    <row r="228" spans="1:4">
      <c r="A228" s="13">
        <v>39692</v>
      </c>
      <c r="B228" s="15">
        <v>97.23</v>
      </c>
      <c r="C228" s="15">
        <v>93.558999999999997</v>
      </c>
      <c r="D228" s="15">
        <v>218.78299999999999</v>
      </c>
    </row>
    <row r="229" spans="1:4">
      <c r="A229" s="13">
        <v>39722</v>
      </c>
      <c r="B229" s="15">
        <v>71.58</v>
      </c>
      <c r="C229" s="15">
        <v>94.495599999999996</v>
      </c>
      <c r="D229" s="15">
        <v>216.57300000000001</v>
      </c>
    </row>
    <row r="230" spans="1:4">
      <c r="A230" s="13">
        <v>39753</v>
      </c>
      <c r="B230" s="15">
        <v>52.45</v>
      </c>
      <c r="C230" s="15">
        <v>93.268900000000002</v>
      </c>
      <c r="D230" s="15">
        <v>212.42500000000001</v>
      </c>
    </row>
    <row r="231" spans="1:4">
      <c r="A231" s="13">
        <v>39783</v>
      </c>
      <c r="B231" s="15">
        <v>39.950000000000003</v>
      </c>
      <c r="C231" s="15">
        <v>90.628</v>
      </c>
      <c r="D231" s="15">
        <v>210.22800000000001</v>
      </c>
    </row>
    <row r="232" spans="1:4">
      <c r="A232" s="13">
        <v>39814</v>
      </c>
      <c r="B232" s="15">
        <v>43.44</v>
      </c>
      <c r="C232" s="15">
        <v>88.381100000000004</v>
      </c>
      <c r="D232" s="15">
        <v>211.143</v>
      </c>
    </row>
    <row r="233" spans="1:4">
      <c r="A233" s="13">
        <v>39845</v>
      </c>
      <c r="B233" s="15">
        <v>43.32</v>
      </c>
      <c r="C233" s="15">
        <v>87.841200000000001</v>
      </c>
      <c r="D233" s="15">
        <v>212.19300000000001</v>
      </c>
    </row>
    <row r="234" spans="1:4">
      <c r="A234" s="13">
        <v>39873</v>
      </c>
      <c r="B234" s="15">
        <v>46.54</v>
      </c>
      <c r="C234" s="15">
        <v>86.479399999999998</v>
      </c>
      <c r="D234" s="15">
        <v>212.709</v>
      </c>
    </row>
    <row r="235" spans="1:4">
      <c r="A235" s="13">
        <v>39904</v>
      </c>
      <c r="B235" s="15">
        <v>50.18</v>
      </c>
      <c r="C235" s="15">
        <v>85.788300000000007</v>
      </c>
      <c r="D235" s="15">
        <v>213.24</v>
      </c>
    </row>
    <row r="236" spans="1:4">
      <c r="A236" s="13">
        <v>39934</v>
      </c>
      <c r="B236" s="15">
        <v>57.3</v>
      </c>
      <c r="C236" s="15">
        <v>84.951599999999999</v>
      </c>
      <c r="D236" s="15">
        <v>213.85599999999999</v>
      </c>
    </row>
    <row r="237" spans="1:4">
      <c r="A237" s="13">
        <v>39965</v>
      </c>
      <c r="B237" s="15">
        <v>68.61</v>
      </c>
      <c r="C237" s="15">
        <v>84.692800000000005</v>
      </c>
      <c r="D237" s="15">
        <v>215.69300000000001</v>
      </c>
    </row>
    <row r="238" spans="1:4">
      <c r="A238" s="13">
        <v>39995</v>
      </c>
      <c r="B238" s="15">
        <v>64.44</v>
      </c>
      <c r="C238" s="15">
        <v>85.704400000000007</v>
      </c>
      <c r="D238" s="15">
        <v>215.351</v>
      </c>
    </row>
    <row r="239" spans="1:4">
      <c r="A239" s="13">
        <v>40026</v>
      </c>
      <c r="B239" s="15">
        <v>72.510000000000005</v>
      </c>
      <c r="C239" s="15">
        <v>86.661699999999996</v>
      </c>
      <c r="D239" s="15">
        <v>215.834</v>
      </c>
    </row>
    <row r="240" spans="1:4">
      <c r="A240" s="13">
        <v>40057</v>
      </c>
      <c r="B240" s="15">
        <v>67.650000000000006</v>
      </c>
      <c r="C240" s="15">
        <v>87.403300000000002</v>
      </c>
      <c r="D240" s="15">
        <v>215.96899999999999</v>
      </c>
    </row>
    <row r="241" spans="1:4">
      <c r="A241" s="13">
        <v>40087</v>
      </c>
      <c r="B241" s="15">
        <v>72.77</v>
      </c>
      <c r="C241" s="15">
        <v>87.603499999999997</v>
      </c>
      <c r="D241" s="15">
        <v>216.17699999999999</v>
      </c>
    </row>
    <row r="242" spans="1:4">
      <c r="A242" s="13">
        <v>40118</v>
      </c>
      <c r="B242" s="15">
        <v>76.66</v>
      </c>
      <c r="C242" s="15">
        <v>87.9559</v>
      </c>
      <c r="D242" s="15">
        <v>216.33</v>
      </c>
    </row>
    <row r="243" spans="1:4">
      <c r="A243" s="13">
        <v>40148</v>
      </c>
      <c r="B243" s="15">
        <v>74.459999999999994</v>
      </c>
      <c r="C243" s="15">
        <v>88.246799999999993</v>
      </c>
      <c r="D243" s="15">
        <v>215.94900000000001</v>
      </c>
    </row>
    <row r="244" spans="1:4">
      <c r="A244" s="13">
        <v>40179</v>
      </c>
      <c r="B244" s="15">
        <v>76.17</v>
      </c>
      <c r="C244" s="15">
        <v>89.191100000000006</v>
      </c>
      <c r="D244" s="15">
        <v>216.68700000000001</v>
      </c>
    </row>
    <row r="245" spans="1:4">
      <c r="A245" s="13">
        <v>40210</v>
      </c>
      <c r="B245" s="15">
        <v>73.75</v>
      </c>
      <c r="C245" s="15">
        <v>89.497200000000007</v>
      </c>
      <c r="D245" s="15">
        <v>216.74100000000001</v>
      </c>
    </row>
    <row r="246" spans="1:4">
      <c r="A246" s="13">
        <v>40238</v>
      </c>
      <c r="B246" s="15">
        <v>78.83</v>
      </c>
      <c r="C246" s="15">
        <v>90.141900000000007</v>
      </c>
      <c r="D246" s="15">
        <v>217.631</v>
      </c>
    </row>
    <row r="247" spans="1:4">
      <c r="A247" s="13">
        <v>40269</v>
      </c>
      <c r="B247" s="15">
        <v>84.82</v>
      </c>
      <c r="C247" s="15">
        <v>90.459100000000007</v>
      </c>
      <c r="D247" s="15">
        <v>218.00899999999999</v>
      </c>
    </row>
    <row r="248" spans="1:4">
      <c r="A248" s="13">
        <v>40299</v>
      </c>
      <c r="B248" s="15">
        <v>75.95</v>
      </c>
      <c r="C248" s="15">
        <v>91.701999999999998</v>
      </c>
      <c r="D248" s="15">
        <v>218.178</v>
      </c>
    </row>
    <row r="249" spans="1:4">
      <c r="A249" s="13">
        <v>40330</v>
      </c>
      <c r="B249" s="15">
        <v>74.760000000000005</v>
      </c>
      <c r="C249" s="15">
        <v>91.899699999999996</v>
      </c>
      <c r="D249" s="15">
        <v>217.965</v>
      </c>
    </row>
    <row r="250" spans="1:4">
      <c r="A250" s="13">
        <v>40360</v>
      </c>
      <c r="B250" s="15">
        <v>75.58</v>
      </c>
      <c r="C250" s="15">
        <v>92.252200000000002</v>
      </c>
      <c r="D250" s="15">
        <v>218.011</v>
      </c>
    </row>
    <row r="251" spans="1:4">
      <c r="A251" s="13">
        <v>40391</v>
      </c>
      <c r="B251" s="15">
        <v>77.040000000000006</v>
      </c>
      <c r="C251" s="15">
        <v>92.5899</v>
      </c>
      <c r="D251" s="15">
        <v>218.31200000000001</v>
      </c>
    </row>
    <row r="252" spans="1:4">
      <c r="A252" s="13">
        <v>40422</v>
      </c>
      <c r="B252" s="15">
        <v>77.84</v>
      </c>
      <c r="C252" s="15">
        <v>92.856399999999994</v>
      </c>
      <c r="D252" s="15">
        <v>218.43899999999999</v>
      </c>
    </row>
    <row r="253" spans="1:4">
      <c r="A253" s="13">
        <v>40452</v>
      </c>
      <c r="B253" s="15">
        <v>82.67</v>
      </c>
      <c r="C253" s="15">
        <v>92.603700000000003</v>
      </c>
      <c r="D253" s="15">
        <v>218.71100000000001</v>
      </c>
    </row>
    <row r="254" spans="1:4">
      <c r="A254" s="13">
        <v>40483</v>
      </c>
      <c r="B254" s="15">
        <v>85.28</v>
      </c>
      <c r="C254" s="15">
        <v>92.677300000000002</v>
      </c>
      <c r="D254" s="15">
        <v>218.803</v>
      </c>
    </row>
    <row r="255" spans="1:4">
      <c r="A255" s="13">
        <v>40513</v>
      </c>
      <c r="B255" s="15">
        <v>91.45</v>
      </c>
      <c r="C255" s="15">
        <v>93.585099999999997</v>
      </c>
      <c r="D255" s="15">
        <v>219.179</v>
      </c>
    </row>
    <row r="256" spans="1:4">
      <c r="A256" s="13">
        <v>40544</v>
      </c>
      <c r="B256" s="15">
        <v>96.52</v>
      </c>
      <c r="C256" s="15">
        <v>93.394400000000005</v>
      </c>
      <c r="D256" s="15">
        <v>220.22300000000001</v>
      </c>
    </row>
    <row r="257" spans="1:4">
      <c r="A257" s="13">
        <v>40575</v>
      </c>
      <c r="B257" s="15">
        <v>103.72</v>
      </c>
      <c r="C257" s="15">
        <v>92.992999999999995</v>
      </c>
      <c r="D257" s="15">
        <v>221.309</v>
      </c>
    </row>
    <row r="258" spans="1:4">
      <c r="A258" s="13">
        <v>40603</v>
      </c>
      <c r="B258" s="15">
        <v>114.64</v>
      </c>
      <c r="C258" s="15">
        <v>93.981999999999999</v>
      </c>
      <c r="D258" s="15">
        <v>223.46700000000001</v>
      </c>
    </row>
    <row r="259" spans="1:4">
      <c r="A259" s="13">
        <v>40634</v>
      </c>
      <c r="B259" s="15">
        <v>123.26</v>
      </c>
      <c r="C259" s="15">
        <v>93.652500000000003</v>
      </c>
      <c r="D259" s="15">
        <v>224.90600000000001</v>
      </c>
    </row>
    <row r="260" spans="1:4">
      <c r="A260" s="13">
        <v>40664</v>
      </c>
      <c r="B260" s="15">
        <v>114.99</v>
      </c>
      <c r="C260" s="15">
        <v>93.777500000000003</v>
      </c>
      <c r="D260" s="15">
        <v>225.964</v>
      </c>
    </row>
    <row r="261" spans="1:4">
      <c r="A261" s="13">
        <v>40695</v>
      </c>
      <c r="B261" s="15">
        <v>113.83</v>
      </c>
      <c r="C261" s="15">
        <v>94.046700000000001</v>
      </c>
      <c r="D261" s="15">
        <v>225.72200000000001</v>
      </c>
    </row>
    <row r="262" spans="1:4">
      <c r="A262" s="13">
        <v>40725</v>
      </c>
      <c r="B262" s="15">
        <v>116.97</v>
      </c>
      <c r="C262" s="15">
        <v>94.493099999999998</v>
      </c>
      <c r="D262" s="15">
        <v>225.922</v>
      </c>
    </row>
    <row r="263" spans="1:4">
      <c r="A263" s="13">
        <v>40756</v>
      </c>
      <c r="B263" s="15">
        <v>110.22</v>
      </c>
      <c r="C263" s="15">
        <v>95.096900000000005</v>
      </c>
      <c r="D263" s="15">
        <v>226.54499999999999</v>
      </c>
    </row>
    <row r="264" spans="1:4">
      <c r="A264" s="13">
        <v>40787</v>
      </c>
      <c r="B264" s="15">
        <v>112.83</v>
      </c>
      <c r="C264" s="15">
        <v>95.028099999999995</v>
      </c>
      <c r="D264" s="15">
        <v>226.88900000000001</v>
      </c>
    </row>
    <row r="265" spans="1:4">
      <c r="A265" s="13">
        <v>40817</v>
      </c>
      <c r="B265" s="15">
        <v>109.55</v>
      </c>
      <c r="C265" s="15">
        <v>95.692400000000006</v>
      </c>
      <c r="D265" s="15">
        <v>226.42099999999999</v>
      </c>
    </row>
    <row r="266" spans="1:4">
      <c r="A266" s="13">
        <v>40848</v>
      </c>
      <c r="B266" s="15">
        <v>110.77</v>
      </c>
      <c r="C266" s="15">
        <v>95.691299999999998</v>
      </c>
      <c r="D266" s="15">
        <v>226.23</v>
      </c>
    </row>
    <row r="267" spans="1:4">
      <c r="A267" s="13">
        <v>40878</v>
      </c>
      <c r="B267" s="15">
        <v>107.87</v>
      </c>
      <c r="C267" s="15">
        <v>96.193799999999996</v>
      </c>
      <c r="D267" s="15">
        <v>225.672</v>
      </c>
    </row>
    <row r="268" spans="1:4">
      <c r="A268" s="13">
        <v>40909</v>
      </c>
      <c r="B268" s="15">
        <v>110.69</v>
      </c>
      <c r="C268" s="15">
        <v>96.778999999999996</v>
      </c>
      <c r="D268" s="15">
        <v>226.66499999999999</v>
      </c>
    </row>
    <row r="269" spans="1:4">
      <c r="A269" s="13">
        <v>40940</v>
      </c>
      <c r="B269" s="15">
        <v>119.33</v>
      </c>
      <c r="C269" s="15">
        <v>97.0959</v>
      </c>
      <c r="D269" s="15">
        <v>227.66300000000001</v>
      </c>
    </row>
    <row r="270" spans="1:4">
      <c r="A270" s="13">
        <v>40969</v>
      </c>
      <c r="B270" s="15">
        <v>125.45</v>
      </c>
      <c r="C270" s="15">
        <v>96.591899999999995</v>
      </c>
      <c r="D270" s="15">
        <v>229.392</v>
      </c>
    </row>
    <row r="271" spans="1:4">
      <c r="A271" s="13">
        <v>41000</v>
      </c>
      <c r="B271" s="15">
        <v>119.75</v>
      </c>
      <c r="C271" s="15">
        <v>97.294200000000004</v>
      </c>
      <c r="D271" s="15">
        <v>230.08500000000001</v>
      </c>
    </row>
    <row r="272" spans="1:4">
      <c r="A272" s="13">
        <v>41030</v>
      </c>
      <c r="B272" s="15">
        <v>110.34</v>
      </c>
      <c r="C272" s="15">
        <v>97.485299999999995</v>
      </c>
      <c r="D272" s="15">
        <v>229.815</v>
      </c>
    </row>
    <row r="273" spans="1:4">
      <c r="A273" s="13">
        <v>41061</v>
      </c>
      <c r="B273" s="15">
        <v>95.16</v>
      </c>
      <c r="C273" s="15">
        <v>97.495900000000006</v>
      </c>
      <c r="D273" s="15">
        <v>229.47800000000001</v>
      </c>
    </row>
    <row r="274" spans="1:4">
      <c r="A274" s="13">
        <v>41091</v>
      </c>
      <c r="B274" s="15">
        <v>102.62</v>
      </c>
      <c r="C274" s="15">
        <v>97.6922</v>
      </c>
      <c r="D274" s="15">
        <v>229.10400000000001</v>
      </c>
    </row>
    <row r="275" spans="1:4">
      <c r="A275" s="13">
        <v>41122</v>
      </c>
      <c r="B275" s="15">
        <v>113.36</v>
      </c>
      <c r="C275" s="15">
        <v>97.306100000000001</v>
      </c>
      <c r="D275" s="15">
        <v>230.37899999999999</v>
      </c>
    </row>
    <row r="276" spans="1:4">
      <c r="A276" s="13">
        <v>41153</v>
      </c>
      <c r="B276" s="15">
        <v>112.86</v>
      </c>
      <c r="C276" s="15">
        <v>97.238299999999995</v>
      </c>
      <c r="D276" s="15">
        <v>231.40700000000001</v>
      </c>
    </row>
    <row r="277" spans="1:4">
      <c r="A277" s="13">
        <v>41183</v>
      </c>
      <c r="B277" s="15">
        <v>111.71</v>
      </c>
      <c r="C277" s="15">
        <v>97.542500000000004</v>
      </c>
      <c r="D277" s="15">
        <v>231.31700000000001</v>
      </c>
    </row>
    <row r="278" spans="1:4">
      <c r="A278" s="13">
        <v>41214</v>
      </c>
      <c r="B278" s="15">
        <v>109.06</v>
      </c>
      <c r="C278" s="15">
        <v>97.933999999999997</v>
      </c>
      <c r="D278" s="15">
        <v>230.221</v>
      </c>
    </row>
    <row r="279" spans="1:4">
      <c r="A279" s="13">
        <v>41244</v>
      </c>
      <c r="B279" s="15">
        <v>109.49</v>
      </c>
      <c r="C279" s="15">
        <v>98.198400000000007</v>
      </c>
      <c r="D279" s="15">
        <v>229.601</v>
      </c>
    </row>
    <row r="280" spans="1:4">
      <c r="A280" s="13">
        <v>41275</v>
      </c>
      <c r="B280" s="15">
        <v>112.96</v>
      </c>
      <c r="C280" s="15">
        <v>98.2029</v>
      </c>
      <c r="D280" s="15">
        <v>230.28</v>
      </c>
    </row>
    <row r="281" spans="1:4">
      <c r="A281" s="13">
        <v>41306</v>
      </c>
      <c r="B281" s="15">
        <v>116.05</v>
      </c>
      <c r="C281" s="15">
        <v>98.673299999999998</v>
      </c>
      <c r="D281" s="15">
        <v>232.166</v>
      </c>
    </row>
    <row r="282" spans="1:4">
      <c r="A282" s="13">
        <v>41334</v>
      </c>
      <c r="B282" s="15">
        <v>108.47</v>
      </c>
      <c r="C282" s="15">
        <v>99.078800000000001</v>
      </c>
      <c r="D282" s="15">
        <v>232.773</v>
      </c>
    </row>
    <row r="283" spans="1:4">
      <c r="A283" s="13">
        <v>41365</v>
      </c>
      <c r="B283" s="15">
        <v>102.25</v>
      </c>
      <c r="C283" s="15">
        <v>98.965800000000002</v>
      </c>
      <c r="D283" s="15">
        <v>232.53100000000001</v>
      </c>
    </row>
    <row r="284" spans="1:4">
      <c r="A284" s="13">
        <v>41395</v>
      </c>
      <c r="B284" s="15">
        <v>102.56</v>
      </c>
      <c r="C284" s="15">
        <v>99.056700000000006</v>
      </c>
      <c r="D284" s="15">
        <v>232.94499999999999</v>
      </c>
    </row>
    <row r="285" spans="1:4">
      <c r="A285" s="13">
        <v>41426</v>
      </c>
      <c r="B285" s="15">
        <v>102.92</v>
      </c>
      <c r="C285" s="15">
        <v>99.242400000000004</v>
      </c>
      <c r="D285" s="15">
        <v>233.50399999999999</v>
      </c>
    </row>
    <row r="286" spans="1:4">
      <c r="A286" s="13">
        <v>41456</v>
      </c>
      <c r="B286" s="15">
        <v>107.93</v>
      </c>
      <c r="C286" s="15">
        <v>98.925799999999995</v>
      </c>
      <c r="D286" s="15">
        <v>233.596</v>
      </c>
    </row>
    <row r="287" spans="1:4">
      <c r="A287" s="13">
        <v>41487</v>
      </c>
      <c r="B287" s="15">
        <v>111.28</v>
      </c>
      <c r="C287" s="15">
        <v>99.505899999999997</v>
      </c>
      <c r="D287" s="15">
        <v>233.87700000000001</v>
      </c>
    </row>
    <row r="288" spans="1:4">
      <c r="A288" s="13">
        <v>41518</v>
      </c>
      <c r="B288" s="15">
        <v>111.6</v>
      </c>
      <c r="C288" s="15">
        <v>100.0391</v>
      </c>
      <c r="D288" s="15">
        <v>234.149</v>
      </c>
    </row>
    <row r="289" spans="1:4">
      <c r="A289" s="13">
        <v>41548</v>
      </c>
      <c r="B289" s="15">
        <v>109.08</v>
      </c>
      <c r="C289" s="15">
        <v>99.920299999999997</v>
      </c>
      <c r="D289" s="15">
        <v>233.54599999999999</v>
      </c>
    </row>
    <row r="290" spans="1:4">
      <c r="A290" s="13">
        <v>41579</v>
      </c>
      <c r="B290" s="15">
        <v>107.79</v>
      </c>
      <c r="C290" s="15">
        <v>100.1661</v>
      </c>
      <c r="D290" s="15">
        <v>233.06899999999999</v>
      </c>
    </row>
    <row r="291" spans="1:4">
      <c r="A291" s="13">
        <v>41609</v>
      </c>
      <c r="B291" s="15">
        <v>110.76</v>
      </c>
      <c r="C291" s="15">
        <v>100.3777</v>
      </c>
      <c r="D291" s="15">
        <v>233.04900000000001</v>
      </c>
    </row>
    <row r="292" spans="1:4">
      <c r="A292" s="13">
        <v>41640</v>
      </c>
      <c r="B292" s="15">
        <v>108.12</v>
      </c>
      <c r="C292" s="15">
        <v>99.998999999999995</v>
      </c>
      <c r="D292" s="15">
        <v>233.916</v>
      </c>
    </row>
    <row r="293" spans="1:4">
      <c r="A293" s="13">
        <v>41671</v>
      </c>
      <c r="B293" s="15">
        <v>108.9</v>
      </c>
      <c r="C293" s="15">
        <v>100.75830000000001</v>
      </c>
      <c r="D293" s="15">
        <v>234.78100000000001</v>
      </c>
    </row>
    <row r="294" spans="1:4">
      <c r="A294" s="13">
        <v>41699</v>
      </c>
      <c r="B294" s="15">
        <v>107.48</v>
      </c>
      <c r="C294" s="15">
        <v>101.77670000000001</v>
      </c>
      <c r="D294" s="15">
        <v>236.29300000000001</v>
      </c>
    </row>
    <row r="295" spans="1:4">
      <c r="A295" s="13">
        <v>41730</v>
      </c>
      <c r="B295" s="15">
        <v>107.76</v>
      </c>
      <c r="C295" s="15">
        <v>101.8425</v>
      </c>
      <c r="D295" s="15">
        <v>237.072</v>
      </c>
    </row>
    <row r="296" spans="1:4">
      <c r="A296" s="13">
        <v>41760</v>
      </c>
      <c r="B296" s="15">
        <v>109.54</v>
      </c>
      <c r="C296" s="15">
        <v>102.2594</v>
      </c>
      <c r="D296" s="15">
        <v>237.9</v>
      </c>
    </row>
    <row r="297" spans="1:4">
      <c r="A297" s="13">
        <v>41791</v>
      </c>
      <c r="B297" s="15">
        <v>111.8</v>
      </c>
      <c r="C297" s="15">
        <v>102.5986</v>
      </c>
      <c r="D297" s="15">
        <v>238.34299999999999</v>
      </c>
    </row>
    <row r="298" spans="1:4">
      <c r="A298" s="13">
        <v>41821</v>
      </c>
      <c r="B298" s="15">
        <v>106.77</v>
      </c>
      <c r="C298" s="15">
        <v>102.8163</v>
      </c>
      <c r="D298" s="15">
        <v>238.25</v>
      </c>
    </row>
    <row r="299" spans="1:4">
      <c r="A299" s="13">
        <v>41852</v>
      </c>
      <c r="B299" s="15">
        <v>101.61</v>
      </c>
      <c r="C299" s="15">
        <v>102.6562</v>
      </c>
      <c r="D299" s="15">
        <v>237.852</v>
      </c>
    </row>
    <row r="300" spans="1:4">
      <c r="A300" s="13">
        <v>41883</v>
      </c>
      <c r="B300" s="15">
        <v>97.09</v>
      </c>
      <c r="C300" s="15">
        <v>102.9776</v>
      </c>
      <c r="D300" s="15">
        <v>238.03100000000001</v>
      </c>
    </row>
    <row r="301" spans="1:4">
      <c r="A301" s="13">
        <v>41913</v>
      </c>
      <c r="B301" s="15">
        <v>87.43</v>
      </c>
      <c r="C301" s="15">
        <v>102.9892</v>
      </c>
      <c r="D301" s="15">
        <v>237.43299999999999</v>
      </c>
    </row>
    <row r="302" spans="1:4">
      <c r="A302" s="13">
        <v>41944</v>
      </c>
      <c r="B302" s="15">
        <v>79.44</v>
      </c>
      <c r="C302" s="15">
        <v>103.64019999999999</v>
      </c>
      <c r="D302" s="15">
        <v>236.15100000000001</v>
      </c>
    </row>
    <row r="303" spans="1:4">
      <c r="A303" s="13">
        <v>41974</v>
      </c>
      <c r="B303" s="15">
        <v>62.34</v>
      </c>
      <c r="C303" s="15">
        <v>103.6345</v>
      </c>
      <c r="D303" s="15">
        <v>234.81200000000001</v>
      </c>
    </row>
    <row r="304" spans="1:4">
      <c r="A304" s="13">
        <v>42005</v>
      </c>
      <c r="B304" s="15">
        <v>47.76</v>
      </c>
      <c r="C304" s="15">
        <v>102.82389999999999</v>
      </c>
      <c r="D304" s="15">
        <v>233.70699999999999</v>
      </c>
    </row>
    <row r="305" spans="1:4">
      <c r="A305" s="13">
        <v>42036</v>
      </c>
      <c r="B305" s="15">
        <v>58.1</v>
      </c>
      <c r="C305" s="15">
        <v>102.15130000000001</v>
      </c>
      <c r="D305" s="15">
        <v>234.72200000000001</v>
      </c>
    </row>
    <row r="306" spans="1:4">
      <c r="A306" s="13">
        <v>42064</v>
      </c>
      <c r="B306" s="15">
        <v>55.89</v>
      </c>
      <c r="C306" s="15">
        <v>101.824</v>
      </c>
      <c r="D306" s="15">
        <v>236.119</v>
      </c>
    </row>
    <row r="307" spans="1:4">
      <c r="A307" s="13">
        <v>42095</v>
      </c>
      <c r="B307" s="15">
        <v>59.52</v>
      </c>
      <c r="C307" s="15">
        <v>101.244</v>
      </c>
      <c r="D307" s="15">
        <v>236.59899999999999</v>
      </c>
    </row>
    <row r="308" spans="1:4">
      <c r="A308" s="13">
        <v>42125</v>
      </c>
      <c r="B308" s="15">
        <v>64.08</v>
      </c>
      <c r="C308" s="15">
        <v>100.783</v>
      </c>
      <c r="D308" s="15">
        <v>237.80500000000001</v>
      </c>
    </row>
    <row r="309" spans="1:4">
      <c r="A309" s="13">
        <v>42156</v>
      </c>
      <c r="B309" s="15">
        <v>61.48</v>
      </c>
      <c r="C309" s="15">
        <v>100.4781</v>
      </c>
      <c r="D309" s="15">
        <v>238.63800000000001</v>
      </c>
    </row>
    <row r="310" spans="1:4">
      <c r="A310" s="13">
        <v>42186</v>
      </c>
      <c r="B310" s="15">
        <v>56.56</v>
      </c>
      <c r="C310" s="15">
        <v>101.1052</v>
      </c>
      <c r="D310" s="15">
        <v>238.654</v>
      </c>
    </row>
    <row r="311" spans="1:4">
      <c r="A311" s="13">
        <v>42217</v>
      </c>
      <c r="B311" s="15">
        <v>46.52</v>
      </c>
      <c r="C311" s="15">
        <v>100.9442</v>
      </c>
      <c r="D311" s="15">
        <v>238.316</v>
      </c>
    </row>
    <row r="312" spans="1:4">
      <c r="A312" s="13">
        <v>42248</v>
      </c>
      <c r="B312" s="15">
        <v>47.62</v>
      </c>
      <c r="C312" s="15">
        <v>100.6507</v>
      </c>
      <c r="D312" s="15">
        <v>237.94499999999999</v>
      </c>
    </row>
    <row r="313" spans="1:4">
      <c r="A313" s="13">
        <v>42278</v>
      </c>
      <c r="B313" s="15">
        <v>48.43</v>
      </c>
      <c r="C313" s="15">
        <v>100.1871</v>
      </c>
      <c r="D313" s="15">
        <v>237.83799999999999</v>
      </c>
    </row>
    <row r="314" spans="1:4">
      <c r="A314" s="13">
        <v>42309</v>
      </c>
      <c r="B314" s="15">
        <v>44.27</v>
      </c>
      <c r="C314" s="15">
        <v>99.438199999999995</v>
      </c>
      <c r="D314" s="15">
        <v>237.33600000000001</v>
      </c>
    </row>
    <row r="315" spans="1:4">
      <c r="A315" s="13">
        <v>42339</v>
      </c>
      <c r="B315" s="15">
        <v>38.01</v>
      </c>
      <c r="C315" s="15">
        <v>98.938999999999993</v>
      </c>
      <c r="D315" s="15">
        <v>236.52500000000001</v>
      </c>
    </row>
    <row r="316" spans="1:4">
      <c r="A316" s="13">
        <v>42370</v>
      </c>
      <c r="B316" s="15">
        <v>30.7</v>
      </c>
      <c r="C316" s="15">
        <v>99.455799999999996</v>
      </c>
      <c r="D316" s="15">
        <v>236.916</v>
      </c>
    </row>
    <row r="317" spans="1:4">
      <c r="A317" s="13">
        <v>42401</v>
      </c>
      <c r="B317" s="15">
        <v>32.18</v>
      </c>
      <c r="C317" s="15">
        <v>98.913600000000002</v>
      </c>
      <c r="D317" s="15">
        <v>237.11099999999999</v>
      </c>
    </row>
    <row r="318" spans="1:4">
      <c r="A318" s="13">
        <v>42430</v>
      </c>
      <c r="B318" s="15">
        <v>38.21</v>
      </c>
      <c r="C318" s="15">
        <v>98.190700000000007</v>
      </c>
      <c r="D318" s="15">
        <v>238.13200000000001</v>
      </c>
    </row>
    <row r="319" spans="1:4">
      <c r="A319" s="13">
        <v>42461</v>
      </c>
      <c r="B319" s="15">
        <v>41.58</v>
      </c>
      <c r="C319" s="15">
        <v>98.466899999999995</v>
      </c>
      <c r="D319" s="15">
        <v>239.261</v>
      </c>
    </row>
    <row r="320" spans="1:4">
      <c r="A320" s="13">
        <v>42491</v>
      </c>
      <c r="B320" s="15">
        <v>46.74</v>
      </c>
      <c r="C320" s="15">
        <v>98.251800000000003</v>
      </c>
      <c r="D320" s="15">
        <v>240.22900000000001</v>
      </c>
    </row>
    <row r="321" spans="1:4">
      <c r="A321" s="13">
        <v>42522</v>
      </c>
      <c r="B321" s="15">
        <v>48.25</v>
      </c>
      <c r="C321" s="15">
        <v>98.727500000000006</v>
      </c>
      <c r="D321" s="15">
        <v>241.018</v>
      </c>
    </row>
    <row r="322" spans="1:4">
      <c r="A322" s="13">
        <v>42552</v>
      </c>
      <c r="B322" s="15">
        <v>44.95</v>
      </c>
      <c r="C322" s="15">
        <v>98.835999999999999</v>
      </c>
      <c r="D322" s="15">
        <v>240.62799999999999</v>
      </c>
    </row>
    <row r="323" spans="1:4">
      <c r="A323" s="13">
        <v>42583</v>
      </c>
      <c r="B323" s="15">
        <v>45.84</v>
      </c>
      <c r="C323" s="15">
        <v>98.755399999999995</v>
      </c>
      <c r="D323" s="15">
        <v>240.84899999999999</v>
      </c>
    </row>
    <row r="324" spans="1:4">
      <c r="A324" s="13">
        <v>42614</v>
      </c>
      <c r="B324" s="15">
        <v>46.57</v>
      </c>
      <c r="C324" s="15">
        <v>98.659599999999998</v>
      </c>
      <c r="D324" s="15">
        <v>241.428</v>
      </c>
    </row>
    <row r="325" spans="1:4">
      <c r="A325" s="13">
        <v>42644</v>
      </c>
      <c r="B325" s="15">
        <v>49.52</v>
      </c>
      <c r="C325" s="15">
        <v>98.732200000000006</v>
      </c>
      <c r="D325" s="15">
        <v>241.72900000000001</v>
      </c>
    </row>
    <row r="326" spans="1:4">
      <c r="A326" s="13">
        <v>42675</v>
      </c>
      <c r="B326" s="15">
        <v>44.73</v>
      </c>
      <c r="C326" s="15">
        <v>98.345200000000006</v>
      </c>
      <c r="D326" s="15">
        <v>241.35300000000001</v>
      </c>
    </row>
    <row r="327" spans="1:4">
      <c r="A327" s="13">
        <v>42705</v>
      </c>
      <c r="B327" s="15">
        <v>53.31</v>
      </c>
      <c r="C327" s="15">
        <v>99.031400000000005</v>
      </c>
      <c r="D327" s="15">
        <v>241.43199999999999</v>
      </c>
    </row>
    <row r="328" spans="1:4">
      <c r="A328" s="13">
        <v>42736</v>
      </c>
      <c r="B328" s="15">
        <v>54.58</v>
      </c>
      <c r="C328" s="15">
        <v>98.798699999999997</v>
      </c>
      <c r="D328" s="15">
        <v>242.839</v>
      </c>
    </row>
    <row r="329" spans="1:4">
      <c r="A329" s="13">
        <v>42767</v>
      </c>
      <c r="B329" s="15">
        <v>54.87</v>
      </c>
      <c r="C329" s="15">
        <v>98.432199999999995</v>
      </c>
      <c r="D329" s="15">
        <v>243.60300000000001</v>
      </c>
    </row>
    <row r="330" spans="1:4">
      <c r="A330" s="13">
        <v>42795</v>
      </c>
      <c r="B330" s="15">
        <v>51.59</v>
      </c>
      <c r="C330" s="15">
        <v>99.066299999999998</v>
      </c>
      <c r="D330" s="15">
        <v>243.80099999999999</v>
      </c>
    </row>
    <row r="331" spans="1:4">
      <c r="A331" s="13">
        <v>42826</v>
      </c>
      <c r="B331" s="15">
        <v>52.31</v>
      </c>
      <c r="C331" s="15">
        <v>100.0082</v>
      </c>
      <c r="D331" s="15">
        <v>244.524</v>
      </c>
    </row>
    <row r="332" spans="1:4">
      <c r="A332" s="13">
        <v>42856</v>
      </c>
      <c r="B332" s="15">
        <v>50.33</v>
      </c>
      <c r="C332" s="15">
        <v>100.12860000000001</v>
      </c>
      <c r="D332" s="15">
        <v>244.733</v>
      </c>
    </row>
    <row r="333" spans="1:4">
      <c r="A333" s="13">
        <v>42887</v>
      </c>
      <c r="B333" s="15">
        <v>46.37</v>
      </c>
      <c r="C333" s="15">
        <v>100.3233</v>
      </c>
      <c r="D333" s="15">
        <v>244.95500000000001</v>
      </c>
    </row>
    <row r="334" spans="1:4">
      <c r="A334" s="13">
        <v>42917</v>
      </c>
      <c r="B334" s="15">
        <v>48.48</v>
      </c>
      <c r="C334" s="15">
        <v>100.0947</v>
      </c>
      <c r="D334" s="15">
        <v>244.786</v>
      </c>
    </row>
    <row r="335" spans="1:4">
      <c r="A335" s="13">
        <v>42948</v>
      </c>
      <c r="B335" s="15">
        <v>51.7</v>
      </c>
      <c r="C335" s="15">
        <v>99.664199999999994</v>
      </c>
      <c r="D335" s="15">
        <v>245.51900000000001</v>
      </c>
    </row>
    <row r="336" spans="1:4">
      <c r="A336" s="13">
        <v>42979</v>
      </c>
      <c r="B336" s="15">
        <v>56.15</v>
      </c>
      <c r="C336" s="15">
        <v>99.768600000000006</v>
      </c>
      <c r="D336" s="15">
        <v>246.81899999999999</v>
      </c>
    </row>
    <row r="337" spans="1:4">
      <c r="A337" s="13">
        <v>43009</v>
      </c>
      <c r="B337" s="15">
        <v>57.51</v>
      </c>
      <c r="C337" s="15">
        <v>100.99809999999999</v>
      </c>
      <c r="D337" s="15">
        <v>246.66300000000001</v>
      </c>
    </row>
    <row r="338" spans="1:4">
      <c r="A338" s="13">
        <v>43040</v>
      </c>
      <c r="B338" s="15">
        <v>62.71</v>
      </c>
      <c r="C338" s="15">
        <v>101.2597</v>
      </c>
      <c r="D338" s="15">
        <v>246.66900000000001</v>
      </c>
    </row>
    <row r="339" spans="1:4">
      <c r="A339" s="13">
        <v>43070</v>
      </c>
      <c r="B339" s="15">
        <v>64.37</v>
      </c>
      <c r="C339" s="15">
        <v>101.4573</v>
      </c>
      <c r="D339" s="15">
        <v>246.524</v>
      </c>
    </row>
    <row r="340" spans="1:4">
      <c r="A340" s="13">
        <v>43101</v>
      </c>
      <c r="B340" s="15">
        <v>69.08</v>
      </c>
      <c r="C340" s="15">
        <v>101.3939</v>
      </c>
      <c r="D340" s="15">
        <v>247.86699999999999</v>
      </c>
    </row>
    <row r="341" spans="1:4">
      <c r="A341" s="13">
        <v>43132</v>
      </c>
      <c r="B341" s="15">
        <v>65.319999999999993</v>
      </c>
      <c r="C341" s="15">
        <v>101.76560000000001</v>
      </c>
      <c r="D341" s="15">
        <v>248.99100000000001</v>
      </c>
    </row>
    <row r="342" spans="1:4">
      <c r="A342" s="13">
        <v>43160</v>
      </c>
      <c r="B342" s="15">
        <v>66.02</v>
      </c>
      <c r="C342" s="15">
        <v>102.2441</v>
      </c>
      <c r="D342" s="15">
        <v>249.554</v>
      </c>
    </row>
    <row r="343" spans="1:4">
      <c r="A343" s="13">
        <v>43191</v>
      </c>
      <c r="B343" s="15">
        <v>72.11</v>
      </c>
      <c r="C343" s="15">
        <v>103.3468</v>
      </c>
      <c r="D343" s="15">
        <v>250.54599999999999</v>
      </c>
    </row>
    <row r="344" spans="1:4">
      <c r="A344" s="13">
        <v>43221</v>
      </c>
      <c r="B344" s="15">
        <v>76.98</v>
      </c>
      <c r="C344" s="15">
        <v>102.39109999999999</v>
      </c>
      <c r="D344" s="15">
        <v>251.58799999999999</v>
      </c>
    </row>
    <row r="345" spans="1:4">
      <c r="A345" s="13">
        <v>43252</v>
      </c>
      <c r="B345" s="15">
        <v>74.41</v>
      </c>
      <c r="C345" s="15">
        <v>103.19240000000001</v>
      </c>
      <c r="D345" s="15">
        <v>251.989</v>
      </c>
    </row>
    <row r="346" spans="1:4">
      <c r="A346" s="13">
        <v>43282</v>
      </c>
      <c r="B346" s="15">
        <v>74.25</v>
      </c>
      <c r="C346" s="15">
        <v>103.3334</v>
      </c>
      <c r="D346" s="15">
        <v>252.006</v>
      </c>
    </row>
    <row r="347" spans="1:4">
      <c r="A347" s="13">
        <v>43313</v>
      </c>
      <c r="B347" s="15">
        <v>72.53</v>
      </c>
      <c r="C347" s="15">
        <v>104.08069999999999</v>
      </c>
      <c r="D347" s="15">
        <v>252.14599999999999</v>
      </c>
    </row>
    <row r="348" spans="1:4">
      <c r="A348" s="13">
        <v>43344</v>
      </c>
      <c r="B348" s="15">
        <v>78.89</v>
      </c>
      <c r="C348" s="15">
        <v>104.1181</v>
      </c>
      <c r="D348" s="15">
        <v>252.43899999999999</v>
      </c>
    </row>
    <row r="349" spans="1:4">
      <c r="A349" s="13">
        <v>43374</v>
      </c>
      <c r="B349" s="15">
        <v>81.03</v>
      </c>
      <c r="C349" s="15">
        <v>103.9397</v>
      </c>
      <c r="D349" s="15">
        <v>252.88499999999999</v>
      </c>
    </row>
    <row r="350" spans="1:4">
      <c r="A350" s="13">
        <v>43405</v>
      </c>
      <c r="B350" s="15">
        <v>64.75</v>
      </c>
      <c r="C350" s="15">
        <v>104.00069999999999</v>
      </c>
      <c r="D350" s="15">
        <v>252.03800000000001</v>
      </c>
    </row>
    <row r="351" spans="1:4">
      <c r="A351" s="13">
        <v>43435</v>
      </c>
      <c r="B351" s="15">
        <v>57.36</v>
      </c>
      <c r="C351" s="15">
        <v>103.99460000000001</v>
      </c>
      <c r="D351" s="15">
        <v>251.233</v>
      </c>
    </row>
    <row r="352" spans="1:4">
      <c r="A352" s="13">
        <v>43466</v>
      </c>
      <c r="B352" s="15">
        <v>59.41</v>
      </c>
      <c r="C352" s="15">
        <v>103.373</v>
      </c>
      <c r="D352" s="15">
        <v>251.71199999999999</v>
      </c>
    </row>
    <row r="353" spans="1:4">
      <c r="A353" s="13">
        <v>43497</v>
      </c>
      <c r="B353" s="15">
        <v>63.96</v>
      </c>
      <c r="C353" s="15">
        <v>102.8292</v>
      </c>
      <c r="D353" s="15">
        <v>252.77600000000001</v>
      </c>
    </row>
    <row r="354" spans="1:4">
      <c r="A354" s="13">
        <v>43525</v>
      </c>
      <c r="B354" s="15">
        <v>66.14</v>
      </c>
      <c r="C354" s="15">
        <v>102.82859999999999</v>
      </c>
      <c r="D354" s="15">
        <v>254.202</v>
      </c>
    </row>
    <row r="355" spans="1:4">
      <c r="A355" s="13">
        <v>43556</v>
      </c>
      <c r="B355" s="15">
        <v>71.23</v>
      </c>
      <c r="C355" s="15">
        <v>102.24809999999999</v>
      </c>
      <c r="D355" s="15">
        <v>255.548</v>
      </c>
    </row>
    <row r="356" spans="1:4">
      <c r="A356" s="13">
        <v>43586</v>
      </c>
      <c r="B356" s="15">
        <v>71.319999999999993</v>
      </c>
      <c r="C356" s="15">
        <v>102.4192</v>
      </c>
      <c r="D356" s="15">
        <v>256.09199999999998</v>
      </c>
    </row>
    <row r="357" spans="1:4">
      <c r="A357" s="13">
        <v>43617</v>
      </c>
      <c r="B357" s="15">
        <v>64.22</v>
      </c>
      <c r="C357" s="15">
        <v>102.4893</v>
      </c>
      <c r="D357" s="15">
        <v>256.14299999999997</v>
      </c>
    </row>
    <row r="358" spans="1:4">
      <c r="A358" s="13">
        <v>43647</v>
      </c>
      <c r="B358" s="15">
        <v>63.92</v>
      </c>
      <c r="C358" s="15">
        <v>102.0236</v>
      </c>
      <c r="D358" s="15">
        <v>256.57100000000003</v>
      </c>
    </row>
    <row r="359" spans="1:4">
      <c r="A359" s="13">
        <v>43678</v>
      </c>
      <c r="B359" s="15">
        <v>59.04</v>
      </c>
      <c r="C359" s="15">
        <v>102.7754</v>
      </c>
      <c r="D359" s="15">
        <v>256.55799999999999</v>
      </c>
    </row>
    <row r="360" spans="1:4">
      <c r="A360" s="13">
        <v>43709</v>
      </c>
      <c r="B360" s="15">
        <v>62.83</v>
      </c>
      <c r="C360" s="15">
        <v>102.53149999999999</v>
      </c>
      <c r="D360" s="15">
        <v>256.75900000000001</v>
      </c>
    </row>
    <row r="361" spans="1:4">
      <c r="A361" s="13">
        <v>43739</v>
      </c>
      <c r="B361" s="15">
        <v>59.71</v>
      </c>
      <c r="C361" s="15">
        <v>101.6022</v>
      </c>
      <c r="D361" s="15">
        <v>257.346</v>
      </c>
    </row>
    <row r="362" spans="1:4">
      <c r="A362" s="13">
        <v>43770</v>
      </c>
      <c r="B362" s="15">
        <v>63.21</v>
      </c>
      <c r="C362" s="15">
        <v>102.148</v>
      </c>
      <c r="D362" s="15">
        <v>257.20800000000003</v>
      </c>
    </row>
    <row r="363" spans="1:4">
      <c r="A363" s="13">
        <v>43800</v>
      </c>
      <c r="B363" s="15">
        <v>67.31</v>
      </c>
      <c r="C363" s="15">
        <v>101.884</v>
      </c>
      <c r="D363" s="15">
        <v>256.97399999999999</v>
      </c>
    </row>
    <row r="364" spans="1:4">
      <c r="A364" s="13">
        <v>43831</v>
      </c>
      <c r="B364" s="15">
        <v>63.65</v>
      </c>
      <c r="C364" s="15">
        <v>101.3372</v>
      </c>
      <c r="D364" s="15">
        <v>257.971</v>
      </c>
    </row>
    <row r="365" spans="1:4">
      <c r="A365" s="13">
        <v>43862</v>
      </c>
      <c r="B365" s="15">
        <v>55.66</v>
      </c>
      <c r="C365" s="15">
        <v>101.6718</v>
      </c>
      <c r="D365" s="15">
        <v>258.678</v>
      </c>
    </row>
    <row r="366" spans="1:4">
      <c r="A366" s="13">
        <v>43891</v>
      </c>
      <c r="B366" s="15">
        <v>32.01</v>
      </c>
      <c r="C366" s="15">
        <v>97.605999999999995</v>
      </c>
      <c r="D366" s="15">
        <v>258.11500000000001</v>
      </c>
    </row>
    <row r="367" spans="1:4">
      <c r="A367" s="13">
        <v>43922</v>
      </c>
      <c r="B367" s="15">
        <v>18.38</v>
      </c>
      <c r="C367" s="15">
        <v>84.681200000000004</v>
      </c>
      <c r="D367" s="15">
        <v>256.38900000000001</v>
      </c>
    </row>
    <row r="368" spans="1:4">
      <c r="A368" s="13">
        <v>43952</v>
      </c>
      <c r="B368" s="15">
        <v>29.38</v>
      </c>
      <c r="C368" s="15">
        <v>86.010800000000003</v>
      </c>
      <c r="D368" s="15">
        <v>256.39400000000001</v>
      </c>
    </row>
    <row r="369" spans="1:4">
      <c r="A369" s="13">
        <v>43983</v>
      </c>
      <c r="B369" s="15">
        <v>40.270000000000003</v>
      </c>
      <c r="C369" s="15">
        <v>91.674499999999995</v>
      </c>
      <c r="D369" s="15">
        <v>257.79700000000003</v>
      </c>
    </row>
    <row r="370" spans="1:4">
      <c r="A370" s="13">
        <v>44013</v>
      </c>
      <c r="B370" s="15">
        <v>43.24</v>
      </c>
      <c r="C370" s="15">
        <v>95.003699999999995</v>
      </c>
      <c r="D370" s="15">
        <v>259.101</v>
      </c>
    </row>
    <row r="371" spans="1:4">
      <c r="A371" s="13">
        <v>44044</v>
      </c>
      <c r="B371" s="15">
        <v>44.74</v>
      </c>
      <c r="C371" s="15">
        <v>95.929400000000001</v>
      </c>
      <c r="D371" s="15">
        <v>259.91800000000001</v>
      </c>
    </row>
    <row r="372" spans="1:4">
      <c r="A372" s="13">
        <v>44075</v>
      </c>
      <c r="B372" s="15">
        <v>40.909999999999997</v>
      </c>
      <c r="C372" s="15">
        <v>95.891400000000004</v>
      </c>
      <c r="D372" s="15">
        <v>260.27999999999997</v>
      </c>
    </row>
    <row r="373" spans="1:4">
      <c r="A373" s="13">
        <v>44105</v>
      </c>
      <c r="B373" s="15">
        <v>40.19</v>
      </c>
      <c r="C373" s="15">
        <v>96.525599999999997</v>
      </c>
      <c r="D373" s="15">
        <v>260.38799999999998</v>
      </c>
    </row>
    <row r="374" spans="1:4">
      <c r="A374" s="13">
        <v>44136</v>
      </c>
      <c r="B374" s="15">
        <v>42.69</v>
      </c>
      <c r="C374" s="15">
        <v>96.9529</v>
      </c>
      <c r="D374" s="15">
        <v>260.22899999999998</v>
      </c>
    </row>
    <row r="375" spans="1:4">
      <c r="A375" s="13">
        <v>44166</v>
      </c>
      <c r="B375" s="15">
        <v>49.99</v>
      </c>
      <c r="C375" s="15">
        <v>98.203900000000004</v>
      </c>
      <c r="D375" s="15">
        <v>260.47399999999999</v>
      </c>
    </row>
    <row r="376" spans="1:4">
      <c r="A376" s="13">
        <v>44197</v>
      </c>
      <c r="B376" s="15">
        <v>54.77</v>
      </c>
      <c r="C376" s="15">
        <v>98.813500000000005</v>
      </c>
      <c r="D376" s="15">
        <v>261.58199999999999</v>
      </c>
    </row>
    <row r="377" spans="1:4">
      <c r="A377" s="13">
        <v>44228</v>
      </c>
      <c r="B377" s="15">
        <v>62.28</v>
      </c>
      <c r="C377" s="15">
        <v>95.507199999999997</v>
      </c>
      <c r="D377" s="15">
        <v>263.01400000000001</v>
      </c>
    </row>
    <row r="378" spans="1:4">
      <c r="A378" s="13">
        <v>44256</v>
      </c>
      <c r="B378" s="15">
        <v>65.41</v>
      </c>
      <c r="C378" s="15">
        <v>98.192899999999995</v>
      </c>
      <c r="D378" s="15">
        <v>264.87700000000001</v>
      </c>
    </row>
    <row r="379" spans="1:4">
      <c r="A379" s="13">
        <v>44287</v>
      </c>
      <c r="B379" s="15">
        <v>64.81</v>
      </c>
      <c r="C379" s="15">
        <v>98.331699999999998</v>
      </c>
      <c r="D379" s="15">
        <v>267.05399999999997</v>
      </c>
    </row>
    <row r="380" spans="1:4">
      <c r="A380" s="13">
        <v>44317</v>
      </c>
      <c r="B380" s="15">
        <v>68.53</v>
      </c>
      <c r="C380" s="15">
        <v>99.186700000000002</v>
      </c>
      <c r="D380" s="15">
        <v>269.19499999999999</v>
      </c>
    </row>
    <row r="381" spans="1:4">
      <c r="A381" s="13">
        <v>44348</v>
      </c>
      <c r="B381" s="15">
        <v>73.16</v>
      </c>
      <c r="C381" s="15">
        <v>99.648300000000006</v>
      </c>
      <c r="D381" s="15">
        <v>271.69600000000003</v>
      </c>
    </row>
    <row r="382" spans="1:4">
      <c r="A382" s="13">
        <v>44378</v>
      </c>
      <c r="B382" s="15">
        <v>75.17</v>
      </c>
      <c r="C382" s="15">
        <v>100.0668</v>
      </c>
      <c r="D382" s="15">
        <v>273.00299999999999</v>
      </c>
    </row>
    <row r="383" spans="1:4">
      <c r="A383" s="13">
        <v>44409</v>
      </c>
      <c r="B383" s="15">
        <v>70.75</v>
      </c>
      <c r="C383" s="15">
        <v>100.0412</v>
      </c>
      <c r="D383" s="15">
        <v>273.56700000000001</v>
      </c>
    </row>
    <row r="384" spans="1:4">
      <c r="A384" s="13">
        <v>44440</v>
      </c>
      <c r="B384" s="15">
        <v>74.489999999999995</v>
      </c>
      <c r="C384" s="15">
        <v>98.995500000000007</v>
      </c>
      <c r="D384" s="15">
        <v>274.31</v>
      </c>
    </row>
    <row r="385" spans="1:4">
      <c r="A385" s="13">
        <v>44470</v>
      </c>
      <c r="B385" s="15">
        <v>83.54</v>
      </c>
      <c r="C385" s="15">
        <v>100.35420000000001</v>
      </c>
      <c r="D385" s="15">
        <v>276.589</v>
      </c>
    </row>
    <row r="386" spans="1:4">
      <c r="A386" s="13">
        <v>44501</v>
      </c>
      <c r="B386" s="15">
        <v>81.05</v>
      </c>
      <c r="C386" s="15">
        <v>101.2684</v>
      </c>
      <c r="D386" s="15">
        <v>277.94799999999998</v>
      </c>
    </row>
    <row r="387" spans="1:4">
      <c r="A387" s="13">
        <v>44531</v>
      </c>
      <c r="B387" s="15">
        <v>74.17</v>
      </c>
      <c r="C387" s="15">
        <v>101.1948</v>
      </c>
      <c r="D387" s="15">
        <v>278.80200000000002</v>
      </c>
    </row>
    <row r="388" spans="1:4">
      <c r="A388" s="13">
        <v>44562</v>
      </c>
      <c r="B388" s="15">
        <v>86.51</v>
      </c>
      <c r="C388" s="15">
        <v>101.2146</v>
      </c>
      <c r="D388" s="15">
        <v>281.14800000000002</v>
      </c>
    </row>
    <row r="389" spans="1:4">
      <c r="A389" s="13">
        <v>44593</v>
      </c>
      <c r="B389" s="15">
        <v>97.13</v>
      </c>
      <c r="C389" s="15">
        <v>101.8458</v>
      </c>
      <c r="D389" s="15">
        <v>283.71600000000001</v>
      </c>
    </row>
    <row r="390" spans="1:4">
      <c r="A390" s="13">
        <v>44621</v>
      </c>
      <c r="B390" s="15">
        <v>117.25</v>
      </c>
      <c r="C390" s="15">
        <v>102.67319999999999</v>
      </c>
      <c r="D390" s="15">
        <v>287.50400000000002</v>
      </c>
    </row>
    <row r="391" spans="1:4">
      <c r="A391" s="13">
        <v>44652</v>
      </c>
      <c r="B391" s="15">
        <v>104.58</v>
      </c>
      <c r="C391" s="15">
        <v>102.9024</v>
      </c>
      <c r="D391" s="15">
        <v>289.10899999999998</v>
      </c>
    </row>
    <row r="392" spans="1:4">
      <c r="A392" s="13">
        <v>44682</v>
      </c>
      <c r="B392" s="15">
        <v>113.38</v>
      </c>
      <c r="C392" s="15">
        <v>102.9659</v>
      </c>
      <c r="D392" s="15">
        <v>292.29599999999999</v>
      </c>
    </row>
    <row r="393" spans="1:4">
      <c r="A393" s="13">
        <v>44713</v>
      </c>
      <c r="B393" s="15">
        <v>122.71</v>
      </c>
      <c r="C393" s="15">
        <v>102.8224</v>
      </c>
      <c r="D393" s="15">
        <v>296.31099999999998</v>
      </c>
    </row>
    <row r="394" spans="1:4">
      <c r="A394" s="13">
        <v>44743</v>
      </c>
      <c r="B394" s="15">
        <v>111.93</v>
      </c>
      <c r="C394" s="15">
        <v>103.0505</v>
      </c>
      <c r="D394" s="15">
        <v>296.27600000000001</v>
      </c>
    </row>
    <row r="395" spans="1:4">
      <c r="A395" s="13">
        <v>44774</v>
      </c>
      <c r="B395" s="15">
        <v>100.45</v>
      </c>
      <c r="C395" s="15">
        <v>103.1703</v>
      </c>
      <c r="D395" s="15">
        <v>296.17099999999999</v>
      </c>
    </row>
    <row r="396" spans="1:4">
      <c r="A396" s="13">
        <v>44805</v>
      </c>
      <c r="B396" s="15">
        <v>89.76</v>
      </c>
      <c r="C396" s="15">
        <v>103.5326</v>
      </c>
      <c r="D396" s="15">
        <v>296.80799999999999</v>
      </c>
    </row>
    <row r="397" spans="1:4">
      <c r="A397" s="13">
        <v>44835</v>
      </c>
      <c r="B397" s="15">
        <v>93.33</v>
      </c>
      <c r="C397" s="15">
        <v>103.4442</v>
      </c>
      <c r="D397" s="15">
        <v>298.012</v>
      </c>
    </row>
    <row r="398" spans="1:4">
      <c r="A398" s="13">
        <v>44866</v>
      </c>
      <c r="B398" s="15">
        <v>91.42</v>
      </c>
      <c r="C398" s="15">
        <v>103.1058</v>
      </c>
      <c r="D398" s="15">
        <v>297.71100000000001</v>
      </c>
    </row>
    <row r="399" spans="1:4">
      <c r="A399" s="13">
        <v>44896</v>
      </c>
      <c r="B399" s="15">
        <v>80.92</v>
      </c>
      <c r="C399" s="15">
        <v>101.8266</v>
      </c>
      <c r="D399" s="15">
        <v>296.79700000000003</v>
      </c>
    </row>
    <row r="400" spans="1:4">
      <c r="A400" s="13">
        <v>44927</v>
      </c>
      <c r="B400" s="15">
        <v>82.5</v>
      </c>
      <c r="C400" s="15">
        <v>102.74760000000001</v>
      </c>
      <c r="D400" s="15">
        <v>299.17</v>
      </c>
    </row>
    <row r="401" spans="1:4">
      <c r="A401" s="13">
        <v>44958</v>
      </c>
      <c r="B401" s="15">
        <v>82.5</v>
      </c>
      <c r="C401" s="15">
        <v>102.80029999999999</v>
      </c>
      <c r="D401" s="15">
        <v>300.83999999999997</v>
      </c>
    </row>
    <row r="402" spans="1:4">
      <c r="A402" s="13">
        <v>44986</v>
      </c>
      <c r="B402" s="15">
        <v>82.59</v>
      </c>
      <c r="C402" s="15">
        <v>102.8143</v>
      </c>
      <c r="D402" s="15">
        <v>301.83600000000001</v>
      </c>
    </row>
    <row r="403" spans="1:4">
      <c r="A403" s="13">
        <v>45017</v>
      </c>
      <c r="B403" s="15">
        <v>78.430000000000007</v>
      </c>
      <c r="C403" s="15">
        <v>103.22410000000001</v>
      </c>
      <c r="D403" s="15">
        <v>303.363</v>
      </c>
    </row>
    <row r="404" spans="1:4">
      <c r="A404" s="13">
        <v>45047</v>
      </c>
      <c r="B404" s="15">
        <v>84.64</v>
      </c>
      <c r="C404" s="15">
        <v>102.98090000000001</v>
      </c>
      <c r="D404" s="15">
        <v>304.12700000000001</v>
      </c>
    </row>
    <row r="405" spans="1:4">
      <c r="A405" s="13">
        <v>45078</v>
      </c>
      <c r="B405" s="15">
        <v>75.47</v>
      </c>
      <c r="C405" s="15">
        <v>102.3809</v>
      </c>
      <c r="D405" s="15">
        <v>305.10899999999998</v>
      </c>
    </row>
    <row r="406" spans="1:4">
      <c r="A406" s="13">
        <v>45108</v>
      </c>
      <c r="B406" s="15">
        <v>74.84</v>
      </c>
      <c r="C406" s="15">
        <v>103.0722</v>
      </c>
      <c r="D406" s="15">
        <v>305.69099999999997</v>
      </c>
    </row>
    <row r="407" spans="1:4">
      <c r="A407" s="13">
        <v>45139</v>
      </c>
      <c r="B407" s="15">
        <v>80.11</v>
      </c>
      <c r="C407" s="15">
        <v>103.0951</v>
      </c>
      <c r="D407" s="15">
        <v>307.02600000000001</v>
      </c>
    </row>
    <row r="408" spans="1:4">
      <c r="A408" s="13">
        <v>45170</v>
      </c>
      <c r="B408" s="15">
        <v>86.15</v>
      </c>
      <c r="C408" s="15">
        <v>103.3081</v>
      </c>
      <c r="D408" s="15">
        <v>307.78899999999999</v>
      </c>
    </row>
    <row r="409" spans="1:4">
      <c r="A409" s="13">
        <v>45200</v>
      </c>
      <c r="B409" s="15">
        <v>93.72</v>
      </c>
      <c r="C409" s="15">
        <v>102.57810000000001</v>
      </c>
      <c r="D409" s="15">
        <v>307.67099999999999</v>
      </c>
    </row>
    <row r="410" spans="1:4">
      <c r="A410" s="13">
        <v>45231</v>
      </c>
      <c r="B410" s="15">
        <v>90.6</v>
      </c>
      <c r="C410" s="15">
        <v>102.88679999999999</v>
      </c>
      <c r="D410" s="15">
        <v>307.05099999999999</v>
      </c>
    </row>
    <row r="411" spans="1:4">
      <c r="A411" s="13">
        <v>45261</v>
      </c>
      <c r="B411" s="15">
        <v>82.94</v>
      </c>
      <c r="C411" s="15">
        <v>102.6309</v>
      </c>
      <c r="D411" s="15">
        <v>306.74599999999998</v>
      </c>
    </row>
    <row r="412" spans="1:4">
      <c r="A412" s="13">
        <v>45292</v>
      </c>
      <c r="B412" s="15">
        <v>80.12</v>
      </c>
      <c r="C412" s="15">
        <v>101.483</v>
      </c>
      <c r="D412" s="15">
        <v>308.41699999999997</v>
      </c>
    </row>
    <row r="413" spans="1:4">
      <c r="A413" s="13">
        <v>45323</v>
      </c>
      <c r="B413" s="15">
        <v>83.48</v>
      </c>
      <c r="C413" s="15">
        <v>102.72669999999999</v>
      </c>
      <c r="D413" s="15">
        <v>310.32600000000002</v>
      </c>
    </row>
    <row r="414" spans="1:4">
      <c r="A414" s="13">
        <v>45352</v>
      </c>
      <c r="B414" s="15">
        <v>85.41</v>
      </c>
      <c r="C414" s="15">
        <v>102.51860000000001</v>
      </c>
      <c r="D414" s="15">
        <v>312.33199999999999</v>
      </c>
    </row>
    <row r="415" spans="1:4">
      <c r="A415" s="13">
        <v>45383</v>
      </c>
      <c r="B415" s="15">
        <v>89.94</v>
      </c>
      <c r="C415" s="15">
        <v>102.35680000000001</v>
      </c>
      <c r="D415" s="15">
        <v>313.548</v>
      </c>
    </row>
    <row r="416" spans="1:4">
      <c r="A416" s="13">
        <v>45413</v>
      </c>
      <c r="B416" s="15">
        <v>81.75</v>
      </c>
      <c r="C416" s="15">
        <v>102.97969999999999</v>
      </c>
      <c r="D416" s="15">
        <v>314.06900000000002</v>
      </c>
    </row>
    <row r="417" spans="1:7">
      <c r="A417" s="13">
        <v>45444</v>
      </c>
      <c r="B417" s="15">
        <v>82.25</v>
      </c>
      <c r="C417" s="15">
        <v>103.2534</v>
      </c>
      <c r="D417" s="15">
        <v>314.17500000000001</v>
      </c>
    </row>
    <row r="418" spans="1:7">
      <c r="A418" s="13">
        <v>45474</v>
      </c>
      <c r="B418" s="15">
        <v>85.15</v>
      </c>
      <c r="C418" s="15">
        <v>102.5192</v>
      </c>
      <c r="D418" s="15">
        <v>314.54000000000002</v>
      </c>
    </row>
    <row r="419" spans="1:7">
      <c r="A419" s="13">
        <v>45505</v>
      </c>
      <c r="B419" s="15">
        <v>80.36</v>
      </c>
      <c r="C419" s="15">
        <v>103.0196</v>
      </c>
      <c r="D419" s="15">
        <v>314.79599999999999</v>
      </c>
    </row>
    <row r="420" spans="1:7">
      <c r="A420" s="13">
        <v>45536</v>
      </c>
      <c r="B420" s="15">
        <v>74.02</v>
      </c>
      <c r="C420" s="15">
        <v>102.5954</v>
      </c>
      <c r="D420" s="15">
        <v>315.30099999999999</v>
      </c>
    </row>
    <row r="421" spans="1:7">
      <c r="A421" s="13">
        <v>45566</v>
      </c>
      <c r="B421" s="15">
        <v>75.63</v>
      </c>
      <c r="C421" s="15">
        <v>102.21380000000001</v>
      </c>
      <c r="D421" s="15">
        <v>315.66399999999999</v>
      </c>
    </row>
    <row r="422" spans="1:7">
      <c r="A422" s="13">
        <v>45597</v>
      </c>
      <c r="B422" s="15">
        <v>74.349999999999994</v>
      </c>
      <c r="C422" s="15">
        <v>101.9503</v>
      </c>
      <c r="D422" s="15">
        <v>315.49299999999999</v>
      </c>
    </row>
    <row r="423" spans="1:7">
      <c r="A423" s="13">
        <v>45627</v>
      </c>
      <c r="B423" s="15">
        <v>73.86</v>
      </c>
      <c r="C423" s="15">
        <v>103.04470000000001</v>
      </c>
      <c r="D423" s="15">
        <v>315.60500000000002</v>
      </c>
    </row>
    <row r="424" spans="1:7">
      <c r="A424" s="13">
        <v>45658</v>
      </c>
      <c r="B424" s="15">
        <v>79.27</v>
      </c>
      <c r="C424" s="15">
        <v>102.8805</v>
      </c>
      <c r="D424" s="15">
        <v>317.67099999999999</v>
      </c>
    </row>
    <row r="425" spans="1:7">
      <c r="A425" s="13">
        <v>45689</v>
      </c>
      <c r="B425" s="15">
        <v>75.44</v>
      </c>
      <c r="C425" s="15">
        <v>103.87050000000001</v>
      </c>
      <c r="D425" s="15">
        <v>319.08199999999999</v>
      </c>
    </row>
    <row r="426" spans="1:7">
      <c r="A426" s="13">
        <v>45717</v>
      </c>
      <c r="B426" s="15">
        <v>72.73</v>
      </c>
      <c r="C426" s="15">
        <v>103.5408</v>
      </c>
      <c r="D426" s="15">
        <v>319.79899999999998</v>
      </c>
    </row>
    <row r="427" spans="1:7">
      <c r="A427" s="13">
        <v>45748</v>
      </c>
      <c r="B427" s="15">
        <v>68.13</v>
      </c>
      <c r="C427" s="15">
        <v>103.6224</v>
      </c>
      <c r="D427" s="15">
        <v>320.79500000000002</v>
      </c>
    </row>
    <row r="428" spans="1:7">
      <c r="A428" s="13">
        <v>45778</v>
      </c>
      <c r="B428" s="15">
        <v>64.45</v>
      </c>
      <c r="C428" s="15">
        <v>103.657</v>
      </c>
      <c r="D428" s="15">
        <v>321.46499999999997</v>
      </c>
    </row>
    <row r="429" spans="1:7">
      <c r="A429" s="13">
        <v>45809</v>
      </c>
      <c r="B429" s="15">
        <v>71.44</v>
      </c>
      <c r="C429" s="15">
        <v>104.2115</v>
      </c>
      <c r="D429" s="15">
        <v>322.56099999999998</v>
      </c>
    </row>
    <row r="430" spans="1:7">
      <c r="A430" s="13">
        <v>45839</v>
      </c>
      <c r="B430" s="15">
        <v>71.040000000000006</v>
      </c>
      <c r="C430" s="15">
        <v>103.8194</v>
      </c>
      <c r="D430" s="15">
        <v>323.048</v>
      </c>
      <c r="F430" s="25" t="s">
        <v>107</v>
      </c>
    </row>
    <row r="431" spans="1:7">
      <c r="A431" s="13">
        <v>45870</v>
      </c>
      <c r="B431" s="15">
        <v>67.87</v>
      </c>
      <c r="C431" s="15">
        <v>103.9203</v>
      </c>
      <c r="D431" s="15">
        <v>323.976</v>
      </c>
      <c r="F431" s="22" t="s">
        <v>74</v>
      </c>
      <c r="G431" s="22" t="s">
        <v>99</v>
      </c>
    </row>
    <row r="432" spans="1:7">
      <c r="A432" s="13">
        <v>45901</v>
      </c>
      <c r="B432" s="15">
        <v>67.989999999999995</v>
      </c>
      <c r="C432" s="20"/>
      <c r="D432" s="15">
        <v>324.8</v>
      </c>
      <c r="F432" s="23"/>
      <c r="G432" s="23"/>
    </row>
    <row r="433" spans="1:7">
      <c r="A433" s="13">
        <v>45931</v>
      </c>
      <c r="B433" s="15">
        <v>64.540000000000006</v>
      </c>
      <c r="C433" s="20"/>
      <c r="D433" s="20"/>
      <c r="F433" s="23"/>
      <c r="G433" s="23"/>
    </row>
    <row r="434" spans="1:7">
      <c r="A434" s="13">
        <v>45962</v>
      </c>
      <c r="B434" s="20"/>
      <c r="C434" s="20"/>
      <c r="D434" s="20"/>
      <c r="F434" s="23"/>
      <c r="G434" s="23"/>
    </row>
    <row r="435" spans="1:7">
      <c r="A435" s="13">
        <v>45992</v>
      </c>
      <c r="B435" s="20"/>
      <c r="C435" s="20"/>
      <c r="D435" s="20"/>
      <c r="F435" s="23"/>
      <c r="G435" s="23"/>
    </row>
    <row r="436" spans="1:7">
      <c r="A436" s="13">
        <v>46023</v>
      </c>
      <c r="B436" s="20"/>
      <c r="C436" s="20"/>
      <c r="D436" s="20"/>
      <c r="F436" s="23"/>
      <c r="G436" s="23"/>
    </row>
    <row r="437" spans="1:7">
      <c r="A437" s="13">
        <v>46054</v>
      </c>
      <c r="B437" s="20"/>
      <c r="C437" s="20"/>
      <c r="D437" s="20"/>
      <c r="F437" s="23"/>
      <c r="G437" s="23"/>
    </row>
    <row r="438" spans="1:7">
      <c r="A438" s="13">
        <v>46082</v>
      </c>
      <c r="B438" s="20"/>
      <c r="C438" s="20"/>
      <c r="D438" s="20"/>
      <c r="F438" s="23"/>
      <c r="G438" s="23"/>
    </row>
    <row r="439" spans="1:7">
      <c r="A439" s="13">
        <v>46113</v>
      </c>
      <c r="B439" s="20"/>
      <c r="C439" s="20"/>
      <c r="D439" s="20"/>
      <c r="F439" s="23"/>
      <c r="G439" s="23"/>
    </row>
    <row r="440" spans="1:7">
      <c r="A440" s="13">
        <v>46143</v>
      </c>
      <c r="B440" s="20"/>
      <c r="C440" s="20"/>
      <c r="D440" s="20"/>
      <c r="F440" s="23"/>
      <c r="G440" s="23"/>
    </row>
    <row r="441" spans="1:7">
      <c r="A441" s="13">
        <v>46174</v>
      </c>
      <c r="B441" s="20"/>
      <c r="C441" s="20"/>
      <c r="D441" s="20"/>
      <c r="F441" s="23"/>
      <c r="G441" s="23"/>
    </row>
    <row r="442" spans="1:7">
      <c r="A442" s="13">
        <v>46204</v>
      </c>
      <c r="B442" s="20"/>
      <c r="C442" s="20"/>
      <c r="D442" s="20"/>
      <c r="F442" s="23"/>
      <c r="G442" s="23"/>
    </row>
    <row r="443" spans="1:7">
      <c r="A443" s="13">
        <v>46235</v>
      </c>
      <c r="B443" s="20"/>
      <c r="C443" s="20"/>
      <c r="D443" s="20"/>
      <c r="F443" s="23"/>
      <c r="G443" s="23"/>
    </row>
    <row r="444" spans="1:7">
      <c r="A444" s="13">
        <v>46266</v>
      </c>
      <c r="B444" s="20"/>
      <c r="C444" s="20"/>
      <c r="D444" s="20"/>
      <c r="F444" s="23"/>
      <c r="G444" s="23"/>
    </row>
    <row r="445" spans="1:7">
      <c r="A445" s="13">
        <v>46296</v>
      </c>
      <c r="B445" s="20"/>
      <c r="C445" s="20"/>
      <c r="D445" s="20"/>
      <c r="F445" s="23"/>
      <c r="G445" s="23"/>
    </row>
    <row r="446" spans="1:7">
      <c r="A446" s="13">
        <v>46327</v>
      </c>
      <c r="B446" s="20"/>
      <c r="C446" s="20"/>
      <c r="D446" s="20"/>
      <c r="F446" s="23"/>
      <c r="G446" s="23"/>
    </row>
    <row r="447" spans="1:7">
      <c r="A447" s="13">
        <v>46357</v>
      </c>
      <c r="B447" s="20"/>
      <c r="C447" s="20"/>
      <c r="D447" s="20"/>
      <c r="F447" s="23"/>
      <c r="G447" s="23"/>
    </row>
  </sheetData>
  <hyperlinks>
    <hyperlink ref="K2" r:id="rId1" xr:uid="{6990C334-B91F-4310-B587-69E33487D17C}"/>
    <hyperlink ref="K1" r:id="rId2" xr:uid="{A1C8F1C7-D9E4-4B74-A86E-866F6414FF9E}"/>
    <hyperlink ref="K3" r:id="rId3" xr:uid="{D3E044CC-C3F7-43EB-9602-60BA961AFE06}"/>
    <hyperlink ref="L3" r:id="rId4" xr:uid="{6BF14930-0B9B-4314-A906-3380C40C7533}"/>
    <hyperlink ref="D1" r:id="rId5" display="https://data.bls.gov/timeseries/CUUR0000SA0?years_option=all_years" xr:uid="{366E10AA-18DE-4342-8278-554C0B084E6D}"/>
    <hyperlink ref="C1" r:id="rId6" xr:uid="{1E33A742-15E5-44CE-AE64-5259A745FC61}"/>
    <hyperlink ref="M2" r:id="rId7" xr:uid="{CA7EFD0A-8813-43D5-9C91-05700DCBC0E7}"/>
    <hyperlink ref="B1" r:id="rId8" display="https://fred.stlouisfed.org/series/MCOILBRENTEU" xr:uid="{4C967DBF-9360-4056-832F-62FD146FA04B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Acciones</vt:lpstr>
      <vt:lpstr>Materias_Prim</vt:lpstr>
      <vt:lpstr>Monedas</vt:lpstr>
      <vt:lpstr>Actividad_Colombia</vt:lpstr>
      <vt:lpstr>Exogenas</vt:lpstr>
    </vt:vector>
  </TitlesOfParts>
  <Company>Bancolombia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Yesid Gonzalez Pena</dc:creator>
  <cp:lastModifiedBy>Arturo Yesid Gonzalez Pena</cp:lastModifiedBy>
  <dcterms:created xsi:type="dcterms:W3CDTF">2022-06-11T03:00:25Z</dcterms:created>
  <dcterms:modified xsi:type="dcterms:W3CDTF">2025-11-29T11:52:19Z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1bdff26-5887-4e5c-8426-6e404c233df0_Enabled">
    <vt:lpwstr>true</vt:lpwstr>
  </property>
  <property fmtid="{D5CDD505-2E9C-101B-9397-08002B2CF9AE}" pid="3" name="MSIP_Label_71bdff26-5887-4e5c-8426-6e404c233df0_SetDate">
    <vt:lpwstr>2025-07-03T21:27:40Z</vt:lpwstr>
  </property>
  <property fmtid="{D5CDD505-2E9C-101B-9397-08002B2CF9AE}" pid="4" name="MSIP_Label_71bdff26-5887-4e5c-8426-6e404c233df0_Method">
    <vt:lpwstr>Standard</vt:lpwstr>
  </property>
  <property fmtid="{D5CDD505-2E9C-101B-9397-08002B2CF9AE}" pid="5" name="MSIP_Label_71bdff26-5887-4e5c-8426-6e404c233df0_Name">
    <vt:lpwstr>71bdff26-5887-4e5c-8426-6e404c233df0</vt:lpwstr>
  </property>
  <property fmtid="{D5CDD505-2E9C-101B-9397-08002B2CF9AE}" pid="6" name="MSIP_Label_71bdff26-5887-4e5c-8426-6e404c233df0_SiteId">
    <vt:lpwstr>b5e244bd-c492-495b-8b10-61bfd453e423</vt:lpwstr>
  </property>
  <property fmtid="{D5CDD505-2E9C-101B-9397-08002B2CF9AE}" pid="7" name="MSIP_Label_71bdff26-5887-4e5c-8426-6e404c233df0_ActionId">
    <vt:lpwstr>7b6448bf-acc1-43f5-aec5-f7e5d95f0d17</vt:lpwstr>
  </property>
  <property fmtid="{D5CDD505-2E9C-101B-9397-08002B2CF9AE}" pid="8" name="MSIP_Label_71bdff26-5887-4e5c-8426-6e404c233df0_ContentBits">
    <vt:lpwstr>0</vt:lpwstr>
  </property>
  <property fmtid="{D5CDD505-2E9C-101B-9397-08002B2CF9AE}" pid="9" name="MSIP_Label_71bdff26-5887-4e5c-8426-6e404c233df0_Tag">
    <vt:lpwstr>10, 3, 0, 1</vt:lpwstr>
  </property>
</Properties>
</file>