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pos\Modelos_ARIMAX\Datos_ent\"/>
    </mc:Choice>
  </mc:AlternateContent>
  <xr:revisionPtr revIDLastSave="0" documentId="13_ncr:1_{CDB33398-E9C3-45DB-AC65-98D5A7023E02}" xr6:coauthVersionLast="47" xr6:coauthVersionMax="47" xr10:uidLastSave="{00000000-0000-0000-0000-000000000000}"/>
  <bookViews>
    <workbookView xWindow="-108" yWindow="-108" windowWidth="23256" windowHeight="12456" firstSheet="3" activeTab="4" xr2:uid="{A07C0AAA-3B1E-4A1D-91BA-DA08178054E0}"/>
  </bookViews>
  <sheets>
    <sheet name="Acciones" sheetId="1" r:id="rId1"/>
    <sheet name="Materias_Prim" sheetId="2" r:id="rId2"/>
    <sheet name="Monedas" sheetId="3" r:id="rId3"/>
    <sheet name="Actividad_Colombia" sheetId="4" r:id="rId4"/>
    <sheet name="Exogen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C322" i="3" l="1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9" i="2"/>
  <c r="A6" i="2"/>
  <c r="A7" i="2" s="1"/>
  <c r="A8" i="2" s="1"/>
</calcChain>
</file>

<file path=xl/sharedStrings.xml><?xml version="1.0" encoding="utf-8"?>
<sst xmlns="http://schemas.openxmlformats.org/spreadsheetml/2006/main" count="458" uniqueCount="108">
  <si>
    <t>Nombre</t>
  </si>
  <si>
    <t>Colombia</t>
  </si>
  <si>
    <t>Argentina</t>
  </si>
  <si>
    <t>Brasil</t>
  </si>
  <si>
    <t>Chile</t>
  </si>
  <si>
    <t>Perú</t>
  </si>
  <si>
    <t>México</t>
  </si>
  <si>
    <t>Rusia</t>
  </si>
  <si>
    <t>China</t>
  </si>
  <si>
    <t>Hong Kong</t>
  </si>
  <si>
    <t>Japón</t>
  </si>
  <si>
    <t>EE.UU</t>
  </si>
  <si>
    <t>Inglaterra</t>
  </si>
  <si>
    <t>España</t>
  </si>
  <si>
    <t>Francia</t>
  </si>
  <si>
    <t>Italia</t>
  </si>
  <si>
    <t>Europa</t>
  </si>
  <si>
    <t>Fecha</t>
  </si>
  <si>
    <t/>
  </si>
  <si>
    <t>Fuente:</t>
  </si>
  <si>
    <t>Reuters (promedio de los índices diarios)</t>
  </si>
  <si>
    <t>IMF Primary Commodity Prices</t>
  </si>
  <si>
    <t>Todos</t>
  </si>
  <si>
    <t>Todos menos oro</t>
  </si>
  <si>
    <t>Comida y bebidas</t>
  </si>
  <si>
    <t>Bebidas</t>
  </si>
  <si>
    <t>Insumos para la agricultura</t>
  </si>
  <si>
    <t>Metales</t>
  </si>
  <si>
    <t>Metales preciosos</t>
  </si>
  <si>
    <t>Fertilizantes</t>
  </si>
  <si>
    <t>Petróleo, Gas y Crbón</t>
  </si>
  <si>
    <t>Petróleo</t>
  </si>
  <si>
    <t>Gas Natural</t>
  </si>
  <si>
    <t>Carbón</t>
  </si>
  <si>
    <t>All Commodity Price Index, 2016 = 100, includes both Fuel and Non-Fuel Price Indices</t>
  </si>
  <si>
    <t>Commodities for Index: All, excluding Gold, 2016 = 100</t>
  </si>
  <si>
    <t>Non-Fuel Price Index, 2016 = 100, includes Precious Metal, Food and Beverages and Industrial Inputs Price Indices</t>
  </si>
  <si>
    <t>Food and Beverage Price Index, 2016 = 100, includes Food and Beverage Price Indices</t>
  </si>
  <si>
    <t>Food Price Index, 2016 = 100, includes Cereal, Vegetable Oils, Meat, Seafood, Sugar, and Other Food (Apple (non-citrus fruit), Bananas, Chana (legumes), Fishmeal, Groundnuts, Milk (dairy), Tomato (veg)) Price Indices</t>
  </si>
  <si>
    <t>Beverage Price Index, 2016 = 100, includes Coffee, Tea, and Cocoa</t>
  </si>
  <si>
    <t>Industrial Inputs Price Index, 2016 = 100, includes Agricultural Raw Materials and Base Metals Price Indices</t>
  </si>
  <si>
    <t>Agriculture Price Index, 2016 = 100, includes Food and Beverages and Agriculture Raw Materials Price Indices</t>
  </si>
  <si>
    <t>Agricultural Raw Materials Index, 2016 = 100, includes Timber, Cotton, Wool, Rubber, and Hides Price Indices</t>
  </si>
  <si>
    <t>All Metals Index, 2016 = 100: includes Metal Price Index (Base Metals) and Precious Metals Index</t>
  </si>
  <si>
    <t>Base Metals Price Index, 2016 = 100, includes Aluminum, Cobalt, Copper, Iron Ore, Lead, Molybdenum, Nickel, Tin, Uranium and Zinc Price Indices</t>
  </si>
  <si>
    <t>Precious Metals Price Index, 2016 = 100, includes Gold, Silver, Palladium and Platinum Price Indices</t>
  </si>
  <si>
    <t xml:space="preserve">All Metals EX GOLD Index, 2016 = 100: includes Metal Price Index (Base Metals) and ONLY Silver, Palladium, Platinum </t>
  </si>
  <si>
    <t>Fertilizer Index, 2016 = 100, includes DAP, Potash, UREA</t>
  </si>
  <si>
    <t>Fuel (Energy) Index, 2016 = 100, includes Crude oil (petroleum), Natural Gas, Coal Price and Propane Indices</t>
  </si>
  <si>
    <t>Crude Oil (petroleum), Price index, 2016 = 100, simple average of three spot prices; Dated Brent, West Texas Intermediate, and the Dubai Fateh</t>
  </si>
  <si>
    <t>Natural Gas Price Index, 2016 = 100, includes European, Japanese, and American Natural Gas Price Indices</t>
  </si>
  <si>
    <t>Coal Price Index, 2016 = 100, includes Australian and South African Coal</t>
  </si>
  <si>
    <t>DXY_Curncy</t>
  </si>
  <si>
    <t>año</t>
  </si>
  <si>
    <t>mes</t>
  </si>
  <si>
    <t>Peru</t>
  </si>
  <si>
    <t>Mexico</t>
  </si>
  <si>
    <t>Brent</t>
  </si>
  <si>
    <t>Datos Originales</t>
  </si>
  <si>
    <t>Datos con ajuste estacional</t>
  </si>
  <si>
    <t>Agricultura</t>
  </si>
  <si>
    <t>Minería</t>
  </si>
  <si>
    <t>Industria</t>
  </si>
  <si>
    <t>Energia</t>
  </si>
  <si>
    <t>Construcción</t>
  </si>
  <si>
    <t>Comercio</t>
  </si>
  <si>
    <t>Info_Comunicaciones</t>
  </si>
  <si>
    <t>Financiero</t>
  </si>
  <si>
    <t>Inmobiliario</t>
  </si>
  <si>
    <t>Serv_Profesionales</t>
  </si>
  <si>
    <t>Serv_Comunales_sociales</t>
  </si>
  <si>
    <t>Recreación</t>
  </si>
  <si>
    <t>ISE</t>
  </si>
  <si>
    <t>Indicadores de seguimiento a la economía - ISE - DANE</t>
  </si>
  <si>
    <t>IP_Index</t>
  </si>
  <si>
    <t>CPI_EEUU</t>
  </si>
  <si>
    <t>Fuente: FRED, BLS y EIA-STEO</t>
  </si>
  <si>
    <t>Alemania</t>
  </si>
  <si>
    <t>.COLCAP</t>
  </si>
  <si>
    <t>.MERV</t>
  </si>
  <si>
    <t>.BVSP</t>
  </si>
  <si>
    <t>.SPIPSA</t>
  </si>
  <si>
    <t>.MXX</t>
  </si>
  <si>
    <t>.IMOEX</t>
  </si>
  <si>
    <t>.SSEC</t>
  </si>
  <si>
    <t>.HSI</t>
  </si>
  <si>
    <t>.N225E</t>
  </si>
  <si>
    <t>.SPX</t>
  </si>
  <si>
    <t>.FTSE</t>
  </si>
  <si>
    <t>.DAX</t>
  </si>
  <si>
    <t>.IBEX</t>
  </si>
  <si>
    <t>.FCHI</t>
  </si>
  <si>
    <t>.FTMIB</t>
  </si>
  <si>
    <t>.STOXX</t>
  </si>
  <si>
    <t>Proyecciones:</t>
  </si>
  <si>
    <t>STEO</t>
  </si>
  <si>
    <t>FOMC</t>
  </si>
  <si>
    <t>NOAA</t>
  </si>
  <si>
    <t>CPC</t>
  </si>
  <si>
    <t>CPI_Index</t>
  </si>
  <si>
    <t>Otras fuentes</t>
  </si>
  <si>
    <t>Panamá</t>
  </si>
  <si>
    <t>FRED</t>
  </si>
  <si>
    <t>BLS</t>
  </si>
  <si>
    <t>EBP</t>
  </si>
  <si>
    <t>PROMEDIO.SI.CONJUNTO('[BD Mercados Financieros_V2.xlsx]Índices bursátiles'!$E$10:$E$3845,'[BD Mercados Financieros_V2.xlsx]Índices bursátiles'!$Z$10:$Z$3845,AÑO($A418),'[BD Mercados Financieros_V2.xlsx]Índices bursátiles'!$AA$10:$AA$3845,MES($A418))</t>
  </si>
  <si>
    <t>.BVPSI</t>
  </si>
  <si>
    <t>Completar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</si>
</sst>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m\-yyyy"/>
    <numFmt numFmtId="166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3" tint="0.249977111117893"/>
      <name val="Calibri"/>
      <family val="2"/>
      <scheme val="minor"/>
    </font>
    <font>
      <b/>
      <sz val="10"/>
      <color theme="0"/>
      <name val="CIBFont Sans"/>
      <family val="2"/>
    </font>
    <font>
      <sz val="11"/>
      <color theme="7" tint="-0.499984740745262"/>
      <name val="Calibri"/>
      <family val="2"/>
      <scheme val="minor"/>
    </font>
    <font>
      <b/>
      <sz val="9"/>
      <color theme="1"/>
      <name val="Arial 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8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rgb="FFBBBBBB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3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0" fontId="2" fillId="0" borderId="0" xfId="0" applyFont="1"/>
    <xf numFmtId="0" fontId="3" fillId="0" borderId="0" xfId="0" applyFont="1"/>
    <xf numFmtId="0" fontId="4" fillId="0" borderId="0" xfId="2"/>
    <xf numFmtId="0" fontId="2" fillId="3" borderId="0" xfId="0" applyFont="1" applyFill="1"/>
    <xf numFmtId="17" fontId="0" fillId="3" borderId="0" xfId="0" applyNumberFormat="1" applyFill="1"/>
    <xf numFmtId="0" fontId="5" fillId="0" borderId="0" xfId="0" applyFont="1" applyAlignment="1">
      <alignment horizontal="center"/>
    </xf>
    <xf numFmtId="1" fontId="6" fillId="4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4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0" fillId="7" borderId="1" xfId="0" applyFont="1" applyFill="1" applyBorder="1" applyAlignment="1">
      <alignment horizontal="center" vertical="center" wrapText="1"/>
    </xf>
    <xf numFmtId="165" fontId="10" fillId="7" borderId="0" xfId="0" applyNumberFormat="1" applyFont="1" applyFill="1" applyAlignment="1">
      <alignment horizontal="center" vertical="center" wrapText="1"/>
    </xf>
    <xf numFmtId="164" fontId="11" fillId="8" borderId="0" xfId="1" applyNumberFormat="1" applyFont="1" applyFill="1" applyBorder="1" applyAlignment="1">
      <alignment horizontal="center" wrapText="1"/>
    </xf>
    <xf numFmtId="0" fontId="12" fillId="0" borderId="0" xfId="2" applyFont="1"/>
    <xf numFmtId="164" fontId="9" fillId="6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6" fontId="14" fillId="9" borderId="0" xfId="1" applyNumberFormat="1" applyFont="1" applyFill="1" applyAlignment="1">
      <alignment horizontal="center"/>
    </xf>
    <xf numFmtId="0" fontId="4" fillId="0" borderId="0" xfId="2" applyAlignment="1">
      <alignment horizontal="center"/>
    </xf>
    <xf numFmtId="0" fontId="15" fillId="0" borderId="0" xfId="0" applyFont="1"/>
    <xf numFmtId="0" fontId="16" fillId="0" borderId="0" xfId="0" applyFont="1"/>
  </cellXfs>
  <cellStyles count="5">
    <cellStyle name="Hipervínculo" xfId="2" builtinId="8"/>
    <cellStyle name="Normal" xfId="0" builtinId="0"/>
    <cellStyle name="Normal 2" xfId="3" xr:uid="{ED6DAC38-6E2A-4699-A0E2-C3BCA737C35C}"/>
    <cellStyle name="Normal 2 2" xfId="4" xr:uid="{EB3F32C1-06D6-42ED-9171-E44A6FACAE4A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mf.org/en/Research/commodity-pric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ane.gov.co/index.php/estadisticas-por-tema/cuentas-nacionales/indicador-de-seguimiento-a-la-economia-is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MCOILBRENTEU" TargetMode="External"/><Relationship Id="rId3" Type="http://schemas.openxmlformats.org/officeDocument/2006/relationships/hyperlink" Target="https://www.cpc.ncep.noaa.gov/data/indices/sstoi.indices" TargetMode="External"/><Relationship Id="rId7" Type="http://schemas.openxmlformats.org/officeDocument/2006/relationships/hyperlink" Target="https://www.federalreserve.gov/econres/economic-research-data.htm" TargetMode="External"/><Relationship Id="rId2" Type="http://schemas.openxmlformats.org/officeDocument/2006/relationships/hyperlink" Target="https://www.eia.gov/outlooks/steo/outlook.php" TargetMode="External"/><Relationship Id="rId1" Type="http://schemas.openxmlformats.org/officeDocument/2006/relationships/hyperlink" Target="https://www.federalreserve.gov/monetarypolicy/files/fomcprojtabl20230614.pdf" TargetMode="External"/><Relationship Id="rId6" Type="http://schemas.openxmlformats.org/officeDocument/2006/relationships/hyperlink" Target="https://fred.stlouisfed.org/series/INDPRO" TargetMode="External"/><Relationship Id="rId5" Type="http://schemas.openxmlformats.org/officeDocument/2006/relationships/hyperlink" Target="https://data.bls.gov/timeseries/CUUR0000SA0?years_option=all_years" TargetMode="External"/><Relationship Id="rId4" Type="http://schemas.openxmlformats.org/officeDocument/2006/relationships/hyperlink" Target="https://www.cpc.ncep.noaa.gov/products/analysis_monitoring/enso_advisory/ensodisc_Sp.shtml" TargetMode="External"/><Relationship Id="rId9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19A1-6421-439C-ABF3-F7A990CAEE97}">
  <dimension ref="A1:U464"/>
  <sheetViews>
    <sheetView zoomScale="85" zoomScaleNormal="85" workbookViewId="0">
      <pane xSplit="1" ySplit="4" topLeftCell="N421" activePane="bottomRight" state="frozen"/>
      <selection pane="topRight" activeCell="B1" sqref="B1"/>
      <selection pane="bottomLeft" activeCell="A4" sqref="A4"/>
      <selection pane="bottomRight" activeCell="Q436" sqref="Q436"/>
    </sheetView>
  </sheetViews>
  <sheetFormatPr baseColWidth="10" defaultRowHeight="14.4"/>
  <sheetData>
    <row r="1" spans="1:18">
      <c r="A1" t="s">
        <v>19</v>
      </c>
      <c r="B1" s="6" t="s">
        <v>20</v>
      </c>
    </row>
    <row r="2" spans="1:18">
      <c r="L2" s="6"/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101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77</v>
      </c>
      <c r="O3" t="s">
        <v>13</v>
      </c>
      <c r="P3" t="s">
        <v>14</v>
      </c>
      <c r="Q3" t="s">
        <v>15</v>
      </c>
      <c r="R3" t="s">
        <v>16</v>
      </c>
    </row>
    <row r="4" spans="1:18">
      <c r="A4" s="1" t="s">
        <v>17</v>
      </c>
      <c r="B4" t="s">
        <v>78</v>
      </c>
      <c r="C4" t="s">
        <v>79</v>
      </c>
      <c r="D4" t="s">
        <v>80</v>
      </c>
      <c r="E4" t="s">
        <v>81</v>
      </c>
      <c r="F4" t="s">
        <v>106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 t="s">
        <v>91</v>
      </c>
      <c r="Q4" t="s">
        <v>92</v>
      </c>
      <c r="R4" t="s">
        <v>93</v>
      </c>
    </row>
    <row r="5" spans="1:18">
      <c r="A5" s="2">
        <v>32874</v>
      </c>
      <c r="B5" s="3" t="s">
        <v>18</v>
      </c>
      <c r="C5" s="3" t="s">
        <v>18</v>
      </c>
      <c r="D5" s="3">
        <v>8.9649261538461544E-3</v>
      </c>
      <c r="E5" s="3" t="s">
        <v>18</v>
      </c>
      <c r="F5" s="3" t="s">
        <v>18</v>
      </c>
      <c r="G5" s="3">
        <v>434.41184879230775</v>
      </c>
      <c r="H5" s="3" t="s">
        <v>18</v>
      </c>
      <c r="I5" s="3" t="s">
        <v>18</v>
      </c>
      <c r="J5" s="3">
        <v>2801.6165384615383</v>
      </c>
      <c r="K5" s="3">
        <v>37599.343461538461</v>
      </c>
      <c r="L5" s="3">
        <v>340.92538461538453</v>
      </c>
      <c r="M5" s="3">
        <v>2372.1076923076926</v>
      </c>
      <c r="N5" s="3" t="s">
        <v>18</v>
      </c>
      <c r="O5" s="3" t="s">
        <v>18</v>
      </c>
      <c r="P5" s="3">
        <v>1946.6203846153849</v>
      </c>
      <c r="Q5" s="3" t="s">
        <v>18</v>
      </c>
      <c r="R5" s="3">
        <v>107.4703846153846</v>
      </c>
    </row>
    <row r="6" spans="1:18">
      <c r="A6" s="2">
        <v>32905</v>
      </c>
      <c r="B6" s="3" t="s">
        <v>18</v>
      </c>
      <c r="C6" s="3" t="s">
        <v>18</v>
      </c>
      <c r="D6" s="3">
        <v>1.4933107692307686E-2</v>
      </c>
      <c r="E6" s="3" t="s">
        <v>18</v>
      </c>
      <c r="F6" s="3" t="s">
        <v>18</v>
      </c>
      <c r="G6" s="3">
        <v>469.53038258846158</v>
      </c>
      <c r="H6" s="3" t="s">
        <v>18</v>
      </c>
      <c r="I6" s="3" t="s">
        <v>18</v>
      </c>
      <c r="J6" s="3">
        <v>2870.3857692307693</v>
      </c>
      <c r="K6" s="3">
        <v>36667.475769230761</v>
      </c>
      <c r="L6" s="3">
        <v>330.6642307692307</v>
      </c>
      <c r="M6" s="3">
        <v>2300.5246153846156</v>
      </c>
      <c r="N6" s="3" t="s">
        <v>18</v>
      </c>
      <c r="O6" s="3" t="s">
        <v>18</v>
      </c>
      <c r="P6" s="3">
        <v>1867.646538461539</v>
      </c>
      <c r="Q6" s="3" t="s">
        <v>18</v>
      </c>
      <c r="R6" s="3">
        <v>105.68576923076922</v>
      </c>
    </row>
    <row r="7" spans="1:18">
      <c r="A7" s="2">
        <v>32933</v>
      </c>
      <c r="B7" s="3" t="s">
        <v>18</v>
      </c>
      <c r="C7" s="3" t="s">
        <v>18</v>
      </c>
      <c r="D7" s="3">
        <v>1.4902924999999999E-2</v>
      </c>
      <c r="E7" s="3" t="s">
        <v>18</v>
      </c>
      <c r="F7" s="3" t="s">
        <v>18</v>
      </c>
      <c r="G7" s="3">
        <v>480.93019430357134</v>
      </c>
      <c r="H7" s="3" t="s">
        <v>18</v>
      </c>
      <c r="I7" s="3" t="s">
        <v>18</v>
      </c>
      <c r="J7" s="3">
        <v>2935.7603571428567</v>
      </c>
      <c r="K7" s="3">
        <v>32296.636428571419</v>
      </c>
      <c r="L7" s="3">
        <v>338.36821428571432</v>
      </c>
      <c r="M7" s="3">
        <v>2250.2571428571432</v>
      </c>
      <c r="N7" s="3"/>
      <c r="O7" s="3" t="s">
        <v>18</v>
      </c>
      <c r="P7" s="3">
        <v>1921.2664285714291</v>
      </c>
      <c r="Q7" s="3" t="s">
        <v>18</v>
      </c>
      <c r="R7" s="3">
        <v>104.34</v>
      </c>
    </row>
    <row r="8" spans="1:18">
      <c r="A8" s="2">
        <v>32964</v>
      </c>
      <c r="B8" s="3" t="s">
        <v>18</v>
      </c>
      <c r="C8" s="3" t="s">
        <v>18</v>
      </c>
      <c r="D8" s="3">
        <v>1.238071153846154E-2</v>
      </c>
      <c r="E8" s="3" t="s">
        <v>18</v>
      </c>
      <c r="F8" s="3" t="s">
        <v>18</v>
      </c>
      <c r="G8" s="3">
        <v>515.58046546538469</v>
      </c>
      <c r="H8" s="3" t="s">
        <v>18</v>
      </c>
      <c r="I8" s="3" t="s">
        <v>18</v>
      </c>
      <c r="J8" s="3">
        <v>2994.8988461538465</v>
      </c>
      <c r="K8" s="3">
        <v>29316.140384615381</v>
      </c>
      <c r="L8" s="3">
        <v>338.32653846153846</v>
      </c>
      <c r="M8" s="3">
        <v>2194.7807692307683</v>
      </c>
      <c r="N8" s="3"/>
      <c r="O8" s="3" t="s">
        <v>18</v>
      </c>
      <c r="P8" s="3">
        <v>2073.7519230769221</v>
      </c>
      <c r="Q8" s="3" t="s">
        <v>18</v>
      </c>
      <c r="R8" s="3">
        <v>104.57884615384613</v>
      </c>
    </row>
    <row r="9" spans="1:18">
      <c r="A9" s="2">
        <v>32994</v>
      </c>
      <c r="B9" s="3" t="s">
        <v>18</v>
      </c>
      <c r="C9" s="3" t="s">
        <v>18</v>
      </c>
      <c r="D9" s="3">
        <v>1.4524922222222221E-2</v>
      </c>
      <c r="E9" s="3" t="s">
        <v>18</v>
      </c>
      <c r="F9" s="3" t="s">
        <v>18</v>
      </c>
      <c r="G9" s="3">
        <v>608.29532652222235</v>
      </c>
      <c r="H9" s="3" t="s">
        <v>18</v>
      </c>
      <c r="I9" s="3" t="s">
        <v>18</v>
      </c>
      <c r="J9" s="3">
        <v>2984.9318518518526</v>
      </c>
      <c r="K9" s="3">
        <v>31674.20185185186</v>
      </c>
      <c r="L9" s="3">
        <v>350.35888888888888</v>
      </c>
      <c r="M9" s="3">
        <v>2227.537037037037</v>
      </c>
      <c r="N9" s="3"/>
      <c r="O9" s="3" t="s">
        <v>18</v>
      </c>
      <c r="P9" s="3">
        <v>2101.0222222222224</v>
      </c>
      <c r="Q9" s="3" t="s">
        <v>18</v>
      </c>
      <c r="R9" s="3">
        <v>105.96444444444444</v>
      </c>
    </row>
    <row r="10" spans="1:18">
      <c r="A10" s="2">
        <v>33025</v>
      </c>
      <c r="B10" s="3" t="s">
        <v>18</v>
      </c>
      <c r="C10" s="3" t="s">
        <v>18</v>
      </c>
      <c r="D10" s="3">
        <v>1.5326685185185185E-2</v>
      </c>
      <c r="E10" s="3" t="s">
        <v>18</v>
      </c>
      <c r="F10" s="3" t="s">
        <v>18</v>
      </c>
      <c r="G10" s="3">
        <v>628.7045604481483</v>
      </c>
      <c r="H10" s="3" t="s">
        <v>18</v>
      </c>
      <c r="I10" s="3" t="s">
        <v>18</v>
      </c>
      <c r="J10" s="3">
        <v>3210.7037037037039</v>
      </c>
      <c r="K10" s="3">
        <v>32392.919629629625</v>
      </c>
      <c r="L10" s="3">
        <v>360.35222222222222</v>
      </c>
      <c r="M10" s="3">
        <v>2376.7148148148149</v>
      </c>
      <c r="N10" s="3"/>
      <c r="O10" s="3" t="s">
        <v>18</v>
      </c>
      <c r="P10" s="3">
        <v>2035.0600000000006</v>
      </c>
      <c r="Q10" s="3" t="s">
        <v>18</v>
      </c>
      <c r="R10" s="3">
        <v>109.7674074074074</v>
      </c>
    </row>
    <row r="11" spans="1:18">
      <c r="A11" s="2">
        <v>33055</v>
      </c>
      <c r="B11" s="3" t="s">
        <v>18</v>
      </c>
      <c r="C11" s="3" t="s">
        <v>18</v>
      </c>
      <c r="D11" s="3">
        <v>2.4012874074074084E-2</v>
      </c>
      <c r="E11" s="3" t="s">
        <v>18</v>
      </c>
      <c r="F11" s="3" t="s">
        <v>18</v>
      </c>
      <c r="G11" s="3">
        <v>649.52304869629631</v>
      </c>
      <c r="H11" s="3" t="s">
        <v>18</v>
      </c>
      <c r="I11" s="3" t="s">
        <v>18</v>
      </c>
      <c r="J11" s="3">
        <v>3451.3644444444449</v>
      </c>
      <c r="K11" s="3">
        <v>32169.309259259258</v>
      </c>
      <c r="L11" s="3">
        <v>360.00037037037043</v>
      </c>
      <c r="M11" s="3">
        <v>2361.2703703703701</v>
      </c>
      <c r="N11" s="3"/>
      <c r="O11" s="3" t="s">
        <v>18</v>
      </c>
      <c r="P11" s="3">
        <v>1998.1133333333335</v>
      </c>
      <c r="Q11" s="3" t="s">
        <v>18</v>
      </c>
      <c r="R11" s="3">
        <v>111.15518518518518</v>
      </c>
    </row>
    <row r="12" spans="1:18">
      <c r="A12" s="2">
        <v>33086</v>
      </c>
      <c r="B12" s="3" t="s">
        <v>18</v>
      </c>
      <c r="C12" s="3" t="s">
        <v>18</v>
      </c>
      <c r="D12" s="3">
        <v>2.8173707142857145E-2</v>
      </c>
      <c r="E12" s="3" t="s">
        <v>18</v>
      </c>
      <c r="F12" s="3" t="s">
        <v>18</v>
      </c>
      <c r="G12" s="3">
        <v>620.69819205714271</v>
      </c>
      <c r="H12" s="3" t="s">
        <v>18</v>
      </c>
      <c r="I12" s="3" t="s">
        <v>18</v>
      </c>
      <c r="J12" s="3">
        <v>3113.9335714285708</v>
      </c>
      <c r="K12" s="3">
        <v>27007.678214285716</v>
      </c>
      <c r="L12" s="3">
        <v>331.13392857142856</v>
      </c>
      <c r="M12" s="3">
        <v>2194.4250000000002</v>
      </c>
      <c r="N12" s="3"/>
      <c r="O12" s="3" t="s">
        <v>18</v>
      </c>
      <c r="P12" s="3">
        <v>1727.6042857142857</v>
      </c>
      <c r="Q12" s="3" t="s">
        <v>18</v>
      </c>
      <c r="R12" s="3">
        <v>100.45642857142857</v>
      </c>
    </row>
    <row r="13" spans="1:18">
      <c r="A13" s="2">
        <v>33117</v>
      </c>
      <c r="B13" s="3" t="s">
        <v>18</v>
      </c>
      <c r="C13" s="3" t="s">
        <v>18</v>
      </c>
      <c r="D13" s="3">
        <v>2.3666080769230768E-2</v>
      </c>
      <c r="E13" s="3" t="s">
        <v>18</v>
      </c>
      <c r="F13" s="3" t="s">
        <v>18</v>
      </c>
      <c r="G13" s="3">
        <v>558.47428071923071</v>
      </c>
      <c r="H13" s="3" t="s">
        <v>18</v>
      </c>
      <c r="I13" s="3" t="s">
        <v>18</v>
      </c>
      <c r="J13" s="3">
        <v>2982.3873076923087</v>
      </c>
      <c r="K13" s="3">
        <v>24005.108076923079</v>
      </c>
      <c r="L13" s="3">
        <v>316.07730769230778</v>
      </c>
      <c r="M13" s="3">
        <v>2083.7846153846153</v>
      </c>
      <c r="N13" s="3"/>
      <c r="O13" s="3" t="s">
        <v>18</v>
      </c>
      <c r="P13" s="3">
        <v>1590.3103846153847</v>
      </c>
      <c r="Q13" s="3" t="s">
        <v>18</v>
      </c>
      <c r="R13" s="3">
        <v>92.626923076923077</v>
      </c>
    </row>
    <row r="14" spans="1:18">
      <c r="A14" s="2">
        <v>33147</v>
      </c>
      <c r="B14" s="3" t="s">
        <v>18</v>
      </c>
      <c r="C14" s="3" t="s">
        <v>18</v>
      </c>
      <c r="D14" s="3">
        <v>2.0568260714285722E-2</v>
      </c>
      <c r="E14" s="3" t="s">
        <v>18</v>
      </c>
      <c r="F14" s="3" t="s">
        <v>18</v>
      </c>
      <c r="G14" s="3">
        <v>578.79552351428572</v>
      </c>
      <c r="H14" s="3" t="s">
        <v>18</v>
      </c>
      <c r="I14" s="3" t="s">
        <v>18</v>
      </c>
      <c r="J14" s="3">
        <v>2947.0032142857149</v>
      </c>
      <c r="K14" s="3">
        <v>23749.908928571425</v>
      </c>
      <c r="L14" s="3">
        <v>307.28892857142853</v>
      </c>
      <c r="M14" s="3">
        <v>2094.7785714285715</v>
      </c>
      <c r="N14" s="3"/>
      <c r="O14" s="3" t="s">
        <v>18</v>
      </c>
      <c r="P14" s="3">
        <v>1598.8617857142856</v>
      </c>
      <c r="Q14" s="3" t="s">
        <v>18</v>
      </c>
      <c r="R14" s="3">
        <v>91.082857142857151</v>
      </c>
    </row>
    <row r="15" spans="1:18">
      <c r="A15" s="2">
        <v>33178</v>
      </c>
      <c r="B15" s="3" t="s">
        <v>18</v>
      </c>
      <c r="C15" s="3" t="s">
        <v>18</v>
      </c>
      <c r="D15" s="3">
        <v>2.3121925925925928E-2</v>
      </c>
      <c r="E15" s="3" t="s">
        <v>18</v>
      </c>
      <c r="F15" s="3" t="s">
        <v>18</v>
      </c>
      <c r="G15" s="3">
        <v>613.87926795185183</v>
      </c>
      <c r="H15" s="3" t="s">
        <v>18</v>
      </c>
      <c r="I15" s="3" t="s">
        <v>18</v>
      </c>
      <c r="J15" s="3">
        <v>2986.0622222222223</v>
      </c>
      <c r="K15" s="3">
        <v>23466.202592592592</v>
      </c>
      <c r="L15" s="3">
        <v>315.06666666666672</v>
      </c>
      <c r="M15" s="3">
        <v>2086.9296296296297</v>
      </c>
      <c r="N15" s="3"/>
      <c r="O15" s="3" t="s">
        <v>18</v>
      </c>
      <c r="P15" s="3">
        <v>1613.0366666666666</v>
      </c>
      <c r="Q15" s="3" t="s">
        <v>18</v>
      </c>
      <c r="R15" s="3">
        <v>89.219629629629608</v>
      </c>
    </row>
    <row r="16" spans="1:18">
      <c r="A16" s="2">
        <v>33208</v>
      </c>
      <c r="B16" s="3" t="s">
        <v>18</v>
      </c>
      <c r="C16" s="3" t="s">
        <v>18</v>
      </c>
      <c r="D16" s="3">
        <v>2.5021448148148148E-2</v>
      </c>
      <c r="E16" s="3" t="s">
        <v>18</v>
      </c>
      <c r="F16" s="3" t="s">
        <v>18</v>
      </c>
      <c r="G16" s="3">
        <v>639.35443568148162</v>
      </c>
      <c r="H16" s="3" t="s">
        <v>18</v>
      </c>
      <c r="I16" s="3">
        <v>116.20399999999998</v>
      </c>
      <c r="J16" s="3">
        <v>3084.3948148148152</v>
      </c>
      <c r="K16" s="3">
        <v>23683.747407407398</v>
      </c>
      <c r="L16" s="3">
        <v>328.27407407407401</v>
      </c>
      <c r="M16" s="3">
        <v>2164.0333333333342</v>
      </c>
      <c r="N16" s="3"/>
      <c r="O16" s="3" t="s">
        <v>18</v>
      </c>
      <c r="P16" s="3">
        <v>1613.4822222222224</v>
      </c>
      <c r="Q16" s="3" t="s">
        <v>18</v>
      </c>
      <c r="R16" s="3">
        <v>90.863703703703678</v>
      </c>
    </row>
    <row r="17" spans="1:18">
      <c r="A17" s="2">
        <v>33239</v>
      </c>
      <c r="B17" s="4">
        <v>20.106013986473993</v>
      </c>
      <c r="C17" s="3" t="s">
        <v>18</v>
      </c>
      <c r="D17" s="3">
        <v>3.2550139285714291E-2</v>
      </c>
      <c r="E17" s="3" t="s">
        <v>18</v>
      </c>
      <c r="F17" s="3" t="s">
        <v>18</v>
      </c>
      <c r="G17" s="3">
        <v>600.35071018571421</v>
      </c>
      <c r="H17" s="3" t="s">
        <v>18</v>
      </c>
      <c r="I17" s="3">
        <v>132.5842857142857</v>
      </c>
      <c r="J17" s="3">
        <v>3081.8160714285709</v>
      </c>
      <c r="K17" s="3">
        <v>23421.247142857137</v>
      </c>
      <c r="L17" s="3">
        <v>325.3807142857143</v>
      </c>
      <c r="M17" s="3">
        <v>2108.3392857142858</v>
      </c>
      <c r="N17" s="3"/>
      <c r="O17" s="3" t="s">
        <v>18</v>
      </c>
      <c r="P17" s="3">
        <v>1529.9099999999999</v>
      </c>
      <c r="Q17" s="3" t="s">
        <v>18</v>
      </c>
      <c r="R17" s="3">
        <v>87.728928571428568</v>
      </c>
    </row>
    <row r="18" spans="1:18">
      <c r="A18" s="2">
        <v>33270</v>
      </c>
      <c r="B18" s="4">
        <v>21.697617436257339</v>
      </c>
      <c r="C18" s="3" t="s">
        <v>18</v>
      </c>
      <c r="D18" s="3">
        <v>5.9124658333333323E-2</v>
      </c>
      <c r="E18" s="3" t="s">
        <v>18</v>
      </c>
      <c r="F18" s="3" t="s">
        <v>18</v>
      </c>
      <c r="G18" s="3">
        <v>646.59029897500011</v>
      </c>
      <c r="H18" s="3" t="s">
        <v>18</v>
      </c>
      <c r="I18" s="3">
        <v>131.84083333333331</v>
      </c>
      <c r="J18" s="3">
        <v>3409.4212499999994</v>
      </c>
      <c r="K18" s="3">
        <v>25046.361250000002</v>
      </c>
      <c r="L18" s="3">
        <v>361.64416666666671</v>
      </c>
      <c r="M18" s="3">
        <v>2272.4000000000005</v>
      </c>
      <c r="N18" s="3"/>
      <c r="O18" s="3" t="s">
        <v>18</v>
      </c>
      <c r="P18" s="3">
        <v>1658.8341666666665</v>
      </c>
      <c r="Q18" s="3" t="s">
        <v>18</v>
      </c>
      <c r="R18" s="3">
        <v>95.275833333333324</v>
      </c>
    </row>
    <row r="19" spans="1:18">
      <c r="A19" s="2">
        <v>33298</v>
      </c>
      <c r="B19" s="4">
        <v>21.921344678273741</v>
      </c>
      <c r="C19" s="3" t="s">
        <v>18</v>
      </c>
      <c r="D19" s="3">
        <v>6.3965644444444442E-2</v>
      </c>
      <c r="E19" s="3" t="s">
        <v>18</v>
      </c>
      <c r="F19" s="3" t="s">
        <v>18</v>
      </c>
      <c r="G19" s="3">
        <v>743.28129972222246</v>
      </c>
      <c r="H19" s="3" t="s">
        <v>18</v>
      </c>
      <c r="I19" s="3">
        <v>126.16777777777776</v>
      </c>
      <c r="J19" s="3">
        <v>3672.362222222222</v>
      </c>
      <c r="K19" s="3">
        <v>26461.45407407407</v>
      </c>
      <c r="L19" s="3">
        <v>372.49851851851844</v>
      </c>
      <c r="M19" s="3">
        <v>2449.6370370370364</v>
      </c>
      <c r="N19" s="3"/>
      <c r="O19" s="3" t="s">
        <v>18</v>
      </c>
      <c r="P19" s="3">
        <v>1791.512962962963</v>
      </c>
      <c r="Q19" s="3" t="s">
        <v>18</v>
      </c>
      <c r="R19" s="3">
        <v>102.91851851851852</v>
      </c>
    </row>
    <row r="20" spans="1:18">
      <c r="A20" s="2">
        <v>33329</v>
      </c>
      <c r="B20" s="4">
        <v>20.292453354820992</v>
      </c>
      <c r="C20" s="3" t="s">
        <v>18</v>
      </c>
      <c r="D20" s="3">
        <v>6.8836585185185165E-2</v>
      </c>
      <c r="E20" s="3" t="s">
        <v>18</v>
      </c>
      <c r="F20" s="3" t="s">
        <v>18</v>
      </c>
      <c r="G20" s="3">
        <v>886.72019675185197</v>
      </c>
      <c r="H20" s="3" t="s">
        <v>18</v>
      </c>
      <c r="I20" s="3">
        <v>118.53037037037038</v>
      </c>
      <c r="J20" s="3">
        <v>3715.0555555555561</v>
      </c>
      <c r="K20" s="3">
        <v>26472.864074074078</v>
      </c>
      <c r="L20" s="3">
        <v>379.52888888888884</v>
      </c>
      <c r="M20" s="3">
        <v>2513.4148148148151</v>
      </c>
      <c r="N20" s="3"/>
      <c r="O20" s="3" t="s">
        <v>18</v>
      </c>
      <c r="P20" s="3">
        <v>1813.0455555555554</v>
      </c>
      <c r="Q20" s="3" t="s">
        <v>18</v>
      </c>
      <c r="R20" s="3">
        <v>105.7348148148148</v>
      </c>
    </row>
    <row r="21" spans="1:18">
      <c r="A21" s="2">
        <v>33359</v>
      </c>
      <c r="B21" s="4">
        <v>22.307961052635413</v>
      </c>
      <c r="C21" s="3" t="s">
        <v>18</v>
      </c>
      <c r="D21" s="3">
        <v>8.0771457142857134E-2</v>
      </c>
      <c r="E21" s="3" t="s">
        <v>18</v>
      </c>
      <c r="F21" s="3" t="s">
        <v>18</v>
      </c>
      <c r="G21" s="3">
        <v>1004.8876037928574</v>
      </c>
      <c r="H21" s="3" t="s">
        <v>18</v>
      </c>
      <c r="I21" s="3">
        <v>109.92821428571426</v>
      </c>
      <c r="J21" s="3">
        <v>3747.588928571427</v>
      </c>
      <c r="K21" s="3">
        <v>25929.908928571436</v>
      </c>
      <c r="L21" s="3">
        <v>377.69607142857143</v>
      </c>
      <c r="M21" s="3">
        <v>2494.6357142857146</v>
      </c>
      <c r="N21" s="3"/>
      <c r="O21" s="3" t="s">
        <v>18</v>
      </c>
      <c r="P21" s="3">
        <v>1825.2974999999999</v>
      </c>
      <c r="Q21" s="3" t="s">
        <v>18</v>
      </c>
      <c r="R21" s="3">
        <v>105.56964285714284</v>
      </c>
    </row>
    <row r="22" spans="1:18">
      <c r="A22" s="2">
        <v>33390</v>
      </c>
      <c r="B22" s="4">
        <v>25.424442283530556</v>
      </c>
      <c r="C22" s="3">
        <v>266.97800000000001</v>
      </c>
      <c r="D22" s="3">
        <v>0.12476155555555556</v>
      </c>
      <c r="E22" s="3" t="s">
        <v>18</v>
      </c>
      <c r="F22" s="3" t="s">
        <v>18</v>
      </c>
      <c r="G22" s="3">
        <v>1090.4984582592592</v>
      </c>
      <c r="H22" s="3" t="s">
        <v>18</v>
      </c>
      <c r="I22" s="3">
        <v>125.51592592592596</v>
      </c>
      <c r="J22" s="3">
        <v>3638.7522222222219</v>
      </c>
      <c r="K22" s="3">
        <v>24629.232592592594</v>
      </c>
      <c r="L22" s="3">
        <v>379.09555555555551</v>
      </c>
      <c r="M22" s="3">
        <v>2494.0333333333338</v>
      </c>
      <c r="N22" s="3"/>
      <c r="O22" s="3" t="s">
        <v>18</v>
      </c>
      <c r="P22" s="3">
        <v>1826.4488888888886</v>
      </c>
      <c r="Q22" s="3" t="s">
        <v>18</v>
      </c>
      <c r="R22" s="3">
        <v>106.10666666666665</v>
      </c>
    </row>
    <row r="23" spans="1:18">
      <c r="A23" s="2">
        <v>33420</v>
      </c>
      <c r="B23" s="4">
        <v>24.894561973491708</v>
      </c>
      <c r="C23" s="3">
        <v>270.09296296296299</v>
      </c>
      <c r="D23" s="3">
        <v>0.14753940740740742</v>
      </c>
      <c r="E23" s="3" t="s">
        <v>18</v>
      </c>
      <c r="F23" s="3" t="s">
        <v>18</v>
      </c>
      <c r="G23" s="3">
        <v>1165.0340213333338</v>
      </c>
      <c r="H23" s="3" t="s">
        <v>18</v>
      </c>
      <c r="I23" s="3">
        <v>137.06925925925921</v>
      </c>
      <c r="J23" s="3">
        <v>3939.7662962962963</v>
      </c>
      <c r="K23" s="3">
        <v>23208.742962962962</v>
      </c>
      <c r="L23" s="3">
        <v>379.91851851851857</v>
      </c>
      <c r="M23" s="3">
        <v>2528.5259259259269</v>
      </c>
      <c r="N23" s="3"/>
      <c r="O23" s="3" t="s">
        <v>18</v>
      </c>
      <c r="P23" s="3">
        <v>1752.4707407407413</v>
      </c>
      <c r="Q23" s="3" t="s">
        <v>18</v>
      </c>
      <c r="R23" s="3">
        <v>104.63962962962965</v>
      </c>
    </row>
    <row r="24" spans="1:18">
      <c r="A24" s="2">
        <v>33451</v>
      </c>
      <c r="B24" s="4">
        <v>26.450840069272466</v>
      </c>
      <c r="C24" s="3">
        <v>420.92724137931037</v>
      </c>
      <c r="D24" s="3">
        <v>0.18957331034482763</v>
      </c>
      <c r="E24" s="3" t="s">
        <v>18</v>
      </c>
      <c r="F24" s="3" t="s">
        <v>18</v>
      </c>
      <c r="G24" s="3">
        <v>1186.4789071724135</v>
      </c>
      <c r="H24" s="3" t="s">
        <v>18</v>
      </c>
      <c r="I24" s="3">
        <v>160.66172413793103</v>
      </c>
      <c r="J24" s="3">
        <v>4011.1893103448278</v>
      </c>
      <c r="K24" s="3">
        <v>22834.536551724141</v>
      </c>
      <c r="L24" s="3">
        <v>389.33275862068962</v>
      </c>
      <c r="M24" s="3">
        <v>2603.5586206896546</v>
      </c>
      <c r="N24" s="3"/>
      <c r="O24" s="3" t="s">
        <v>18</v>
      </c>
      <c r="P24" s="3">
        <v>1800.49275862069</v>
      </c>
      <c r="Q24" s="3" t="s">
        <v>18</v>
      </c>
      <c r="R24" s="3">
        <v>105.80896551724135</v>
      </c>
    </row>
    <row r="25" spans="1:18">
      <c r="A25" s="2">
        <v>33482</v>
      </c>
      <c r="B25" s="4">
        <v>27.074921323318218</v>
      </c>
      <c r="C25" s="3">
        <v>582.62555555555559</v>
      </c>
      <c r="D25" s="3">
        <v>0.24782570370370371</v>
      </c>
      <c r="E25" s="3" t="s">
        <v>18</v>
      </c>
      <c r="F25" s="3" t="s">
        <v>18</v>
      </c>
      <c r="G25" s="3">
        <v>1271.228461148148</v>
      </c>
      <c r="H25" s="3" t="s">
        <v>18</v>
      </c>
      <c r="I25" s="3">
        <v>185.33999999999997</v>
      </c>
      <c r="J25" s="3">
        <v>3954.1014814814812</v>
      </c>
      <c r="K25" s="3">
        <v>23038.031481481477</v>
      </c>
      <c r="L25" s="3">
        <v>387.63370370370365</v>
      </c>
      <c r="M25" s="3">
        <v>2625.796296296297</v>
      </c>
      <c r="N25" s="3"/>
      <c r="O25" s="3">
        <v>2800.7431818181813</v>
      </c>
      <c r="P25" s="3">
        <v>1870.6814814814816</v>
      </c>
      <c r="Q25" s="3" t="s">
        <v>18</v>
      </c>
      <c r="R25" s="3">
        <v>106.70925925925928</v>
      </c>
    </row>
    <row r="26" spans="1:18">
      <c r="A26" s="2">
        <v>33512</v>
      </c>
      <c r="B26" s="4">
        <v>35.892522186297974</v>
      </c>
      <c r="C26" s="3">
        <v>759.57999999999981</v>
      </c>
      <c r="D26" s="3">
        <v>0.2827716785714286</v>
      </c>
      <c r="E26" s="3" t="s">
        <v>18</v>
      </c>
      <c r="F26" s="3" t="s">
        <v>18</v>
      </c>
      <c r="G26" s="3">
        <v>1331.6935077142859</v>
      </c>
      <c r="H26" s="3" t="s">
        <v>18</v>
      </c>
      <c r="I26" s="3">
        <v>198.20642857142857</v>
      </c>
      <c r="J26" s="3">
        <v>4028.5896428571432</v>
      </c>
      <c r="K26" s="3">
        <v>24626.373928571429</v>
      </c>
      <c r="L26" s="3">
        <v>386.39107142857148</v>
      </c>
      <c r="M26" s="3">
        <v>2581.4214285714284</v>
      </c>
      <c r="N26" s="3"/>
      <c r="O26" s="3">
        <v>2767.2317857142857</v>
      </c>
      <c r="P26" s="3">
        <v>1850.3846428571433</v>
      </c>
      <c r="Q26" s="3" t="s">
        <v>18</v>
      </c>
      <c r="R26" s="3">
        <v>104.25</v>
      </c>
    </row>
    <row r="27" spans="1:18">
      <c r="A27" s="2">
        <v>33543</v>
      </c>
      <c r="B27" s="4">
        <v>46.390039884067562</v>
      </c>
      <c r="C27" s="3">
        <v>736.27035714285739</v>
      </c>
      <c r="D27" s="3">
        <v>0.31938375000000002</v>
      </c>
      <c r="E27" s="3" t="s">
        <v>18</v>
      </c>
      <c r="F27" s="3" t="s">
        <v>18</v>
      </c>
      <c r="G27" s="3">
        <v>1397.492436</v>
      </c>
      <c r="H27" s="3" t="s">
        <v>18</v>
      </c>
      <c r="I27" s="3">
        <v>238.77035714285719</v>
      </c>
      <c r="J27" s="3">
        <v>4189.925714285715</v>
      </c>
      <c r="K27" s="3">
        <v>23925.883571428567</v>
      </c>
      <c r="L27" s="3">
        <v>385.61928571428558</v>
      </c>
      <c r="M27" s="3">
        <v>2508.4642857142858</v>
      </c>
      <c r="N27" s="3"/>
      <c r="O27" s="3">
        <v>2654.0378571428578</v>
      </c>
      <c r="P27" s="3">
        <v>1812.6146428571424</v>
      </c>
      <c r="Q27" s="3" t="s">
        <v>18</v>
      </c>
      <c r="R27" s="3">
        <v>102.30642857142858</v>
      </c>
    </row>
    <row r="28" spans="1:18">
      <c r="A28" s="2">
        <v>33573</v>
      </c>
      <c r="B28" s="4">
        <v>70.275866748818657</v>
      </c>
      <c r="C28" s="3">
        <v>728.51074074074074</v>
      </c>
      <c r="D28" s="3">
        <v>0.45891733333333323</v>
      </c>
      <c r="E28" s="3" t="s">
        <v>18</v>
      </c>
      <c r="F28" s="3" t="s">
        <v>18</v>
      </c>
      <c r="G28" s="3">
        <v>1357.5199381851851</v>
      </c>
      <c r="H28" s="3" t="s">
        <v>18</v>
      </c>
      <c r="I28" s="3">
        <v>278.06888888888886</v>
      </c>
      <c r="J28" s="3">
        <v>4174.6329629629618</v>
      </c>
      <c r="K28" s="3">
        <v>22322.314074074075</v>
      </c>
      <c r="L28" s="3">
        <v>388.67481481481474</v>
      </c>
      <c r="M28" s="3">
        <v>2406.833333333333</v>
      </c>
      <c r="N28" s="3"/>
      <c r="O28" s="3">
        <v>2531.6592592592592</v>
      </c>
      <c r="P28" s="3">
        <v>1692.5292592592596</v>
      </c>
      <c r="Q28" s="3" t="s">
        <v>18</v>
      </c>
      <c r="R28" s="3">
        <v>97.745555555555555</v>
      </c>
    </row>
    <row r="29" spans="1:18">
      <c r="A29" s="2">
        <v>33604</v>
      </c>
      <c r="B29" s="4">
        <v>95.209679115646594</v>
      </c>
      <c r="C29" s="3">
        <v>799.23964285714283</v>
      </c>
      <c r="D29" s="3">
        <v>0.87440714285714283</v>
      </c>
      <c r="E29" s="3" t="s">
        <v>18</v>
      </c>
      <c r="F29" s="3"/>
      <c r="G29" s="3">
        <v>1545.9838736071429</v>
      </c>
      <c r="H29" s="3" t="s">
        <v>18</v>
      </c>
      <c r="I29" s="3">
        <v>304.47035714285715</v>
      </c>
      <c r="J29" s="3">
        <v>4437.0853571428579</v>
      </c>
      <c r="K29" s="3">
        <v>22026.885000000006</v>
      </c>
      <c r="L29" s="3">
        <v>416.38857142857131</v>
      </c>
      <c r="M29" s="3">
        <v>2516.8000000000002</v>
      </c>
      <c r="N29" s="3"/>
      <c r="O29" s="3">
        <v>2662.6935714285714</v>
      </c>
      <c r="P29" s="3">
        <v>1832.5457142857142</v>
      </c>
      <c r="Q29" s="3" t="s">
        <v>18</v>
      </c>
      <c r="R29" s="3">
        <v>102.68285714285715</v>
      </c>
    </row>
    <row r="30" spans="1:18">
      <c r="A30" s="2">
        <v>33635</v>
      </c>
      <c r="B30" s="4">
        <v>82.31003734570092</v>
      </c>
      <c r="C30" s="3">
        <v>787.89370370370364</v>
      </c>
      <c r="D30" s="3">
        <v>1.1980788888888887</v>
      </c>
      <c r="E30" s="3" t="s">
        <v>18</v>
      </c>
      <c r="F30" s="3"/>
      <c r="G30" s="3">
        <v>1732.2206894814813</v>
      </c>
      <c r="H30" s="3" t="s">
        <v>18</v>
      </c>
      <c r="I30" s="3">
        <v>333.99037037037044</v>
      </c>
      <c r="J30" s="3">
        <v>4741.2622222222226</v>
      </c>
      <c r="K30" s="3">
        <v>21470.43888888889</v>
      </c>
      <c r="L30" s="3">
        <v>412.22740740740744</v>
      </c>
      <c r="M30" s="3">
        <v>2541.9407407407416</v>
      </c>
      <c r="N30" s="3"/>
      <c r="O30" s="3">
        <v>2761.4866666666658</v>
      </c>
      <c r="P30" s="3">
        <v>1907.7444444444443</v>
      </c>
      <c r="Q30" s="3" t="s">
        <v>18</v>
      </c>
      <c r="R30" s="3">
        <v>105.53444444444446</v>
      </c>
    </row>
    <row r="31" spans="1:18">
      <c r="A31" s="2">
        <v>33664</v>
      </c>
      <c r="B31" s="4">
        <v>79.242619106476027</v>
      </c>
      <c r="C31" s="3">
        <v>727.97</v>
      </c>
      <c r="D31" s="3">
        <v>1.5603144827586206</v>
      </c>
      <c r="E31" s="3" t="s">
        <v>18</v>
      </c>
      <c r="F31" s="3"/>
      <c r="G31" s="3">
        <v>1826.6630522758621</v>
      </c>
      <c r="H31" s="3" t="s">
        <v>18</v>
      </c>
      <c r="I31" s="3">
        <v>375.37620689655176</v>
      </c>
      <c r="J31" s="3">
        <v>4991.946551724136</v>
      </c>
      <c r="K31" s="3">
        <v>20400.298965517242</v>
      </c>
      <c r="L31" s="3">
        <v>407.24413793103452</v>
      </c>
      <c r="M31" s="3">
        <v>2495.8620689655168</v>
      </c>
      <c r="N31" s="3"/>
      <c r="O31" s="3">
        <v>2794.5234482758615</v>
      </c>
      <c r="P31" s="3">
        <v>1947.1758620689657</v>
      </c>
      <c r="Q31" s="3" t="s">
        <v>18</v>
      </c>
      <c r="R31" s="3">
        <v>104.9844827586207</v>
      </c>
    </row>
    <row r="32" spans="1:18">
      <c r="A32" s="2">
        <v>33695</v>
      </c>
      <c r="B32" s="4">
        <v>78.351635177744043</v>
      </c>
      <c r="C32" s="3">
        <v>763.34703703703713</v>
      </c>
      <c r="D32" s="3">
        <v>2.1745811111111109</v>
      </c>
      <c r="E32" s="3" t="s">
        <v>18</v>
      </c>
      <c r="F32" s="3"/>
      <c r="G32" s="3">
        <v>1837.2421558148151</v>
      </c>
      <c r="H32" s="3" t="s">
        <v>18</v>
      </c>
      <c r="I32" s="3">
        <v>401.68666666666661</v>
      </c>
      <c r="J32" s="3">
        <v>5061.2507407407411</v>
      </c>
      <c r="K32" s="3">
        <v>17669.482962962968</v>
      </c>
      <c r="L32" s="3">
        <v>407.5574074074076</v>
      </c>
      <c r="M32" s="3">
        <v>2551.3222222222221</v>
      </c>
      <c r="N32" s="3"/>
      <c r="O32" s="3">
        <v>2701.1770370370377</v>
      </c>
      <c r="P32" s="3">
        <v>1972.922592592593</v>
      </c>
      <c r="Q32" s="3" t="s">
        <v>18</v>
      </c>
      <c r="R32" s="3">
        <v>106.1248148148148</v>
      </c>
    </row>
    <row r="33" spans="1:18">
      <c r="A33" s="2">
        <v>33725</v>
      </c>
      <c r="B33" s="4">
        <v>80.881323028262827</v>
      </c>
      <c r="C33" s="3">
        <v>838.45600000000013</v>
      </c>
      <c r="D33" s="3">
        <v>2.5257929999999997</v>
      </c>
      <c r="E33" s="3" t="s">
        <v>18</v>
      </c>
      <c r="F33" s="3"/>
      <c r="G33" s="3">
        <v>1836.8386067666668</v>
      </c>
      <c r="H33" s="3" t="s">
        <v>18</v>
      </c>
      <c r="I33" s="3">
        <v>786.7349999999999</v>
      </c>
      <c r="J33" s="3">
        <v>5763.8386666666656</v>
      </c>
      <c r="K33" s="3">
        <v>18175.137333333332</v>
      </c>
      <c r="L33" s="3">
        <v>414.3446666666668</v>
      </c>
      <c r="M33" s="3">
        <v>2699.1633333333343</v>
      </c>
      <c r="N33" s="3"/>
      <c r="O33" s="3">
        <v>2770.4770000000003</v>
      </c>
      <c r="P33" s="3">
        <v>2038.8046666666669</v>
      </c>
      <c r="Q33" s="3" t="s">
        <v>18</v>
      </c>
      <c r="R33" s="3">
        <v>110.73833333333339</v>
      </c>
    </row>
    <row r="34" spans="1:18">
      <c r="A34" s="2">
        <v>33756</v>
      </c>
      <c r="B34" s="4">
        <v>88.974754134189496</v>
      </c>
      <c r="C34" s="3">
        <v>809.8323076923075</v>
      </c>
      <c r="D34" s="3">
        <v>2.3317880769230772</v>
      </c>
      <c r="E34" s="3" t="s">
        <v>18</v>
      </c>
      <c r="F34" s="3"/>
      <c r="G34" s="3">
        <v>1736.5314847692312</v>
      </c>
      <c r="H34" s="3" t="s">
        <v>18</v>
      </c>
      <c r="I34" s="3">
        <v>1152.9984615384612</v>
      </c>
      <c r="J34" s="3">
        <v>5945.9300000000021</v>
      </c>
      <c r="K34" s="3">
        <v>16937.068846153841</v>
      </c>
      <c r="L34" s="3">
        <v>408.16884615384629</v>
      </c>
      <c r="M34" s="3">
        <v>2603.4115384615388</v>
      </c>
      <c r="N34" s="3"/>
      <c r="O34" s="3">
        <v>2677.4711538461543</v>
      </c>
      <c r="P34" s="3">
        <v>1938.2307692307691</v>
      </c>
      <c r="Q34" s="3" t="s">
        <v>18</v>
      </c>
      <c r="R34" s="3">
        <v>107.23076923076923</v>
      </c>
    </row>
    <row r="35" spans="1:18">
      <c r="A35" s="2">
        <v>33786</v>
      </c>
      <c r="B35" s="4">
        <v>103.96840438862202</v>
      </c>
      <c r="C35" s="3">
        <v>607.28678571428566</v>
      </c>
      <c r="D35" s="3">
        <v>2.5491357142857143</v>
      </c>
      <c r="E35" s="3" t="s">
        <v>18</v>
      </c>
      <c r="F35" s="3"/>
      <c r="G35" s="3">
        <v>1616.6510183928574</v>
      </c>
      <c r="H35" s="3" t="s">
        <v>18</v>
      </c>
      <c r="I35" s="3">
        <v>1135.6807142857144</v>
      </c>
      <c r="J35" s="3">
        <v>5979.0482142857163</v>
      </c>
      <c r="K35" s="3">
        <v>16309.366785714285</v>
      </c>
      <c r="L35" s="3">
        <v>414.5814285714286</v>
      </c>
      <c r="M35" s="3">
        <v>2446.0321428571428</v>
      </c>
      <c r="N35" s="3"/>
      <c r="O35" s="3">
        <v>2406.7082142857139</v>
      </c>
      <c r="P35" s="3">
        <v>1819.0517857142852</v>
      </c>
      <c r="Q35" s="3" t="s">
        <v>18</v>
      </c>
      <c r="R35" s="3">
        <v>100.10142857142857</v>
      </c>
    </row>
    <row r="36" spans="1:18">
      <c r="A36" s="2">
        <v>33817</v>
      </c>
      <c r="B36" s="4">
        <v>101.30330268109331</v>
      </c>
      <c r="C36" s="3">
        <v>497.34777777777776</v>
      </c>
      <c r="D36" s="3">
        <v>2.8842748148148152</v>
      </c>
      <c r="E36" s="3" t="s">
        <v>18</v>
      </c>
      <c r="F36" s="3"/>
      <c r="G36" s="3">
        <v>1485.030675851852</v>
      </c>
      <c r="H36" s="3" t="s">
        <v>18</v>
      </c>
      <c r="I36" s="3">
        <v>922.15925925925922</v>
      </c>
      <c r="J36" s="3">
        <v>5704.3962962962978</v>
      </c>
      <c r="K36" s="3">
        <v>15835.106296296299</v>
      </c>
      <c r="L36" s="3">
        <v>418.07555555555558</v>
      </c>
      <c r="M36" s="3">
        <v>2345.5407407407397</v>
      </c>
      <c r="N36" s="3"/>
      <c r="O36" s="3">
        <v>2223.1188888888887</v>
      </c>
      <c r="P36" s="3">
        <v>1737.638148148148</v>
      </c>
      <c r="Q36" s="3" t="s">
        <v>18</v>
      </c>
      <c r="R36" s="3">
        <v>94.451111111111103</v>
      </c>
    </row>
    <row r="37" spans="1:18">
      <c r="A37" s="2">
        <v>33848</v>
      </c>
      <c r="B37" s="4">
        <v>102.69080408552836</v>
      </c>
      <c r="C37" s="3">
        <v>485.2569230769231</v>
      </c>
      <c r="D37" s="3">
        <v>3.6501803846153851</v>
      </c>
      <c r="E37" s="3" t="s">
        <v>18</v>
      </c>
      <c r="F37" s="3"/>
      <c r="G37" s="3">
        <v>1323.1657105384618</v>
      </c>
      <c r="H37" s="3" t="s">
        <v>18</v>
      </c>
      <c r="I37" s="3">
        <v>734.39423076923072</v>
      </c>
      <c r="J37" s="3">
        <v>5668.1715384615391</v>
      </c>
      <c r="K37" s="3">
        <v>18249.347307692307</v>
      </c>
      <c r="L37" s="3">
        <v>418.32846153846162</v>
      </c>
      <c r="M37" s="3">
        <v>2455.5923076923077</v>
      </c>
      <c r="N37" s="3"/>
      <c r="O37" s="3">
        <v>2207.0269230769231</v>
      </c>
      <c r="P37" s="3">
        <v>1800.3992307692311</v>
      </c>
      <c r="Q37" s="3" t="s">
        <v>18</v>
      </c>
      <c r="R37" s="3">
        <v>95.505384615384614</v>
      </c>
    </row>
    <row r="38" spans="1:18">
      <c r="A38" s="2">
        <v>33878</v>
      </c>
      <c r="B38" s="4">
        <v>100.42801890969581</v>
      </c>
      <c r="C38" s="3">
        <v>375.3599999999999</v>
      </c>
      <c r="D38" s="3">
        <v>4.1034082758620691</v>
      </c>
      <c r="E38" s="3" t="s">
        <v>18</v>
      </c>
      <c r="F38" s="3"/>
      <c r="G38" s="3">
        <v>1489.2864947241378</v>
      </c>
      <c r="H38" s="3" t="s">
        <v>18</v>
      </c>
      <c r="I38" s="3">
        <v>613.33000000000004</v>
      </c>
      <c r="J38" s="3">
        <v>5909.5444827586207</v>
      </c>
      <c r="K38" s="3">
        <v>17169.649655172419</v>
      </c>
      <c r="L38" s="3">
        <v>412.31965517241372</v>
      </c>
      <c r="M38" s="3">
        <v>2590.2827586206895</v>
      </c>
      <c r="N38" s="3"/>
      <c r="O38" s="3">
        <v>2051.1993103448276</v>
      </c>
      <c r="P38" s="3">
        <v>1699.9996551724146</v>
      </c>
      <c r="Q38" s="3" t="s">
        <v>18</v>
      </c>
      <c r="R38" s="3">
        <v>93.888275862068937</v>
      </c>
    </row>
    <row r="39" spans="1:18">
      <c r="A39" s="2">
        <v>33909</v>
      </c>
      <c r="B39" s="4">
        <v>97.674603817160616</v>
      </c>
      <c r="C39" s="3">
        <v>350.10571428571438</v>
      </c>
      <c r="D39" s="3">
        <v>4.2200369642857147</v>
      </c>
      <c r="E39" s="3" t="s">
        <v>18</v>
      </c>
      <c r="F39" s="3"/>
      <c r="G39" s="3">
        <v>1634.4370945000003</v>
      </c>
      <c r="H39" s="3" t="s">
        <v>18</v>
      </c>
      <c r="I39" s="3">
        <v>466.14285714285722</v>
      </c>
      <c r="J39" s="3">
        <v>6145.4967857142865</v>
      </c>
      <c r="K39" s="3">
        <v>16826.120714285713</v>
      </c>
      <c r="L39" s="3">
        <v>422.91357142857157</v>
      </c>
      <c r="M39" s="3">
        <v>2711.5178571428578</v>
      </c>
      <c r="N39" s="3"/>
      <c r="O39" s="3">
        <v>2216.6821428571434</v>
      </c>
      <c r="P39" s="3">
        <v>1766.0925000000002</v>
      </c>
      <c r="Q39" s="3" t="s">
        <v>18</v>
      </c>
      <c r="R39" s="3">
        <v>96.618214285714288</v>
      </c>
    </row>
    <row r="40" spans="1:18">
      <c r="A40" s="2">
        <v>33939</v>
      </c>
      <c r="B40" s="4">
        <v>98.100470584858499</v>
      </c>
      <c r="C40" s="3">
        <v>415.93111111111108</v>
      </c>
      <c r="D40" s="3">
        <v>5.3171995185185201</v>
      </c>
      <c r="E40" s="3" t="s">
        <v>18</v>
      </c>
      <c r="F40" s="3"/>
      <c r="G40" s="3">
        <v>1732.8684669259255</v>
      </c>
      <c r="H40" s="3" t="s">
        <v>18</v>
      </c>
      <c r="I40" s="3">
        <v>736.392962962963</v>
      </c>
      <c r="J40" s="3">
        <v>5325.7725925925934</v>
      </c>
      <c r="K40" s="3">
        <v>17399.607037037033</v>
      </c>
      <c r="L40" s="3">
        <v>435.95111111111112</v>
      </c>
      <c r="M40" s="3">
        <v>2780.9592592592594</v>
      </c>
      <c r="N40" s="3"/>
      <c r="O40" s="3">
        <v>2345.5574074074079</v>
      </c>
      <c r="P40" s="3">
        <v>1795.779629629629</v>
      </c>
      <c r="Q40" s="3" t="s">
        <v>18</v>
      </c>
      <c r="R40" s="3">
        <v>99.318148148148154</v>
      </c>
    </row>
    <row r="41" spans="1:18">
      <c r="A41" s="2">
        <v>33970</v>
      </c>
      <c r="B41" s="4">
        <v>95.195941477978891</v>
      </c>
      <c r="C41" s="3">
        <v>437.54599999999999</v>
      </c>
      <c r="D41" s="3">
        <v>8.6340303600000023</v>
      </c>
      <c r="E41" s="3" t="s">
        <v>18</v>
      </c>
      <c r="F41" s="3"/>
      <c r="G41" s="3">
        <v>1763.0279492</v>
      </c>
      <c r="H41" s="3" t="s">
        <v>18</v>
      </c>
      <c r="I41" s="3">
        <v>1021.0031999999999</v>
      </c>
      <c r="J41" s="3">
        <v>5750.8247999999994</v>
      </c>
      <c r="K41" s="3">
        <v>16686.248799999998</v>
      </c>
      <c r="L41" s="3">
        <v>435.36200000000002</v>
      </c>
      <c r="M41" s="3">
        <v>2793.2399999999993</v>
      </c>
      <c r="N41" s="3"/>
      <c r="O41" s="3">
        <v>2480.7204000000002</v>
      </c>
      <c r="P41" s="3">
        <v>1815.4536000000001</v>
      </c>
      <c r="Q41" s="3" t="s">
        <v>18</v>
      </c>
      <c r="R41" s="3">
        <v>101.6776</v>
      </c>
    </row>
    <row r="42" spans="1:18">
      <c r="A42" s="2">
        <v>34001</v>
      </c>
      <c r="B42" s="4">
        <v>89.58706027023436</v>
      </c>
      <c r="C42" s="3">
        <v>389.79720000000009</v>
      </c>
      <c r="D42" s="3">
        <v>11.584163999999996</v>
      </c>
      <c r="E42" s="3" t="s">
        <v>18</v>
      </c>
      <c r="F42" s="3"/>
      <c r="G42" s="3">
        <v>1599.7851365999998</v>
      </c>
      <c r="H42" s="3" t="s">
        <v>18</v>
      </c>
      <c r="I42" s="3">
        <v>1405.8080000000002</v>
      </c>
      <c r="J42" s="3">
        <v>5995.0724</v>
      </c>
      <c r="K42" s="3">
        <v>17035.260399999999</v>
      </c>
      <c r="L42" s="3">
        <v>442.05799999999988</v>
      </c>
      <c r="M42" s="3">
        <v>2843.4119999999994</v>
      </c>
      <c r="N42" s="3"/>
      <c r="O42" s="3">
        <v>2590.3679999999999</v>
      </c>
      <c r="P42" s="3">
        <v>1909.0283999999999</v>
      </c>
      <c r="Q42" s="3" t="s">
        <v>18</v>
      </c>
      <c r="R42" s="3">
        <v>104.51719999999996</v>
      </c>
    </row>
    <row r="43" spans="1:18">
      <c r="A43" s="2">
        <v>34029</v>
      </c>
      <c r="B43" s="4">
        <v>85.813134950957689</v>
      </c>
      <c r="C43" s="3">
        <v>393.82703703703703</v>
      </c>
      <c r="D43" s="3">
        <v>16.557727407407409</v>
      </c>
      <c r="E43" s="3" t="s">
        <v>18</v>
      </c>
      <c r="F43" s="3"/>
      <c r="G43" s="3">
        <v>1668.3188431111112</v>
      </c>
      <c r="H43" s="3" t="s">
        <v>18</v>
      </c>
      <c r="I43" s="3">
        <v>1122.2218518518519</v>
      </c>
      <c r="J43" s="3">
        <v>6270.6618518518499</v>
      </c>
      <c r="K43" s="3">
        <v>18039.559629629628</v>
      </c>
      <c r="L43" s="3">
        <v>449.90629629629632</v>
      </c>
      <c r="M43" s="3">
        <v>2897.1666666666665</v>
      </c>
      <c r="N43" s="3"/>
      <c r="O43" s="3">
        <v>2624.2807407407413</v>
      </c>
      <c r="P43" s="3">
        <v>1989.4725925925927</v>
      </c>
      <c r="Q43" s="3" t="s">
        <v>18</v>
      </c>
      <c r="R43" s="3">
        <v>108.172962962963</v>
      </c>
    </row>
    <row r="44" spans="1:18">
      <c r="A44" s="2">
        <v>34060</v>
      </c>
      <c r="B44" s="4">
        <v>88.162270992129905</v>
      </c>
      <c r="C44" s="3">
        <v>413.90730769230771</v>
      </c>
      <c r="D44" s="3">
        <v>21.28546230769231</v>
      </c>
      <c r="E44" s="3" t="s">
        <v>18</v>
      </c>
      <c r="F44" s="3"/>
      <c r="G44" s="3">
        <v>1741.9676372307695</v>
      </c>
      <c r="H44" s="3" t="s">
        <v>18</v>
      </c>
      <c r="I44" s="3">
        <v>1207.968846153846</v>
      </c>
      <c r="J44" s="3">
        <v>6590.8457692307675</v>
      </c>
      <c r="K44" s="3">
        <v>19985.365769230772</v>
      </c>
      <c r="L44" s="3">
        <v>442.91038461538471</v>
      </c>
      <c r="M44" s="3">
        <v>2836.6346153846152</v>
      </c>
      <c r="N44" s="3"/>
      <c r="O44" s="3">
        <v>2646.9130769230769</v>
      </c>
      <c r="P44" s="3">
        <v>1967.4357692307699</v>
      </c>
      <c r="Q44" s="3" t="s">
        <v>18</v>
      </c>
      <c r="R44" s="3">
        <v>108.34</v>
      </c>
    </row>
    <row r="45" spans="1:18">
      <c r="A45" s="2">
        <v>34090</v>
      </c>
      <c r="B45" s="4">
        <v>89.432021216556308</v>
      </c>
      <c r="C45" s="3">
        <v>367.82730769230761</v>
      </c>
      <c r="D45" s="3">
        <v>29.455496538461539</v>
      </c>
      <c r="E45" s="3" t="s">
        <v>18</v>
      </c>
      <c r="F45" s="3"/>
      <c r="G45" s="3">
        <v>1631.701871461539</v>
      </c>
      <c r="H45" s="3" t="s">
        <v>18</v>
      </c>
      <c r="I45" s="3">
        <v>1131.3023076923077</v>
      </c>
      <c r="J45" s="3">
        <v>7069.5499999999993</v>
      </c>
      <c r="K45" s="3">
        <v>20681.92769230769</v>
      </c>
      <c r="L45" s="3">
        <v>445.12346153846164</v>
      </c>
      <c r="M45" s="3">
        <v>2828.1884615384615</v>
      </c>
      <c r="N45" s="3"/>
      <c r="O45" s="3">
        <v>2749.2730769230766</v>
      </c>
      <c r="P45" s="3">
        <v>1878.239615384615</v>
      </c>
      <c r="Q45" s="3" t="s">
        <v>18</v>
      </c>
      <c r="R45" s="3">
        <v>108.68923076923078</v>
      </c>
    </row>
    <row r="46" spans="1:18">
      <c r="A46" s="2">
        <v>34121</v>
      </c>
      <c r="B46" s="4">
        <v>88.862890513181256</v>
      </c>
      <c r="C46" s="3">
        <v>407.54653846153843</v>
      </c>
      <c r="D46" s="3">
        <v>46.066423846153839</v>
      </c>
      <c r="E46" s="3" t="s">
        <v>18</v>
      </c>
      <c r="F46" s="3"/>
      <c r="G46" s="3">
        <v>1614.2422251538467</v>
      </c>
      <c r="H46" s="3" t="s">
        <v>18</v>
      </c>
      <c r="I46" s="3">
        <v>1014.3161538461537</v>
      </c>
      <c r="J46" s="3">
        <v>7180.3903846153853</v>
      </c>
      <c r="K46" s="3">
        <v>20144.667692307692</v>
      </c>
      <c r="L46" s="3">
        <v>447.91961538461561</v>
      </c>
      <c r="M46" s="3">
        <v>2873.1499999999996</v>
      </c>
      <c r="N46" s="3"/>
      <c r="O46" s="3">
        <v>2852.4703846153843</v>
      </c>
      <c r="P46" s="3">
        <v>1918.1276923076925</v>
      </c>
      <c r="Q46" s="3" t="s">
        <v>18</v>
      </c>
      <c r="R46" s="3">
        <v>111.09038461538464</v>
      </c>
    </row>
    <row r="47" spans="1:18">
      <c r="A47" s="2">
        <v>34151</v>
      </c>
      <c r="B47" s="4">
        <v>94.595410459934826</v>
      </c>
      <c r="C47" s="3">
        <v>412.58923076923082</v>
      </c>
      <c r="D47" s="3">
        <v>59.658555769230752</v>
      </c>
      <c r="E47" s="3" t="s">
        <v>18</v>
      </c>
      <c r="F47" s="3"/>
      <c r="G47" s="3">
        <v>1714.0330395769231</v>
      </c>
      <c r="H47" s="3" t="s">
        <v>18</v>
      </c>
      <c r="I47" s="3">
        <v>863.15846153846167</v>
      </c>
      <c r="J47" s="3">
        <v>6978.9984615384592</v>
      </c>
      <c r="K47" s="3">
        <v>19968.789615384616</v>
      </c>
      <c r="L47" s="3">
        <v>447.23346153846154</v>
      </c>
      <c r="M47" s="3">
        <v>2852.7384615384613</v>
      </c>
      <c r="N47" s="3"/>
      <c r="O47" s="3">
        <v>2857.0738461538467</v>
      </c>
      <c r="P47" s="3">
        <v>1983.3126923076925</v>
      </c>
      <c r="Q47" s="3" t="s">
        <v>18</v>
      </c>
      <c r="R47" s="3">
        <v>115.15961538461539</v>
      </c>
    </row>
    <row r="48" spans="1:18">
      <c r="A48" s="2">
        <v>34182</v>
      </c>
      <c r="B48" s="4">
        <v>102.77322991153434</v>
      </c>
      <c r="C48" s="3">
        <v>421.14321428571429</v>
      </c>
      <c r="D48" s="3">
        <v>78.451817142857152</v>
      </c>
      <c r="E48" s="3" t="s">
        <v>18</v>
      </c>
      <c r="F48" s="3"/>
      <c r="G48" s="3">
        <v>1856.2778571428569</v>
      </c>
      <c r="H48" s="3" t="s">
        <v>18</v>
      </c>
      <c r="I48" s="3">
        <v>905.41928571428593</v>
      </c>
      <c r="J48" s="3">
        <v>7378.7757142857145</v>
      </c>
      <c r="K48" s="3">
        <v>20619.322142857138</v>
      </c>
      <c r="L48" s="3">
        <v>453.73571428571438</v>
      </c>
      <c r="M48" s="3">
        <v>3020.7178571428572</v>
      </c>
      <c r="N48" s="3"/>
      <c r="O48" s="3">
        <v>3148.0278571428566</v>
      </c>
      <c r="P48" s="3">
        <v>2146.1292857142848</v>
      </c>
      <c r="Q48" s="3" t="s">
        <v>18</v>
      </c>
      <c r="R48" s="3">
        <v>123.10607142857144</v>
      </c>
    </row>
    <row r="49" spans="1:18">
      <c r="A49" s="2">
        <v>34213</v>
      </c>
      <c r="B49" s="4">
        <v>112.47396462457887</v>
      </c>
      <c r="C49" s="3">
        <v>476.89769230769247</v>
      </c>
      <c r="D49" s="3">
        <v>128.37192307692311</v>
      </c>
      <c r="E49" s="3">
        <v>539.89774822499999</v>
      </c>
      <c r="F49" s="3"/>
      <c r="G49" s="3">
        <v>1873.688076923077</v>
      </c>
      <c r="H49" s="3" t="s">
        <v>18</v>
      </c>
      <c r="I49" s="3">
        <v>893.36269230769244</v>
      </c>
      <c r="J49" s="3">
        <v>7513.2999999999993</v>
      </c>
      <c r="K49" s="3">
        <v>20617.169615384617</v>
      </c>
      <c r="L49" s="3">
        <v>459.41538461538465</v>
      </c>
      <c r="M49" s="3">
        <v>3027.834615384616</v>
      </c>
      <c r="N49" s="3"/>
      <c r="O49" s="3">
        <v>3184.0811538461535</v>
      </c>
      <c r="P49" s="3">
        <v>2116.9323076923074</v>
      </c>
      <c r="Q49" s="3" t="s">
        <v>18</v>
      </c>
      <c r="R49" s="3">
        <v>122.31961538461539</v>
      </c>
    </row>
    <row r="50" spans="1:18">
      <c r="A50" s="2">
        <v>34243</v>
      </c>
      <c r="B50" s="4">
        <v>124.98306498082924</v>
      </c>
      <c r="C50" s="3">
        <v>509.19678571428574</v>
      </c>
      <c r="D50" s="3">
        <v>170.54571428571427</v>
      </c>
      <c r="E50" s="3">
        <v>561.31891292499995</v>
      </c>
      <c r="F50" s="3"/>
      <c r="G50" s="3">
        <v>1947.8939285714291</v>
      </c>
      <c r="H50" s="3" t="s">
        <v>18</v>
      </c>
      <c r="I50" s="3">
        <v>845.43928571428626</v>
      </c>
      <c r="J50" s="3">
        <v>8537.8496428571416</v>
      </c>
      <c r="K50" s="3">
        <v>20132.54642857143</v>
      </c>
      <c r="L50" s="3">
        <v>464.11464285714288</v>
      </c>
      <c r="M50" s="3">
        <v>3129.7571428571432</v>
      </c>
      <c r="N50" s="3"/>
      <c r="O50" s="3">
        <v>3342.7271428571439</v>
      </c>
      <c r="P50" s="3">
        <v>2165.7139285714284</v>
      </c>
      <c r="Q50" s="3" t="s">
        <v>18</v>
      </c>
      <c r="R50" s="3">
        <v>126.64821428571427</v>
      </c>
    </row>
    <row r="51" spans="1:18">
      <c r="A51" s="2">
        <v>34274</v>
      </c>
      <c r="B51" s="4">
        <v>128.51363786142142</v>
      </c>
      <c r="C51" s="3">
        <v>493.52899999999994</v>
      </c>
      <c r="D51" s="3">
        <v>239.39366666666666</v>
      </c>
      <c r="E51" s="3">
        <v>579.96832085666654</v>
      </c>
      <c r="F51" s="3"/>
      <c r="G51" s="3">
        <v>2112.8789999999999</v>
      </c>
      <c r="H51" s="3" t="s">
        <v>18</v>
      </c>
      <c r="I51" s="3">
        <v>889.40766666666639</v>
      </c>
      <c r="J51" s="3">
        <v>9331.0523333333349</v>
      </c>
      <c r="K51" s="3">
        <v>17985.901333333335</v>
      </c>
      <c r="L51" s="3">
        <v>462.81000000000012</v>
      </c>
      <c r="M51" s="3">
        <v>3108.7699999999991</v>
      </c>
      <c r="N51" s="3"/>
      <c r="O51" s="3">
        <v>3368.9463333333333</v>
      </c>
      <c r="P51" s="3">
        <v>2115.532333333334</v>
      </c>
      <c r="Q51" s="3" t="s">
        <v>18</v>
      </c>
      <c r="R51" s="3">
        <v>126.74533333333335</v>
      </c>
    </row>
    <row r="52" spans="1:18">
      <c r="A52" s="2">
        <v>34304</v>
      </c>
      <c r="B52" s="4">
        <v>147.07907390944914</v>
      </c>
      <c r="C52" s="3">
        <v>523.13466666666659</v>
      </c>
      <c r="D52" s="3">
        <v>314.97000000000008</v>
      </c>
      <c r="E52" s="3">
        <v>650.37924704999989</v>
      </c>
      <c r="F52" s="3"/>
      <c r="G52" s="3">
        <v>2446.8206666666665</v>
      </c>
      <c r="H52" s="3" t="s">
        <v>18</v>
      </c>
      <c r="I52" s="3">
        <v>912.54133333333334</v>
      </c>
      <c r="J52" s="3">
        <v>10374.714666666667</v>
      </c>
      <c r="K52" s="3">
        <v>17335.643999999993</v>
      </c>
      <c r="L52" s="3">
        <v>465.8653333333333</v>
      </c>
      <c r="M52" s="3">
        <v>3316.3133333333335</v>
      </c>
      <c r="N52" s="3"/>
      <c r="O52" s="3">
        <v>3485.0880000000002</v>
      </c>
      <c r="P52" s="3">
        <v>2210.0743333333344</v>
      </c>
      <c r="Q52" s="3" t="s">
        <v>18</v>
      </c>
      <c r="R52" s="3">
        <v>133.54300000000003</v>
      </c>
    </row>
    <row r="53" spans="1:18">
      <c r="A53" s="2">
        <v>34335</v>
      </c>
      <c r="B53" s="4">
        <v>172.35828973763572</v>
      </c>
      <c r="C53" s="3">
        <v>622.02129032258063</v>
      </c>
      <c r="D53" s="3">
        <v>572.70290322580649</v>
      </c>
      <c r="E53" s="3">
        <v>756.47656771290315</v>
      </c>
      <c r="F53" s="3"/>
      <c r="G53" s="3">
        <v>2618.206774193548</v>
      </c>
      <c r="H53" s="3" t="s">
        <v>18</v>
      </c>
      <c r="I53" s="3">
        <v>839.09419354838701</v>
      </c>
      <c r="J53" s="3">
        <v>11309.500967741938</v>
      </c>
      <c r="K53" s="3">
        <v>18574.186451612903</v>
      </c>
      <c r="L53" s="3">
        <v>472.97451612903228</v>
      </c>
      <c r="M53" s="3">
        <v>3433.4645161290314</v>
      </c>
      <c r="N53" s="3"/>
      <c r="O53" s="3">
        <v>3745.9812903225825</v>
      </c>
      <c r="P53" s="3">
        <v>2279.1787096774192</v>
      </c>
      <c r="Q53" s="3" t="s">
        <v>18</v>
      </c>
      <c r="R53" s="3">
        <v>140.36806451612904</v>
      </c>
    </row>
    <row r="54" spans="1:18">
      <c r="A54" s="2">
        <v>34366</v>
      </c>
      <c r="B54" s="4">
        <v>191.622382787048</v>
      </c>
      <c r="C54" s="3">
        <v>686.9964285714284</v>
      </c>
      <c r="D54" s="3">
        <v>955.875</v>
      </c>
      <c r="E54" s="3">
        <v>829.11706363214284</v>
      </c>
      <c r="F54" s="3"/>
      <c r="G54" s="3">
        <v>2740.5285714285715</v>
      </c>
      <c r="H54" s="3" t="s">
        <v>18</v>
      </c>
      <c r="I54" s="3">
        <v>780.91928571428582</v>
      </c>
      <c r="J54" s="3">
        <v>11116.476071428571</v>
      </c>
      <c r="K54" s="3">
        <v>19727.237857142853</v>
      </c>
      <c r="L54" s="3">
        <v>470.54321428571433</v>
      </c>
      <c r="M54" s="3">
        <v>3391.5785714285707</v>
      </c>
      <c r="N54" s="3"/>
      <c r="O54" s="3">
        <v>3833.5017857142848</v>
      </c>
      <c r="P54" s="3">
        <v>2269.5264285714284</v>
      </c>
      <c r="Q54" s="3" t="s">
        <v>18</v>
      </c>
      <c r="R54" s="3">
        <v>140.01821428571432</v>
      </c>
    </row>
    <row r="55" spans="1:18">
      <c r="A55" s="2">
        <v>34394</v>
      </c>
      <c r="B55" s="4">
        <v>206.52379461714042</v>
      </c>
      <c r="C55" s="3">
        <v>595.81933333333347</v>
      </c>
      <c r="D55" s="3">
        <v>1298.95</v>
      </c>
      <c r="E55" s="3">
        <v>758.79581877999988</v>
      </c>
      <c r="F55" s="3"/>
      <c r="G55" s="3">
        <v>2485.3533333333335</v>
      </c>
      <c r="H55" s="3" t="s">
        <v>18</v>
      </c>
      <c r="I55" s="3">
        <v>732.9233333333334</v>
      </c>
      <c r="J55" s="3">
        <v>9611.8806666666678</v>
      </c>
      <c r="K55" s="3">
        <v>20062.797333333336</v>
      </c>
      <c r="L55" s="3">
        <v>464.42133333333328</v>
      </c>
      <c r="M55" s="3">
        <v>3208.1899999999996</v>
      </c>
      <c r="N55" s="3"/>
      <c r="O55" s="3">
        <v>3662.9233333333332</v>
      </c>
      <c r="P55" s="3">
        <v>2181.8239999999996</v>
      </c>
      <c r="Q55" s="3" t="s">
        <v>18</v>
      </c>
      <c r="R55" s="3">
        <v>134.56800000000001</v>
      </c>
    </row>
    <row r="56" spans="1:18">
      <c r="A56" s="2">
        <v>34425</v>
      </c>
      <c r="B56" s="4">
        <v>200.44979624836179</v>
      </c>
      <c r="C56" s="3">
        <v>537.17172413793105</v>
      </c>
      <c r="D56" s="3">
        <v>1497.9241379310342</v>
      </c>
      <c r="E56" s="3">
        <v>734.5292232068964</v>
      </c>
      <c r="F56" s="3"/>
      <c r="G56" s="3">
        <v>2226.7710344827583</v>
      </c>
      <c r="H56" s="3" t="s">
        <v>18</v>
      </c>
      <c r="I56" s="3">
        <v>627.16586206896557</v>
      </c>
      <c r="J56" s="3">
        <v>9269.7272413793107</v>
      </c>
      <c r="K56" s="3">
        <v>19827.852758620687</v>
      </c>
      <c r="L56" s="3">
        <v>447.36379310344824</v>
      </c>
      <c r="M56" s="3">
        <v>3128.2034482758622</v>
      </c>
      <c r="N56" s="3"/>
      <c r="O56" s="3">
        <v>3484.0224137931027</v>
      </c>
      <c r="P56" s="3">
        <v>2130.1751724137926</v>
      </c>
      <c r="Q56" s="3" t="s">
        <v>18</v>
      </c>
      <c r="R56" s="3">
        <v>133.99103448275864</v>
      </c>
    </row>
    <row r="57" spans="1:18">
      <c r="A57" s="2">
        <v>34455</v>
      </c>
      <c r="B57" s="4">
        <v>198.51671437655341</v>
      </c>
      <c r="C57" s="3">
        <v>571.3012903225806</v>
      </c>
      <c r="D57" s="3">
        <v>1853.6806451612906</v>
      </c>
      <c r="E57" s="3">
        <v>787.4410349612906</v>
      </c>
      <c r="F57" s="3"/>
      <c r="G57" s="3">
        <v>2324.9393548387102</v>
      </c>
      <c r="H57" s="3" t="s">
        <v>18</v>
      </c>
      <c r="I57" s="3">
        <v>586.59774193548367</v>
      </c>
      <c r="J57" s="3">
        <v>9123.6829032258065</v>
      </c>
      <c r="K57" s="3">
        <v>20216.184193548386</v>
      </c>
      <c r="L57" s="3">
        <v>451.1461290322581</v>
      </c>
      <c r="M57" s="3">
        <v>3085.1419354838699</v>
      </c>
      <c r="N57" s="3"/>
      <c r="O57" s="3">
        <v>3545.272258064515</v>
      </c>
      <c r="P57" s="3">
        <v>2142.802580645161</v>
      </c>
      <c r="Q57" s="3" t="s">
        <v>18</v>
      </c>
      <c r="R57" s="3">
        <v>132.72322580645161</v>
      </c>
    </row>
    <row r="58" spans="1:18">
      <c r="A58" s="2">
        <v>34486</v>
      </c>
      <c r="B58" s="4">
        <v>196.30887975139157</v>
      </c>
      <c r="C58" s="3">
        <v>568.23966666666649</v>
      </c>
      <c r="D58" s="3">
        <v>3066.2166666666676</v>
      </c>
      <c r="E58" s="3">
        <v>848.78451283000004</v>
      </c>
      <c r="F58" s="3"/>
      <c r="G58" s="3">
        <v>2332.2463333333335</v>
      </c>
      <c r="H58" s="3" t="s">
        <v>18</v>
      </c>
      <c r="I58" s="3">
        <v>511.40666666666681</v>
      </c>
      <c r="J58" s="3">
        <v>9056.0783333333329</v>
      </c>
      <c r="K58" s="3">
        <v>21052.116999999995</v>
      </c>
      <c r="L58" s="3">
        <v>454.87566666666658</v>
      </c>
      <c r="M58" s="3">
        <v>2982.4633333333336</v>
      </c>
      <c r="N58" s="3"/>
      <c r="O58" s="3">
        <v>3355.2419999999997</v>
      </c>
      <c r="P58" s="3">
        <v>1967.7176666666664</v>
      </c>
      <c r="Q58" s="3" t="s">
        <v>18</v>
      </c>
      <c r="R58" s="3">
        <v>126.10000000000004</v>
      </c>
    </row>
    <row r="59" spans="1:18">
      <c r="A59" s="2">
        <v>34516</v>
      </c>
      <c r="B59" s="4">
        <v>198.20074871019693</v>
      </c>
      <c r="C59" s="3">
        <v>536.38806451612902</v>
      </c>
      <c r="D59" s="3">
        <v>3963.6838709677427</v>
      </c>
      <c r="E59" s="3">
        <v>812.26182498064532</v>
      </c>
      <c r="F59" s="3"/>
      <c r="G59" s="3">
        <v>2313.6703225806459</v>
      </c>
      <c r="H59" s="3" t="s">
        <v>18</v>
      </c>
      <c r="I59" s="3">
        <v>404.48806451612899</v>
      </c>
      <c r="J59" s="3">
        <v>8938.7232258064505</v>
      </c>
      <c r="K59" s="3">
        <v>20549.32290322581</v>
      </c>
      <c r="L59" s="3">
        <v>451.50903225806468</v>
      </c>
      <c r="M59" s="3">
        <v>3035.796774193549</v>
      </c>
      <c r="N59" s="3"/>
      <c r="O59" s="3">
        <v>3233.2254838709678</v>
      </c>
      <c r="P59" s="3">
        <v>1982.9132258064519</v>
      </c>
      <c r="Q59" s="3" t="s">
        <v>18</v>
      </c>
      <c r="R59" s="3">
        <v>125.64225806451616</v>
      </c>
    </row>
    <row r="60" spans="1:18">
      <c r="A60" s="2">
        <v>34547</v>
      </c>
      <c r="B60" s="4">
        <v>182.02958665567809</v>
      </c>
      <c r="C60" s="3">
        <v>566.98387096774195</v>
      </c>
      <c r="D60" s="3">
        <v>4842.2193548387113</v>
      </c>
      <c r="E60" s="3">
        <v>861.28101370967761</v>
      </c>
      <c r="F60" s="3"/>
      <c r="G60" s="3">
        <v>2671.6541935483865</v>
      </c>
      <c r="H60" s="3" t="s">
        <v>18</v>
      </c>
      <c r="I60" s="3">
        <v>677.97129032258067</v>
      </c>
      <c r="J60" s="3">
        <v>9501.1638709677427</v>
      </c>
      <c r="K60" s="3">
        <v>20587.716451612909</v>
      </c>
      <c r="L60" s="3">
        <v>464.21354838709675</v>
      </c>
      <c r="M60" s="3">
        <v>3184.6645161290339</v>
      </c>
      <c r="N60" s="3"/>
      <c r="O60" s="3">
        <v>3353.7232258064514</v>
      </c>
      <c r="P60" s="3">
        <v>2048.1332258064517</v>
      </c>
      <c r="Q60" s="3" t="s">
        <v>18</v>
      </c>
      <c r="R60" s="3">
        <v>129.70645161290324</v>
      </c>
    </row>
    <row r="61" spans="1:18">
      <c r="A61" s="2">
        <v>34578</v>
      </c>
      <c r="B61" s="4">
        <v>194.71727630160825</v>
      </c>
      <c r="C61" s="3">
        <v>603.88300000000004</v>
      </c>
      <c r="D61" s="3">
        <v>5317.6433333333325</v>
      </c>
      <c r="E61" s="3">
        <v>907.00551030666645</v>
      </c>
      <c r="F61" s="3"/>
      <c r="G61" s="3">
        <v>2764.5236666666669</v>
      </c>
      <c r="H61" s="3" t="s">
        <v>18</v>
      </c>
      <c r="I61" s="3">
        <v>919.40800000000013</v>
      </c>
      <c r="J61" s="3">
        <v>9865.7589999999982</v>
      </c>
      <c r="K61" s="3">
        <v>19960.498333333333</v>
      </c>
      <c r="L61" s="3">
        <v>467.23733333333337</v>
      </c>
      <c r="M61" s="3">
        <v>3102.47</v>
      </c>
      <c r="N61" s="3"/>
      <c r="O61" s="3">
        <v>3209.2656666666676</v>
      </c>
      <c r="P61" s="3">
        <v>1945.8339999999998</v>
      </c>
      <c r="Q61" s="3" t="s">
        <v>18</v>
      </c>
      <c r="R61" s="3">
        <v>127.25800000000001</v>
      </c>
    </row>
    <row r="62" spans="1:18">
      <c r="A62" s="2">
        <v>34608</v>
      </c>
      <c r="B62" s="4">
        <v>187.62865526508858</v>
      </c>
      <c r="C62" s="3">
        <v>587.6241935483871</v>
      </c>
      <c r="D62" s="3">
        <v>4890.1645161290326</v>
      </c>
      <c r="E62" s="3">
        <v>1022.5841869645161</v>
      </c>
      <c r="F62" s="3"/>
      <c r="G62" s="3">
        <v>2673.6341935483879</v>
      </c>
      <c r="H62" s="3" t="s">
        <v>18</v>
      </c>
      <c r="I62" s="3">
        <v>704.69741935483864</v>
      </c>
      <c r="J62" s="3">
        <v>9398.3270967741901</v>
      </c>
      <c r="K62" s="3">
        <v>19830.352580645162</v>
      </c>
      <c r="L62" s="3">
        <v>464.23129032258078</v>
      </c>
      <c r="M62" s="3">
        <v>3047.7</v>
      </c>
      <c r="N62" s="3"/>
      <c r="O62" s="3">
        <v>3169.6287096774195</v>
      </c>
      <c r="P62" s="3">
        <v>1879.9129032258063</v>
      </c>
      <c r="Q62" s="3" t="s">
        <v>18</v>
      </c>
      <c r="R62" s="3">
        <v>123.96258064516131</v>
      </c>
    </row>
    <row r="63" spans="1:18">
      <c r="A63" s="2">
        <v>34639</v>
      </c>
      <c r="B63" s="4">
        <v>166.90444758356929</v>
      </c>
      <c r="C63" s="3">
        <v>538.32266666666669</v>
      </c>
      <c r="D63" s="3">
        <v>4700.0066666666662</v>
      </c>
      <c r="E63" s="3">
        <v>1029.30258349</v>
      </c>
      <c r="F63" s="3"/>
      <c r="G63" s="3">
        <v>2514.4709999999995</v>
      </c>
      <c r="H63" s="3" t="s">
        <v>18</v>
      </c>
      <c r="I63" s="3">
        <v>695.65346666666676</v>
      </c>
      <c r="J63" s="3">
        <v>9214.495666666664</v>
      </c>
      <c r="K63" s="3">
        <v>19279.658333333329</v>
      </c>
      <c r="L63" s="3">
        <v>460.26633333333342</v>
      </c>
      <c r="M63" s="3">
        <v>3086.2266666666674</v>
      </c>
      <c r="N63" s="3"/>
      <c r="O63" s="3">
        <v>3248.2706666666663</v>
      </c>
      <c r="P63" s="3">
        <v>1933.6046666666666</v>
      </c>
      <c r="Q63" s="3" t="s">
        <v>18</v>
      </c>
      <c r="R63" s="3">
        <v>125.75633333333332</v>
      </c>
    </row>
    <row r="64" spans="1:18">
      <c r="A64" s="2">
        <v>34669</v>
      </c>
      <c r="B64" s="4">
        <v>174.64658766913689</v>
      </c>
      <c r="C64" s="3">
        <v>500.95387096774192</v>
      </c>
      <c r="D64" s="3">
        <v>4592.1096774193538</v>
      </c>
      <c r="E64" s="3">
        <v>997.00200109354853</v>
      </c>
      <c r="F64" s="3"/>
      <c r="G64" s="3">
        <v>2402.0332258064514</v>
      </c>
      <c r="H64" s="3" t="s">
        <v>18</v>
      </c>
      <c r="I64" s="3">
        <v>660.30648387096767</v>
      </c>
      <c r="J64" s="3">
        <v>8172.3848387096787</v>
      </c>
      <c r="K64" s="3">
        <v>19296.536774193552</v>
      </c>
      <c r="L64" s="3">
        <v>455.34774193548395</v>
      </c>
      <c r="M64" s="3">
        <v>3030.5774193548382</v>
      </c>
      <c r="N64" s="3"/>
      <c r="O64" s="3">
        <v>3225.7467741935475</v>
      </c>
      <c r="P64" s="3">
        <v>1940.7012903225811</v>
      </c>
      <c r="Q64" s="3" t="s">
        <v>18</v>
      </c>
      <c r="R64" s="3">
        <v>124.57193548387097</v>
      </c>
    </row>
    <row r="65" spans="1:18">
      <c r="A65" s="2">
        <v>34700</v>
      </c>
      <c r="B65" s="4">
        <v>192.17777585275547</v>
      </c>
      <c r="C65" s="3">
        <v>437.80548387096781</v>
      </c>
      <c r="D65" s="3">
        <v>3894.0064516129041</v>
      </c>
      <c r="E65" s="3">
        <v>939.15792809677441</v>
      </c>
      <c r="F65" s="3"/>
      <c r="G65" s="3">
        <v>2133.8403225806446</v>
      </c>
      <c r="H65" s="3" t="s">
        <v>18</v>
      </c>
      <c r="I65" s="3">
        <v>596.20487096774161</v>
      </c>
      <c r="J65" s="3">
        <v>7478.5732258064509</v>
      </c>
      <c r="K65" s="3">
        <v>19035.824516129025</v>
      </c>
      <c r="L65" s="3">
        <v>464.91709677419362</v>
      </c>
      <c r="M65" s="3">
        <v>3031.7967741935481</v>
      </c>
      <c r="N65" s="3"/>
      <c r="O65" s="3">
        <v>3031.6258064516137</v>
      </c>
      <c r="P65" s="3">
        <v>1843.9309677419353</v>
      </c>
      <c r="Q65" s="3" t="s">
        <v>18</v>
      </c>
      <c r="R65" s="3">
        <v>123.61290322580645</v>
      </c>
    </row>
    <row r="66" spans="1:18">
      <c r="A66" s="2">
        <v>34731</v>
      </c>
      <c r="B66" s="4">
        <v>178.75610385143818</v>
      </c>
      <c r="C66" s="3">
        <v>380.68714285714293</v>
      </c>
      <c r="D66" s="3">
        <v>3348.5107142857132</v>
      </c>
      <c r="E66" s="3">
        <v>903.06937015000017</v>
      </c>
      <c r="F66" s="3"/>
      <c r="G66" s="3">
        <v>1819.1842857142856</v>
      </c>
      <c r="H66" s="3" t="s">
        <v>18</v>
      </c>
      <c r="I66" s="3">
        <v>550.55307142857134</v>
      </c>
      <c r="J66" s="3">
        <v>7937.1703571428588</v>
      </c>
      <c r="K66" s="3">
        <v>18069.575357142861</v>
      </c>
      <c r="L66" s="3">
        <v>482.10357142857134</v>
      </c>
      <c r="M66" s="3">
        <v>3054.875</v>
      </c>
      <c r="N66" s="3"/>
      <c r="O66" s="3">
        <v>3099.6303571428575</v>
      </c>
      <c r="P66" s="3">
        <v>1834.0521428571431</v>
      </c>
      <c r="Q66" s="3" t="s">
        <v>18</v>
      </c>
      <c r="R66" s="3">
        <v>123.98071428571431</v>
      </c>
    </row>
    <row r="67" spans="1:18">
      <c r="A67" s="2">
        <v>34759</v>
      </c>
      <c r="B67" s="4">
        <v>164.76333862707901</v>
      </c>
      <c r="C67" s="3">
        <v>326.97161290322572</v>
      </c>
      <c r="D67" s="3">
        <v>2968.3677419354835</v>
      </c>
      <c r="E67" s="3">
        <v>849.10791069677407</v>
      </c>
      <c r="F67" s="3"/>
      <c r="G67" s="3">
        <v>1622.6325806451614</v>
      </c>
      <c r="H67" s="3" t="s">
        <v>18</v>
      </c>
      <c r="I67" s="3">
        <v>599.99761290322579</v>
      </c>
      <c r="J67" s="3">
        <v>8349.3022580645174</v>
      </c>
      <c r="K67" s="3">
        <v>16412.074516129032</v>
      </c>
      <c r="L67" s="3">
        <v>493.08032258064509</v>
      </c>
      <c r="M67" s="3">
        <v>3076.6870967741934</v>
      </c>
      <c r="N67" s="3"/>
      <c r="O67" s="3">
        <v>2930.3751612903225</v>
      </c>
      <c r="P67" s="3">
        <v>1793.1325806451616</v>
      </c>
      <c r="Q67" s="3" t="s">
        <v>18</v>
      </c>
      <c r="R67" s="3">
        <v>120.7345161290323</v>
      </c>
    </row>
    <row r="68" spans="1:18">
      <c r="A68" s="2">
        <v>34790</v>
      </c>
      <c r="B68" s="4">
        <v>152.5662788978515</v>
      </c>
      <c r="C68" s="3">
        <v>386.58100000000007</v>
      </c>
      <c r="D68" s="3">
        <v>3291.0066666666671</v>
      </c>
      <c r="E68" s="3">
        <v>912.00689940333314</v>
      </c>
      <c r="F68" s="3"/>
      <c r="G68" s="3">
        <v>1899.56</v>
      </c>
      <c r="H68" s="3" t="s">
        <v>18</v>
      </c>
      <c r="I68" s="3">
        <v>634.75263333333339</v>
      </c>
      <c r="J68" s="3">
        <v>8526.7139999999999</v>
      </c>
      <c r="K68" s="3">
        <v>16326.878999999999</v>
      </c>
      <c r="L68" s="3">
        <v>507.95199999999994</v>
      </c>
      <c r="M68" s="3">
        <v>3197.8933333333334</v>
      </c>
      <c r="N68" s="3"/>
      <c r="O68" s="3">
        <v>3010.887999999999</v>
      </c>
      <c r="P68" s="3">
        <v>1894.9520000000002</v>
      </c>
      <c r="Q68" s="3" t="s">
        <v>18</v>
      </c>
      <c r="R68" s="3">
        <v>123.25933333333336</v>
      </c>
    </row>
    <row r="69" spans="1:18">
      <c r="A69" s="2">
        <v>34820</v>
      </c>
      <c r="B69" s="4">
        <v>148.66675231989896</v>
      </c>
      <c r="C69" s="3">
        <v>427.21129032258068</v>
      </c>
      <c r="D69" s="3">
        <v>3951.1935483870975</v>
      </c>
      <c r="E69" s="3">
        <v>996.01392381290304</v>
      </c>
      <c r="F69" s="3"/>
      <c r="G69" s="3">
        <v>2011.6696774193551</v>
      </c>
      <c r="H69" s="3" t="s">
        <v>18</v>
      </c>
      <c r="I69" s="3">
        <v>662.48238709677412</v>
      </c>
      <c r="J69" s="3">
        <v>8943.1722580645164</v>
      </c>
      <c r="K69" s="3">
        <v>16363.641612903224</v>
      </c>
      <c r="L69" s="3">
        <v>523.3732258064515</v>
      </c>
      <c r="M69" s="3">
        <v>3286.6322580645169</v>
      </c>
      <c r="N69" s="3"/>
      <c r="O69" s="3">
        <v>3225.4541935483871</v>
      </c>
      <c r="P69" s="3">
        <v>1962.3577419354833</v>
      </c>
      <c r="Q69" s="3" t="s">
        <v>18</v>
      </c>
      <c r="R69" s="3">
        <v>128.59451612903223</v>
      </c>
    </row>
    <row r="70" spans="1:18">
      <c r="A70" s="2">
        <v>34851</v>
      </c>
      <c r="B70" s="4">
        <v>168.03289639198542</v>
      </c>
      <c r="C70" s="3">
        <v>404.14199999999983</v>
      </c>
      <c r="D70" s="3">
        <v>3724.7033333333338</v>
      </c>
      <c r="E70" s="3">
        <v>1011.7157399533332</v>
      </c>
      <c r="F70" s="3"/>
      <c r="G70" s="3">
        <v>2035.0963333333332</v>
      </c>
      <c r="H70" s="3" t="s">
        <v>18</v>
      </c>
      <c r="I70" s="3">
        <v>672.84176666666644</v>
      </c>
      <c r="J70" s="3">
        <v>9306.8589999999986</v>
      </c>
      <c r="K70" s="3">
        <v>15086.368666666667</v>
      </c>
      <c r="L70" s="3">
        <v>538.85899999999992</v>
      </c>
      <c r="M70" s="3">
        <v>3353.016666666666</v>
      </c>
      <c r="N70" s="3"/>
      <c r="O70" s="3">
        <v>3242.9463333333333</v>
      </c>
      <c r="P70" s="3">
        <v>1916.0873333333334</v>
      </c>
      <c r="Q70" s="3" t="s">
        <v>18</v>
      </c>
      <c r="R70" s="3">
        <v>129.81133333333335</v>
      </c>
    </row>
    <row r="71" spans="1:18">
      <c r="A71" s="2">
        <v>34881</v>
      </c>
      <c r="B71" s="4">
        <v>162.40242746790597</v>
      </c>
      <c r="C71" s="3">
        <v>455.34451612903229</v>
      </c>
      <c r="D71" s="3">
        <v>3878.9064516129019</v>
      </c>
      <c r="E71" s="3">
        <v>1041.7415318193546</v>
      </c>
      <c r="F71" s="3"/>
      <c r="G71" s="3">
        <v>2426.3735483870964</v>
      </c>
      <c r="H71" s="3" t="s">
        <v>18</v>
      </c>
      <c r="I71" s="3">
        <v>671.13487096774179</v>
      </c>
      <c r="J71" s="3">
        <v>9479.7990322580645</v>
      </c>
      <c r="K71" s="3">
        <v>16159.22741935484</v>
      </c>
      <c r="L71" s="3">
        <v>556.43677419354856</v>
      </c>
      <c r="M71" s="3">
        <v>3423.6709677419353</v>
      </c>
      <c r="N71" s="3"/>
      <c r="O71" s="3">
        <v>3315.1287096774186</v>
      </c>
      <c r="P71" s="3">
        <v>1926.6422580645155</v>
      </c>
      <c r="Q71" s="3" t="s">
        <v>18</v>
      </c>
      <c r="R71" s="3">
        <v>131.9641935483871</v>
      </c>
    </row>
    <row r="72" spans="1:18">
      <c r="A72" s="2">
        <v>34912</v>
      </c>
      <c r="B72" s="4">
        <v>155.17446753504277</v>
      </c>
      <c r="C72" s="3">
        <v>475.12645161290322</v>
      </c>
      <c r="D72" s="3">
        <v>4259.3741935483868</v>
      </c>
      <c r="E72" s="3">
        <v>969.29371965483847</v>
      </c>
      <c r="F72" s="3"/>
      <c r="G72" s="3">
        <v>2499.8990322580639</v>
      </c>
      <c r="H72" s="3" t="s">
        <v>18</v>
      </c>
      <c r="I72" s="3">
        <v>732.77622580645163</v>
      </c>
      <c r="J72" s="3">
        <v>9118.2500000000018</v>
      </c>
      <c r="K72" s="3">
        <v>17390.965483870965</v>
      </c>
      <c r="L72" s="3">
        <v>558.9112903225805</v>
      </c>
      <c r="M72" s="3">
        <v>3490.5516129032249</v>
      </c>
      <c r="N72" s="3"/>
      <c r="O72" s="3">
        <v>3489.3216129032253</v>
      </c>
      <c r="P72" s="3">
        <v>1946.240967741935</v>
      </c>
      <c r="Q72" s="3" t="s">
        <v>18</v>
      </c>
      <c r="R72" s="3">
        <v>134.84967741935478</v>
      </c>
    </row>
    <row r="73" spans="1:18">
      <c r="A73" s="2">
        <v>34943</v>
      </c>
      <c r="B73" s="4">
        <v>148.42339988121446</v>
      </c>
      <c r="C73" s="3">
        <v>442.77931034482748</v>
      </c>
      <c r="D73" s="3">
        <v>4643.9413793103458</v>
      </c>
      <c r="E73" s="3">
        <v>939.58622309999998</v>
      </c>
      <c r="F73" s="3"/>
      <c r="G73" s="3">
        <v>2530.5672413793109</v>
      </c>
      <c r="H73" s="3" t="s">
        <v>18</v>
      </c>
      <c r="I73" s="3">
        <v>740.00351724137931</v>
      </c>
      <c r="J73" s="3">
        <v>9506.4437931034481</v>
      </c>
      <c r="K73" s="3">
        <v>18140.714827586202</v>
      </c>
      <c r="L73" s="3">
        <v>577.72689655172417</v>
      </c>
      <c r="M73" s="3">
        <v>3533.1034482758619</v>
      </c>
      <c r="N73" s="3"/>
      <c r="O73" s="3">
        <v>3462.6151724137931</v>
      </c>
      <c r="P73" s="3">
        <v>1850.8651724137935</v>
      </c>
      <c r="Q73" s="3" t="s">
        <v>18</v>
      </c>
      <c r="R73" s="3">
        <v>136.42827586206897</v>
      </c>
    </row>
    <row r="74" spans="1:18">
      <c r="A74" s="2">
        <v>34973</v>
      </c>
      <c r="B74" s="4">
        <v>139.5135605938946</v>
      </c>
      <c r="C74" s="3">
        <v>423.02032258064514</v>
      </c>
      <c r="D74" s="3">
        <v>4453.8290322580651</v>
      </c>
      <c r="E74" s="3">
        <v>952.33455832258028</v>
      </c>
      <c r="F74" s="3"/>
      <c r="G74" s="3">
        <v>2314.2683870967739</v>
      </c>
      <c r="H74" s="3" t="s">
        <v>18</v>
      </c>
      <c r="I74" s="3">
        <v>717.96480645161307</v>
      </c>
      <c r="J74" s="3">
        <v>9827.2377419354834</v>
      </c>
      <c r="K74" s="3">
        <v>17962.501935483873</v>
      </c>
      <c r="L74" s="3">
        <v>583.12612903225806</v>
      </c>
      <c r="M74" s="3">
        <v>3532.1096774193547</v>
      </c>
      <c r="N74" s="3"/>
      <c r="O74" s="3">
        <v>3280.4625806451609</v>
      </c>
      <c r="P74" s="3">
        <v>1778.5816129032257</v>
      </c>
      <c r="Q74" s="3" t="s">
        <v>18</v>
      </c>
      <c r="R74" s="3">
        <v>134.45129032258069</v>
      </c>
    </row>
    <row r="75" spans="1:18">
      <c r="A75" s="2">
        <v>35004</v>
      </c>
      <c r="B75" s="4">
        <v>132.36998900670423</v>
      </c>
      <c r="C75" s="3">
        <v>422.47700000000003</v>
      </c>
      <c r="D75" s="3">
        <v>4061.4933333333347</v>
      </c>
      <c r="E75" s="3">
        <v>926.65014897000003</v>
      </c>
      <c r="F75" s="3"/>
      <c r="G75" s="3">
        <v>2394.353333333333</v>
      </c>
      <c r="H75" s="3" t="s">
        <v>18</v>
      </c>
      <c r="I75" s="3">
        <v>688.58086666666668</v>
      </c>
      <c r="J75" s="3">
        <v>9539.8886666666676</v>
      </c>
      <c r="K75" s="3">
        <v>18097.802333333333</v>
      </c>
      <c r="L75" s="3">
        <v>595.70799999999986</v>
      </c>
      <c r="M75" s="3">
        <v>3576.03</v>
      </c>
      <c r="N75" s="3"/>
      <c r="O75" s="3">
        <v>3370.6633333333325</v>
      </c>
      <c r="P75" s="3">
        <v>1860.0946666666664</v>
      </c>
      <c r="Q75" s="3" t="s">
        <v>18</v>
      </c>
      <c r="R75" s="3">
        <v>136.1273333333333</v>
      </c>
    </row>
    <row r="76" spans="1:18">
      <c r="A76" s="2">
        <v>35034</v>
      </c>
      <c r="B76" s="4">
        <v>148.16827232452908</v>
      </c>
      <c r="C76" s="3">
        <v>489.27733333333333</v>
      </c>
      <c r="D76" s="3">
        <v>4280.1166666666668</v>
      </c>
      <c r="E76" s="3">
        <v>972.89397371333348</v>
      </c>
      <c r="F76" s="3"/>
      <c r="G76" s="3">
        <v>2715.4086666666667</v>
      </c>
      <c r="H76" s="3" t="s">
        <v>18</v>
      </c>
      <c r="I76" s="3">
        <v>606.28453333333346</v>
      </c>
      <c r="J76" s="3">
        <v>9903.969000000001</v>
      </c>
      <c r="K76" s="3">
        <v>19402.242000000002</v>
      </c>
      <c r="L76" s="3">
        <v>614.16133333333312</v>
      </c>
      <c r="M76" s="3">
        <v>3652.646666666667</v>
      </c>
      <c r="N76" s="3"/>
      <c r="O76" s="3">
        <v>3571.695666666667</v>
      </c>
      <c r="P76" s="3">
        <v>1848.1486666666667</v>
      </c>
      <c r="Q76" s="3" t="s">
        <v>18</v>
      </c>
      <c r="R76" s="3">
        <v>139.33333333333334</v>
      </c>
    </row>
    <row r="77" spans="1:18">
      <c r="A77" s="2">
        <v>35065</v>
      </c>
      <c r="B77" s="4">
        <v>148.98468050592228</v>
      </c>
      <c r="C77" s="3">
        <v>547.90774193548395</v>
      </c>
      <c r="D77" s="3">
        <v>4815.9548387096756</v>
      </c>
      <c r="E77" s="3">
        <v>1032.1790001322581</v>
      </c>
      <c r="F77" s="3"/>
      <c r="G77" s="3">
        <v>3002.6838709677413</v>
      </c>
      <c r="H77" s="3" t="s">
        <v>18</v>
      </c>
      <c r="I77" s="3">
        <v>535.99625806451627</v>
      </c>
      <c r="J77" s="3">
        <v>10701.530967741934</v>
      </c>
      <c r="K77" s="3">
        <v>20429.372580645151</v>
      </c>
      <c r="L77" s="3">
        <v>614.10032258064518</v>
      </c>
      <c r="M77" s="3">
        <v>3713.7387096774187</v>
      </c>
      <c r="N77" s="3"/>
      <c r="O77" s="3">
        <v>3704.6103225806446</v>
      </c>
      <c r="P77" s="3">
        <v>1940.5274193548389</v>
      </c>
      <c r="Q77" s="3" t="s">
        <v>18</v>
      </c>
      <c r="R77" s="3">
        <v>143.8135483870968</v>
      </c>
    </row>
    <row r="78" spans="1:18">
      <c r="A78" s="2">
        <v>35096</v>
      </c>
      <c r="B78" s="4">
        <v>161.38780480016493</v>
      </c>
      <c r="C78" s="3">
        <v>535.07137931034481</v>
      </c>
      <c r="D78" s="3">
        <v>5266.687931034483</v>
      </c>
      <c r="E78" s="3">
        <v>1018.917924013793</v>
      </c>
      <c r="F78" s="3"/>
      <c r="G78" s="3">
        <v>2984.2341379310346</v>
      </c>
      <c r="H78" s="3" t="s">
        <v>18</v>
      </c>
      <c r="I78" s="3">
        <v>540.46203448275833</v>
      </c>
      <c r="J78" s="3">
        <v>11395.453103448272</v>
      </c>
      <c r="K78" s="3">
        <v>20668.702413793104</v>
      </c>
      <c r="L78" s="3">
        <v>649.56413793103445</v>
      </c>
      <c r="M78" s="3">
        <v>3741.9724137931044</v>
      </c>
      <c r="N78" s="3"/>
      <c r="O78" s="3">
        <v>3772.852413793104</v>
      </c>
      <c r="P78" s="3">
        <v>1973.493448275862</v>
      </c>
      <c r="Q78" s="3" t="s">
        <v>18</v>
      </c>
      <c r="R78" s="3">
        <v>146.65310344827586</v>
      </c>
    </row>
    <row r="79" spans="1:18">
      <c r="A79" s="2">
        <v>35125</v>
      </c>
      <c r="B79" s="4">
        <v>153.62407699826241</v>
      </c>
      <c r="C79" s="3">
        <v>508.88419354838703</v>
      </c>
      <c r="D79" s="3">
        <v>4930.7032258064501</v>
      </c>
      <c r="E79" s="3">
        <v>992.91214453225814</v>
      </c>
      <c r="F79" s="3"/>
      <c r="G79" s="3">
        <v>2924.7525806451608</v>
      </c>
      <c r="H79" s="3" t="s">
        <v>18</v>
      </c>
      <c r="I79" s="3">
        <v>565.95812903225806</v>
      </c>
      <c r="J79" s="3">
        <v>10947.89806451613</v>
      </c>
      <c r="K79" s="3">
        <v>20457.233225806445</v>
      </c>
      <c r="L79" s="3">
        <v>645.78741935483879</v>
      </c>
      <c r="M79" s="3">
        <v>3699.2419354838707</v>
      </c>
      <c r="N79" s="3"/>
      <c r="O79" s="3">
        <v>3775.4287096774183</v>
      </c>
      <c r="P79" s="3">
        <v>1988.5699999999993</v>
      </c>
      <c r="Q79" s="3" t="s">
        <v>18</v>
      </c>
      <c r="R79" s="3">
        <v>147.88903225806456</v>
      </c>
    </row>
    <row r="80" spans="1:18">
      <c r="A80" s="2">
        <v>35156</v>
      </c>
      <c r="B80" s="4">
        <v>171.45749321056979</v>
      </c>
      <c r="C80" s="3">
        <v>534.05966666666654</v>
      </c>
      <c r="D80" s="3">
        <v>5024.0266666666666</v>
      </c>
      <c r="E80" s="3">
        <v>983.48358237666696</v>
      </c>
      <c r="F80" s="3"/>
      <c r="G80" s="3">
        <v>3167.762666666667</v>
      </c>
      <c r="H80" s="3" t="s">
        <v>18</v>
      </c>
      <c r="I80" s="3">
        <v>613.32869999999991</v>
      </c>
      <c r="J80" s="3">
        <v>10943.246666666664</v>
      </c>
      <c r="K80" s="3">
        <v>21852.954000000005</v>
      </c>
      <c r="L80" s="3">
        <v>647.62299999999982</v>
      </c>
      <c r="M80" s="3">
        <v>3792.736666666668</v>
      </c>
      <c r="N80" s="3"/>
      <c r="O80" s="3">
        <v>3977.9673333333321</v>
      </c>
      <c r="P80" s="3">
        <v>2093.7726666666663</v>
      </c>
      <c r="Q80" s="3" t="s">
        <v>18</v>
      </c>
      <c r="R80" s="3">
        <v>151.74299999999997</v>
      </c>
    </row>
    <row r="81" spans="1:18">
      <c r="A81" s="2">
        <v>35186</v>
      </c>
      <c r="B81" s="4">
        <v>171.39665510089867</v>
      </c>
      <c r="C81" s="3">
        <v>587.59709677419335</v>
      </c>
      <c r="D81" s="3">
        <v>5451.5225806451608</v>
      </c>
      <c r="E81" s="3">
        <v>1018.1845294032261</v>
      </c>
      <c r="F81" s="3"/>
      <c r="G81" s="3">
        <v>3242.7990322580649</v>
      </c>
      <c r="H81" s="3" t="s">
        <v>18</v>
      </c>
      <c r="I81" s="3">
        <v>663.36200000000008</v>
      </c>
      <c r="J81" s="3">
        <v>10877.195483870966</v>
      </c>
      <c r="K81" s="3">
        <v>21745.332903225804</v>
      </c>
      <c r="L81" s="3">
        <v>661.54387096774178</v>
      </c>
      <c r="M81" s="3">
        <v>3758.8935483870973</v>
      </c>
      <c r="N81" s="3"/>
      <c r="O81" s="3">
        <v>4094.3619354838702</v>
      </c>
      <c r="P81" s="3">
        <v>2116.3780645161291</v>
      </c>
      <c r="Q81" s="3" t="s">
        <v>18</v>
      </c>
      <c r="R81" s="3">
        <v>152.63387096774196</v>
      </c>
    </row>
    <row r="82" spans="1:18">
      <c r="A82" s="2">
        <v>35217</v>
      </c>
      <c r="B82" s="4">
        <v>168.91995528138375</v>
      </c>
      <c r="C82" s="3">
        <v>596.98599999999999</v>
      </c>
      <c r="D82" s="3">
        <v>5783.0700000000006</v>
      </c>
      <c r="E82" s="3">
        <v>1014.9473747500001</v>
      </c>
      <c r="F82" s="3"/>
      <c r="G82" s="3">
        <v>3200.6573333333336</v>
      </c>
      <c r="H82" s="3" t="s">
        <v>18</v>
      </c>
      <c r="I82" s="3">
        <v>755.11676666666665</v>
      </c>
      <c r="J82" s="3">
        <v>11013.358666666669</v>
      </c>
      <c r="K82" s="3">
        <v>22194.26333333334</v>
      </c>
      <c r="L82" s="3">
        <v>668.71600000000012</v>
      </c>
      <c r="M82" s="3">
        <v>3732.1133333333332</v>
      </c>
      <c r="N82" s="3"/>
      <c r="O82" s="3">
        <v>4206.1200000000008</v>
      </c>
      <c r="P82" s="3">
        <v>2110.9506666666662</v>
      </c>
      <c r="Q82" s="3" t="s">
        <v>18</v>
      </c>
      <c r="R82" s="3">
        <v>152.8716666666667</v>
      </c>
    </row>
    <row r="83" spans="1:18">
      <c r="A83" s="2">
        <v>35247</v>
      </c>
      <c r="B83" s="4">
        <v>167.19686301392409</v>
      </c>
      <c r="C83" s="3">
        <v>558.32064516129037</v>
      </c>
      <c r="D83" s="3">
        <v>6287.1354838709658</v>
      </c>
      <c r="E83" s="3">
        <v>1045.0650250000003</v>
      </c>
      <c r="F83" s="3"/>
      <c r="G83" s="3">
        <v>3041.1838709677418</v>
      </c>
      <c r="H83" s="3" t="s">
        <v>18</v>
      </c>
      <c r="I83" s="3">
        <v>820.87890322580631</v>
      </c>
      <c r="J83" s="3">
        <v>10848.868709677417</v>
      </c>
      <c r="K83" s="3">
        <v>21575.026129032256</v>
      </c>
      <c r="L83" s="3">
        <v>645.11193548387109</v>
      </c>
      <c r="M83" s="3">
        <v>3708.9161290322586</v>
      </c>
      <c r="N83" s="3"/>
      <c r="O83" s="3">
        <v>4085.9845161290323</v>
      </c>
      <c r="P83" s="3">
        <v>2029.5409677419357</v>
      </c>
      <c r="Q83" s="3" t="s">
        <v>18</v>
      </c>
      <c r="R83" s="3">
        <v>149.89741935483872</v>
      </c>
    </row>
    <row r="84" spans="1:18">
      <c r="A84" s="2">
        <v>35278</v>
      </c>
      <c r="B84" s="4">
        <v>163.90768005234963</v>
      </c>
      <c r="C84" s="3">
        <v>522.66290322580642</v>
      </c>
      <c r="D84" s="3">
        <v>6259.3193548387108</v>
      </c>
      <c r="E84" s="3">
        <v>1001.7694583387093</v>
      </c>
      <c r="F84" s="3"/>
      <c r="G84" s="3">
        <v>3290.9935483870959</v>
      </c>
      <c r="H84" s="3" t="s">
        <v>18</v>
      </c>
      <c r="I84" s="3">
        <v>837.80899999999986</v>
      </c>
      <c r="J84" s="3">
        <v>11199.707741935488</v>
      </c>
      <c r="K84" s="3">
        <v>20852.330000000002</v>
      </c>
      <c r="L84" s="3">
        <v>662.73096774193584</v>
      </c>
      <c r="M84" s="3">
        <v>3844.3645161290328</v>
      </c>
      <c r="N84" s="3"/>
      <c r="O84" s="3">
        <v>4055.5838709677419</v>
      </c>
      <c r="P84" s="3">
        <v>1998.6516129032257</v>
      </c>
      <c r="Q84" s="3" t="s">
        <v>18</v>
      </c>
      <c r="R84" s="3">
        <v>151.30677419354842</v>
      </c>
    </row>
    <row r="85" spans="1:18">
      <c r="A85" s="2">
        <v>35309</v>
      </c>
      <c r="B85" s="4">
        <v>170.76864880751927</v>
      </c>
      <c r="C85" s="3">
        <v>538.73571428571438</v>
      </c>
      <c r="D85" s="3">
        <v>6429.7678571428569</v>
      </c>
      <c r="E85" s="3">
        <v>998.52367804642847</v>
      </c>
      <c r="F85" s="3"/>
      <c r="G85" s="3">
        <v>3306.6407142857138</v>
      </c>
      <c r="H85" s="3" t="s">
        <v>18</v>
      </c>
      <c r="I85" s="3">
        <v>806.45164285714304</v>
      </c>
      <c r="J85" s="3">
        <v>11386.895000000002</v>
      </c>
      <c r="K85" s="3">
        <v>20800.721785714286</v>
      </c>
      <c r="L85" s="3">
        <v>673.11892857142846</v>
      </c>
      <c r="M85" s="3">
        <v>3927.4607142857135</v>
      </c>
      <c r="N85" s="3"/>
      <c r="O85" s="3">
        <v>4067.4510714285716</v>
      </c>
      <c r="P85" s="3">
        <v>2053.7610714285715</v>
      </c>
      <c r="Q85" s="3" t="s">
        <v>18</v>
      </c>
      <c r="R85" s="3">
        <v>154.27964285714285</v>
      </c>
    </row>
    <row r="86" spans="1:18">
      <c r="A86" s="2">
        <v>35339</v>
      </c>
      <c r="B86" s="4">
        <v>171.6596327362513</v>
      </c>
      <c r="C86" s="3">
        <v>571.522258064516</v>
      </c>
      <c r="D86" s="3">
        <v>6628.4419354838701</v>
      </c>
      <c r="E86" s="3">
        <v>1029.2525417419358</v>
      </c>
      <c r="F86" s="3"/>
      <c r="G86" s="3">
        <v>3296.5564516129034</v>
      </c>
      <c r="H86" s="3" t="s">
        <v>18</v>
      </c>
      <c r="I86" s="3">
        <v>935.95835483870951</v>
      </c>
      <c r="J86" s="3">
        <v>12277.425483870964</v>
      </c>
      <c r="K86" s="3">
        <v>21110.45322580645</v>
      </c>
      <c r="L86" s="3">
        <v>701.97419354838689</v>
      </c>
      <c r="M86" s="3">
        <v>4023.8548387096771</v>
      </c>
      <c r="N86" s="3"/>
      <c r="O86" s="3">
        <v>4316.4974193548378</v>
      </c>
      <c r="P86" s="3">
        <v>2153.9496774193553</v>
      </c>
      <c r="Q86" s="3" t="s">
        <v>18</v>
      </c>
      <c r="R86" s="3">
        <v>159.98612903225808</v>
      </c>
    </row>
    <row r="87" spans="1:18">
      <c r="A87" s="2">
        <v>35370</v>
      </c>
      <c r="B87" s="4">
        <v>165.23434334711359</v>
      </c>
      <c r="C87" s="3">
        <v>596.1099999999999</v>
      </c>
      <c r="D87" s="3">
        <v>6605.5033333333313</v>
      </c>
      <c r="E87" s="3">
        <v>980.83909328333334</v>
      </c>
      <c r="F87" s="3"/>
      <c r="G87" s="3">
        <v>3317.7093333333323</v>
      </c>
      <c r="H87" s="3" t="s">
        <v>18</v>
      </c>
      <c r="I87" s="3">
        <v>956.85953333333305</v>
      </c>
      <c r="J87" s="3">
        <v>12955.999999999998</v>
      </c>
      <c r="K87" s="3">
        <v>21014.301333333329</v>
      </c>
      <c r="L87" s="3">
        <v>735.57599999999991</v>
      </c>
      <c r="M87" s="3">
        <v>3969.6933333333336</v>
      </c>
      <c r="N87" s="3"/>
      <c r="O87" s="3">
        <v>4480.609333333332</v>
      </c>
      <c r="P87" s="3">
        <v>2227.6440000000002</v>
      </c>
      <c r="Q87" s="3" t="s">
        <v>18</v>
      </c>
      <c r="R87" s="3">
        <v>162.65433333333334</v>
      </c>
    </row>
    <row r="88" spans="1:18">
      <c r="A88" s="2">
        <v>35400</v>
      </c>
      <c r="B88" s="4">
        <v>165.6641351541451</v>
      </c>
      <c r="C88" s="3">
        <v>627.37225806451602</v>
      </c>
      <c r="D88" s="3">
        <v>6855.9290322580646</v>
      </c>
      <c r="E88" s="3">
        <v>912.61551226774202</v>
      </c>
      <c r="F88" s="3"/>
      <c r="G88" s="3">
        <v>3302.2351612903226</v>
      </c>
      <c r="H88" s="3" t="s">
        <v>18</v>
      </c>
      <c r="I88" s="3">
        <v>1038.1591935483873</v>
      </c>
      <c r="J88" s="3">
        <v>13191.745483870965</v>
      </c>
      <c r="K88" s="3">
        <v>20076.537419354845</v>
      </c>
      <c r="L88" s="3">
        <v>744.00516129032258</v>
      </c>
      <c r="M88" s="3">
        <v>4039.6354838709681</v>
      </c>
      <c r="N88" s="3"/>
      <c r="O88" s="3">
        <v>4847.1458064516137</v>
      </c>
      <c r="P88" s="3">
        <v>2267.5651612903221</v>
      </c>
      <c r="Q88" s="3" t="s">
        <v>18</v>
      </c>
      <c r="R88" s="3">
        <v>167.46806451612903</v>
      </c>
    </row>
    <row r="89" spans="1:18">
      <c r="A89" s="2">
        <v>35431</v>
      </c>
      <c r="B89" s="4">
        <v>189.52641178289448</v>
      </c>
      <c r="C89" s="3">
        <v>671.18870967741918</v>
      </c>
      <c r="D89" s="3">
        <v>7561.1064516129018</v>
      </c>
      <c r="E89" s="3">
        <v>976.24660022258035</v>
      </c>
      <c r="F89" s="3"/>
      <c r="G89" s="3">
        <v>3609.0925806451601</v>
      </c>
      <c r="H89" s="3" t="s">
        <v>18</v>
      </c>
      <c r="I89" s="3">
        <v>926.19219354838731</v>
      </c>
      <c r="J89" s="3">
        <v>13445.197096774191</v>
      </c>
      <c r="K89" s="3">
        <v>18194.335161290324</v>
      </c>
      <c r="L89" s="3">
        <v>764.70806451612918</v>
      </c>
      <c r="M89" s="3">
        <v>4158.9225806451614</v>
      </c>
      <c r="N89" s="3"/>
      <c r="O89" s="3">
        <v>5300.6312903225798</v>
      </c>
      <c r="P89" s="3">
        <v>2385.1699999999987</v>
      </c>
      <c r="Q89" s="3" t="s">
        <v>18</v>
      </c>
      <c r="R89" s="3">
        <v>176.59225806451622</v>
      </c>
    </row>
    <row r="90" spans="1:18">
      <c r="A90" s="2">
        <v>35462</v>
      </c>
      <c r="B90" s="4">
        <v>209.79727742138056</v>
      </c>
      <c r="C90" s="3">
        <v>721.43296296296296</v>
      </c>
      <c r="D90" s="3">
        <v>8566.2333333333336</v>
      </c>
      <c r="E90" s="3">
        <v>1035.3810016444443</v>
      </c>
      <c r="F90" s="3"/>
      <c r="G90" s="3">
        <v>3783.3429629629613</v>
      </c>
      <c r="H90" s="3" t="s">
        <v>18</v>
      </c>
      <c r="I90" s="3">
        <v>979.70948148148148</v>
      </c>
      <c r="J90" s="3">
        <v>13404.001111111111</v>
      </c>
      <c r="K90" s="3">
        <v>18561.39</v>
      </c>
      <c r="L90" s="3">
        <v>798.52703703703673</v>
      </c>
      <c r="M90" s="3">
        <v>4316.5296296296301</v>
      </c>
      <c r="N90" s="3"/>
      <c r="O90" s="3">
        <v>5402.4922222222212</v>
      </c>
      <c r="P90" s="3">
        <v>2583.4122222222218</v>
      </c>
      <c r="Q90" s="3" t="s">
        <v>18</v>
      </c>
      <c r="R90" s="3">
        <v>188.17370370370369</v>
      </c>
    </row>
    <row r="91" spans="1:18">
      <c r="A91" s="2">
        <v>35490</v>
      </c>
      <c r="B91" s="4">
        <v>209.65401348570339</v>
      </c>
      <c r="C91" s="3">
        <v>724.19666666666706</v>
      </c>
      <c r="D91" s="3">
        <v>9233.1133333333346</v>
      </c>
      <c r="E91" s="3">
        <v>1034.0664675333333</v>
      </c>
      <c r="F91" s="3"/>
      <c r="G91" s="3">
        <v>3806.4810000000002</v>
      </c>
      <c r="H91" s="3" t="s">
        <v>18</v>
      </c>
      <c r="I91" s="3">
        <v>1133.5214000000003</v>
      </c>
      <c r="J91" s="3">
        <v>12936.006333333336</v>
      </c>
      <c r="K91" s="3">
        <v>18258.218333333331</v>
      </c>
      <c r="L91" s="3">
        <v>790.89233333333334</v>
      </c>
      <c r="M91" s="3">
        <v>4348.6000000000004</v>
      </c>
      <c r="N91" s="3"/>
      <c r="O91" s="3">
        <v>5455.8996666666662</v>
      </c>
      <c r="P91" s="3">
        <v>2639.5253333333321</v>
      </c>
      <c r="Q91" s="3" t="s">
        <v>18</v>
      </c>
      <c r="R91" s="3">
        <v>191.80933333333331</v>
      </c>
    </row>
    <row r="92" spans="1:18">
      <c r="A92" s="2">
        <v>35521</v>
      </c>
      <c r="B92" s="4">
        <v>225.38164609552311</v>
      </c>
      <c r="C92" s="3">
        <v>710.68035714285713</v>
      </c>
      <c r="D92" s="3">
        <v>9581.0714285714294</v>
      </c>
      <c r="E92" s="3">
        <v>1055.6293683214285</v>
      </c>
      <c r="F92" s="3"/>
      <c r="G92" s="3">
        <v>3777.7974999999992</v>
      </c>
      <c r="H92" s="3" t="s">
        <v>18</v>
      </c>
      <c r="I92" s="3">
        <v>1314.8915714285711</v>
      </c>
      <c r="J92" s="3">
        <v>12467.917499999998</v>
      </c>
      <c r="K92" s="3">
        <v>18188.540357142854</v>
      </c>
      <c r="L92" s="3">
        <v>762.05964285714276</v>
      </c>
      <c r="M92" s="3">
        <v>4308.7107142857139</v>
      </c>
      <c r="N92" s="3"/>
      <c r="O92" s="3">
        <v>5569.9510714285707</v>
      </c>
      <c r="P92" s="3">
        <v>2564.4485714285715</v>
      </c>
      <c r="Q92" s="3" t="s">
        <v>18</v>
      </c>
      <c r="R92" s="3">
        <v>191.27071428571432</v>
      </c>
    </row>
    <row r="93" spans="1:18">
      <c r="A93" s="2">
        <v>35551</v>
      </c>
      <c r="B93" s="4">
        <v>238.21063715746359</v>
      </c>
      <c r="C93" s="3">
        <v>746.75400000000013</v>
      </c>
      <c r="D93" s="3">
        <v>10592.2</v>
      </c>
      <c r="E93" s="3">
        <v>1099.6723009999998</v>
      </c>
      <c r="F93" s="3"/>
      <c r="G93" s="3">
        <v>3893.6346666666655</v>
      </c>
      <c r="H93" s="3" t="s">
        <v>18</v>
      </c>
      <c r="I93" s="3">
        <v>1358.911166666667</v>
      </c>
      <c r="J93" s="3">
        <v>14004.008999999996</v>
      </c>
      <c r="K93" s="3">
        <v>20001.596333333338</v>
      </c>
      <c r="L93" s="3">
        <v>833.14866666666637</v>
      </c>
      <c r="M93" s="3">
        <v>4614.8166666666666</v>
      </c>
      <c r="N93" s="3"/>
      <c r="O93" s="3">
        <v>6251.902</v>
      </c>
      <c r="P93" s="3">
        <v>2693.9403333333335</v>
      </c>
      <c r="Q93" s="3" t="s">
        <v>18</v>
      </c>
      <c r="R93" s="3">
        <v>203.27100000000004</v>
      </c>
    </row>
    <row r="94" spans="1:18">
      <c r="A94" s="2">
        <v>35582</v>
      </c>
      <c r="B94" s="4">
        <v>232.18177674102162</v>
      </c>
      <c r="C94" s="3">
        <v>808.30800000000011</v>
      </c>
      <c r="D94" s="3">
        <v>11934.8</v>
      </c>
      <c r="E94" s="3">
        <v>1195.3802965000002</v>
      </c>
      <c r="F94" s="3"/>
      <c r="G94" s="3">
        <v>4276.2159999999994</v>
      </c>
      <c r="H94" s="3" t="s">
        <v>18</v>
      </c>
      <c r="I94" s="3">
        <v>1273.4763333333331</v>
      </c>
      <c r="J94" s="3">
        <v>14721.577333333327</v>
      </c>
      <c r="K94" s="3">
        <v>20484.398333333324</v>
      </c>
      <c r="L94" s="3">
        <v>877.49566666666681</v>
      </c>
      <c r="M94" s="3">
        <v>4652.7733333333326</v>
      </c>
      <c r="N94" s="3"/>
      <c r="O94" s="3">
        <v>6666.6430000000018</v>
      </c>
      <c r="P94" s="3">
        <v>2756.2289999999989</v>
      </c>
      <c r="Q94" s="3" t="s">
        <v>18</v>
      </c>
      <c r="R94" s="3">
        <v>211.01666666666662</v>
      </c>
    </row>
    <row r="95" spans="1:18">
      <c r="A95" s="2">
        <v>35612</v>
      </c>
      <c r="B95" s="4">
        <v>235.41797167159223</v>
      </c>
      <c r="C95" s="3">
        <v>832.12193548387108</v>
      </c>
      <c r="D95" s="3">
        <v>12709.096774193549</v>
      </c>
      <c r="E95" s="3">
        <v>1203.9485375483875</v>
      </c>
      <c r="F95" s="3"/>
      <c r="G95" s="3">
        <v>4742.6654838709674</v>
      </c>
      <c r="H95" s="3" t="s">
        <v>18</v>
      </c>
      <c r="I95" s="3">
        <v>1172.4169354838714</v>
      </c>
      <c r="J95" s="3">
        <v>15377.500645161294</v>
      </c>
      <c r="K95" s="3">
        <v>20144.285806451611</v>
      </c>
      <c r="L95" s="3">
        <v>924.15354838709698</v>
      </c>
      <c r="M95" s="3">
        <v>4840.8870967741923</v>
      </c>
      <c r="N95" s="3"/>
      <c r="O95" s="3">
        <v>7003.8977419354842</v>
      </c>
      <c r="P95" s="3">
        <v>2957.602903225807</v>
      </c>
      <c r="Q95" s="3" t="s">
        <v>18</v>
      </c>
      <c r="R95" s="3">
        <v>228.0648387096775</v>
      </c>
    </row>
    <row r="96" spans="1:18">
      <c r="A96" s="2">
        <v>35643</v>
      </c>
      <c r="B96" s="4">
        <v>267.12836444791702</v>
      </c>
      <c r="C96" s="3">
        <v>845.4858064516128</v>
      </c>
      <c r="D96" s="3">
        <v>11592.548387096775</v>
      </c>
      <c r="E96" s="3">
        <v>1189.9184070645163</v>
      </c>
      <c r="F96" s="3"/>
      <c r="G96" s="3">
        <v>4997.4158064516141</v>
      </c>
      <c r="H96" s="3" t="s">
        <v>18</v>
      </c>
      <c r="I96" s="3">
        <v>1179.3133225806448</v>
      </c>
      <c r="J96" s="3">
        <v>15883.109999999999</v>
      </c>
      <c r="K96" s="3">
        <v>19101.107096774194</v>
      </c>
      <c r="L96" s="3">
        <v>925.53161290322578</v>
      </c>
      <c r="M96" s="3">
        <v>4930.3935483870982</v>
      </c>
      <c r="N96" s="3"/>
      <c r="O96" s="3">
        <v>6687.3783870967718</v>
      </c>
      <c r="P96" s="3">
        <v>2936.6248387096775</v>
      </c>
      <c r="Q96" s="3" t="s">
        <v>18</v>
      </c>
      <c r="R96" s="3">
        <v>228.0145161290323</v>
      </c>
    </row>
    <row r="97" spans="1:18">
      <c r="A97" s="2">
        <v>35674</v>
      </c>
      <c r="B97" s="4">
        <v>288.89663259217951</v>
      </c>
      <c r="C97" s="3">
        <v>819.60896551724147</v>
      </c>
      <c r="D97" s="3">
        <v>11441.51724137931</v>
      </c>
      <c r="E97" s="3">
        <v>1174.1298321379313</v>
      </c>
      <c r="F97" s="3"/>
      <c r="G97" s="3">
        <v>5004.2596551724137</v>
      </c>
      <c r="H97" s="3">
        <v>99.638749999999987</v>
      </c>
      <c r="I97" s="3">
        <v>1184.4038965517241</v>
      </c>
      <c r="J97" s="3">
        <v>14465.442413793104</v>
      </c>
      <c r="K97" s="3">
        <v>18223.417241379317</v>
      </c>
      <c r="L97" s="3">
        <v>935.48758620689637</v>
      </c>
      <c r="M97" s="3">
        <v>5006.4310344827572</v>
      </c>
      <c r="N97" s="3"/>
      <c r="O97" s="3">
        <v>6892.8965517241377</v>
      </c>
      <c r="P97" s="3">
        <v>2935.5796551724147</v>
      </c>
      <c r="Q97" s="3" t="s">
        <v>18</v>
      </c>
      <c r="R97" s="3">
        <v>226.03034482758625</v>
      </c>
    </row>
    <row r="98" spans="1:18">
      <c r="A98" s="2">
        <v>35704</v>
      </c>
      <c r="B98" s="4">
        <v>294.28963663657493</v>
      </c>
      <c r="C98" s="3">
        <v>802.96064516129024</v>
      </c>
      <c r="D98" s="3">
        <v>12009.290322580646</v>
      </c>
      <c r="E98" s="3">
        <v>1100.6846000322582</v>
      </c>
      <c r="F98" s="3"/>
      <c r="G98" s="3">
        <v>5149.9180645161287</v>
      </c>
      <c r="H98" s="3">
        <v>105.34096774193549</v>
      </c>
      <c r="I98" s="3">
        <v>1148.3708709677421</v>
      </c>
      <c r="J98" s="3">
        <v>13059.557741935487</v>
      </c>
      <c r="K98" s="3">
        <v>17327.565806451606</v>
      </c>
      <c r="L98" s="3">
        <v>952.00870967741923</v>
      </c>
      <c r="M98" s="3">
        <v>5159.2470967741938</v>
      </c>
      <c r="N98" s="3"/>
      <c r="O98" s="3">
        <v>6786.622580645163</v>
      </c>
      <c r="P98" s="3">
        <v>2943.9825806451613</v>
      </c>
      <c r="Q98" s="3" t="s">
        <v>18</v>
      </c>
      <c r="R98" s="3">
        <v>230.6577419354839</v>
      </c>
    </row>
    <row r="99" spans="1:18">
      <c r="A99" s="2">
        <v>35735</v>
      </c>
      <c r="B99" s="4">
        <v>274.68995272413804</v>
      </c>
      <c r="C99" s="3">
        <v>639.37933333333319</v>
      </c>
      <c r="D99" s="3">
        <v>9136.7333333333336</v>
      </c>
      <c r="E99" s="3">
        <v>1036.6096783666669</v>
      </c>
      <c r="F99" s="3"/>
      <c r="G99" s="3">
        <v>4712.507333333333</v>
      </c>
      <c r="H99" s="3">
        <v>76.718666666666678</v>
      </c>
      <c r="I99" s="3">
        <v>1171.7379666666661</v>
      </c>
      <c r="J99" s="3">
        <v>10335.645666666662</v>
      </c>
      <c r="K99" s="3">
        <v>16150.452333333338</v>
      </c>
      <c r="L99" s="3">
        <v>938.97100000000012</v>
      </c>
      <c r="M99" s="3">
        <v>4841.902</v>
      </c>
      <c r="N99" s="3"/>
      <c r="O99" s="3">
        <v>6540.9330000000018</v>
      </c>
      <c r="P99" s="3">
        <v>2772.9683333333323</v>
      </c>
      <c r="Q99" s="3" t="s">
        <v>18</v>
      </c>
      <c r="R99" s="3">
        <v>219.11700000000002</v>
      </c>
    </row>
    <row r="100" spans="1:18">
      <c r="A100" s="2">
        <v>35765</v>
      </c>
      <c r="B100" s="4">
        <v>280.96805313826496</v>
      </c>
      <c r="C100" s="3">
        <v>670.5623333333333</v>
      </c>
      <c r="D100" s="3">
        <v>9659.1333333333332</v>
      </c>
      <c r="E100" s="3">
        <v>1011.3651237266665</v>
      </c>
      <c r="F100" s="3"/>
      <c r="G100" s="3">
        <v>5043.7899999999991</v>
      </c>
      <c r="H100" s="3">
        <v>77.201333333333338</v>
      </c>
      <c r="I100" s="3">
        <v>1160.4912000000002</v>
      </c>
      <c r="J100" s="3">
        <v>10729.488666666668</v>
      </c>
      <c r="K100" s="3">
        <v>15759.49133333333</v>
      </c>
      <c r="L100" s="3">
        <v>958.72666666666635</v>
      </c>
      <c r="M100" s="3">
        <v>5072.2480000000014</v>
      </c>
      <c r="N100" s="3"/>
      <c r="O100" s="3">
        <v>7133.8453333333327</v>
      </c>
      <c r="P100" s="3">
        <v>2887.4133333333348</v>
      </c>
      <c r="Q100" s="3">
        <v>24401.54</v>
      </c>
      <c r="R100" s="3">
        <v>230.36833333333334</v>
      </c>
    </row>
    <row r="101" spans="1:18">
      <c r="A101" s="2">
        <v>35796</v>
      </c>
      <c r="B101" s="4">
        <v>267.33246649326531</v>
      </c>
      <c r="C101" s="3">
        <v>626.17322580645168</v>
      </c>
      <c r="D101" s="3">
        <v>9670.1935483870966</v>
      </c>
      <c r="E101" s="3">
        <v>928.29005376129021</v>
      </c>
      <c r="F101" s="3"/>
      <c r="G101" s="3">
        <v>4730.4899999999989</v>
      </c>
      <c r="H101" s="3">
        <v>73.665161290322573</v>
      </c>
      <c r="I101" s="3">
        <v>1216.5572903225809</v>
      </c>
      <c r="J101" s="3">
        <v>9322.2000000000007</v>
      </c>
      <c r="K101" s="3">
        <v>15842.285806451613</v>
      </c>
      <c r="L101" s="3">
        <v>962.03419354838718</v>
      </c>
      <c r="M101" s="3">
        <v>5233.2535483870961</v>
      </c>
      <c r="N101" s="3"/>
      <c r="O101" s="3">
        <v>7658.1361290322584</v>
      </c>
      <c r="P101" s="3">
        <v>2999.889677419354</v>
      </c>
      <c r="Q101" s="3">
        <v>26190.802258064519</v>
      </c>
      <c r="R101" s="3">
        <v>239.59709677419366</v>
      </c>
    </row>
    <row r="102" spans="1:18">
      <c r="A102" s="2">
        <v>35827</v>
      </c>
      <c r="B102" s="4">
        <v>232.64689390205578</v>
      </c>
      <c r="C102" s="3">
        <v>668.93428571428558</v>
      </c>
      <c r="D102" s="3">
        <v>10259.892857142857</v>
      </c>
      <c r="E102" s="3">
        <v>939.77020601785728</v>
      </c>
      <c r="F102" s="3"/>
      <c r="G102" s="3">
        <v>4672.0653571428575</v>
      </c>
      <c r="H102" s="3">
        <v>70.376785714285703</v>
      </c>
      <c r="I102" s="3">
        <v>1226.7343571428571</v>
      </c>
      <c r="J102" s="3">
        <v>10584.926785714288</v>
      </c>
      <c r="K102" s="3">
        <v>16821.285714285714</v>
      </c>
      <c r="L102" s="3">
        <v>1022.6546428571429</v>
      </c>
      <c r="M102" s="3">
        <v>5653.8399999999983</v>
      </c>
      <c r="N102" s="3"/>
      <c r="O102" s="3">
        <v>8317.5525000000016</v>
      </c>
      <c r="P102" s="3">
        <v>3247.9674999999997</v>
      </c>
      <c r="Q102" s="3">
        <v>28275.633571428567</v>
      </c>
      <c r="R102" s="3">
        <v>257.32071428571425</v>
      </c>
    </row>
    <row r="103" spans="1:18">
      <c r="A103" s="2">
        <v>35855</v>
      </c>
      <c r="B103" s="4">
        <v>231.37714367762936</v>
      </c>
      <c r="C103" s="3">
        <v>684.68967741935478</v>
      </c>
      <c r="D103" s="3">
        <v>11523.774193548386</v>
      </c>
      <c r="E103" s="3">
        <v>1047.5298267096775</v>
      </c>
      <c r="F103" s="3"/>
      <c r="G103" s="3">
        <v>4875.95</v>
      </c>
      <c r="H103" s="3">
        <v>78.468064516129004</v>
      </c>
      <c r="I103" s="3">
        <v>1200.491129032258</v>
      </c>
      <c r="J103" s="3">
        <v>11321.187419354841</v>
      </c>
      <c r="K103" s="3">
        <v>16865.875806451615</v>
      </c>
      <c r="L103" s="3">
        <v>1076.6870967741936</v>
      </c>
      <c r="M103" s="3">
        <v>5859.6341935483852</v>
      </c>
      <c r="N103" s="3"/>
      <c r="O103" s="3">
        <v>9588.6154838709681</v>
      </c>
      <c r="P103" s="3">
        <v>3614.1945161290323</v>
      </c>
      <c r="Q103" s="3">
        <v>31481.056451612898</v>
      </c>
      <c r="R103" s="3">
        <v>277.15709677419352</v>
      </c>
    </row>
    <row r="104" spans="1:18">
      <c r="A104" s="2">
        <v>35886</v>
      </c>
      <c r="B104" s="4">
        <v>242.06110074374598</v>
      </c>
      <c r="C104" s="3">
        <v>685.58866666666654</v>
      </c>
      <c r="D104" s="3">
        <v>11850.966666666667</v>
      </c>
      <c r="E104" s="3">
        <v>1026.4143292766666</v>
      </c>
      <c r="F104" s="3"/>
      <c r="G104" s="3">
        <v>5009.560333333332</v>
      </c>
      <c r="H104" s="3">
        <v>75.402333333333317</v>
      </c>
      <c r="I104" s="3">
        <v>1307.8945999999999</v>
      </c>
      <c r="J104" s="3">
        <v>11052.407333333334</v>
      </c>
      <c r="K104" s="3">
        <v>15919.680333333328</v>
      </c>
      <c r="L104" s="3">
        <v>1113.1593333333337</v>
      </c>
      <c r="M104" s="3">
        <v>5987.099666666667</v>
      </c>
      <c r="N104" s="3"/>
      <c r="O104" s="3">
        <v>10319.746666666666</v>
      </c>
      <c r="P104" s="3">
        <v>3862.1903333333335</v>
      </c>
      <c r="Q104" s="3">
        <v>34941.787333333326</v>
      </c>
      <c r="R104" s="3">
        <v>291.2763333333333</v>
      </c>
    </row>
    <row r="105" spans="1:18">
      <c r="A105" s="2">
        <v>35916</v>
      </c>
      <c r="B105" s="4">
        <v>232.3466283930338</v>
      </c>
      <c r="C105" s="3">
        <v>656.86483870967731</v>
      </c>
      <c r="D105" s="3">
        <v>10671.935483870968</v>
      </c>
      <c r="E105" s="3">
        <v>951.84179656129049</v>
      </c>
      <c r="F105" s="3"/>
      <c r="G105" s="3">
        <v>4762.7338709677406</v>
      </c>
      <c r="H105" s="3">
        <v>62.335806451612889</v>
      </c>
      <c r="I105" s="3">
        <v>1368.4714516129027</v>
      </c>
      <c r="J105" s="3">
        <v>9696.8083870967785</v>
      </c>
      <c r="K105" s="3">
        <v>15513.039354838713</v>
      </c>
      <c r="L105" s="3">
        <v>1108.2945161290324</v>
      </c>
      <c r="M105" s="3">
        <v>5942.3109677419352</v>
      </c>
      <c r="N105" s="3"/>
      <c r="O105" s="3">
        <v>9985.1838709677468</v>
      </c>
      <c r="P105" s="3">
        <v>3990.1129032258068</v>
      </c>
      <c r="Q105" s="3">
        <v>34243.470322580637</v>
      </c>
      <c r="R105" s="3">
        <v>291.97612903225814</v>
      </c>
    </row>
    <row r="106" spans="1:18">
      <c r="A106" s="2">
        <v>35947</v>
      </c>
      <c r="B106" s="4">
        <v>220.48515952683087</v>
      </c>
      <c r="C106" s="3">
        <v>571.44633333333331</v>
      </c>
      <c r="D106" s="3">
        <v>9791.0666666666675</v>
      </c>
      <c r="E106" s="3">
        <v>878.0078573899998</v>
      </c>
      <c r="F106" s="3"/>
      <c r="G106" s="3">
        <v>4344.7383333333328</v>
      </c>
      <c r="H106" s="3">
        <v>42.905333333333331</v>
      </c>
      <c r="I106" s="3">
        <v>1385.7028666666668</v>
      </c>
      <c r="J106" s="3">
        <v>8346.1653333333343</v>
      </c>
      <c r="K106" s="3">
        <v>15224.534333333328</v>
      </c>
      <c r="L106" s="3">
        <v>1109.2556666666669</v>
      </c>
      <c r="M106" s="3">
        <v>5844.0036666666665</v>
      </c>
      <c r="N106" s="3"/>
      <c r="O106" s="3">
        <v>9977.8666666666686</v>
      </c>
      <c r="P106" s="3">
        <v>4120.6330000000007</v>
      </c>
      <c r="Q106" s="3">
        <v>33825.415333333331</v>
      </c>
      <c r="R106" s="3">
        <v>294.35399999999998</v>
      </c>
    </row>
    <row r="107" spans="1:18">
      <c r="A107" s="2">
        <v>35977</v>
      </c>
      <c r="B107" s="4">
        <v>210.65882355511047</v>
      </c>
      <c r="C107" s="3">
        <v>607.95387096774209</v>
      </c>
      <c r="D107" s="3">
        <v>10520.677419354839</v>
      </c>
      <c r="E107" s="3">
        <v>889.27068216774171</v>
      </c>
      <c r="F107" s="3"/>
      <c r="G107" s="3">
        <v>4517.4764516129026</v>
      </c>
      <c r="H107" s="3">
        <v>38.949677419354842</v>
      </c>
      <c r="I107" s="3">
        <v>1327.0260645161297</v>
      </c>
      <c r="J107" s="3">
        <v>8359.1077419354824</v>
      </c>
      <c r="K107" s="3">
        <v>16380.080322580648</v>
      </c>
      <c r="L107" s="3">
        <v>1157.0232258064516</v>
      </c>
      <c r="M107" s="3">
        <v>5989.4841935483882</v>
      </c>
      <c r="N107" s="3"/>
      <c r="O107" s="3">
        <v>10627.164516129031</v>
      </c>
      <c r="P107" s="3">
        <v>4271.5503225806451</v>
      </c>
      <c r="Q107" s="3">
        <v>36832.630645161291</v>
      </c>
      <c r="R107" s="3">
        <v>306.80096774193549</v>
      </c>
    </row>
    <row r="108" spans="1:18">
      <c r="A108" s="2">
        <v>36008</v>
      </c>
      <c r="B108" s="4">
        <v>177.09777473298337</v>
      </c>
      <c r="C108" s="3">
        <v>469.58838709677406</v>
      </c>
      <c r="D108" s="3">
        <v>8502</v>
      </c>
      <c r="E108" s="3">
        <v>795.31418430967767</v>
      </c>
      <c r="F108" s="3"/>
      <c r="G108" s="3">
        <v>3601.0354838709663</v>
      </c>
      <c r="H108" s="3">
        <v>25.810000000000006</v>
      </c>
      <c r="I108" s="3">
        <v>1198.0113225806451</v>
      </c>
      <c r="J108" s="3">
        <v>7433.2670967741915</v>
      </c>
      <c r="K108" s="3">
        <v>15265.011935483872</v>
      </c>
      <c r="L108" s="3">
        <v>1075.1461290322579</v>
      </c>
      <c r="M108" s="3">
        <v>5540.7154838709666</v>
      </c>
      <c r="N108" s="3"/>
      <c r="O108" s="3">
        <v>9693.419354838712</v>
      </c>
      <c r="P108" s="3">
        <v>3961.0109677419355</v>
      </c>
      <c r="Q108" s="3">
        <v>34840.755161290326</v>
      </c>
      <c r="R108" s="3">
        <v>281.33870967741939</v>
      </c>
    </row>
    <row r="109" spans="1:18">
      <c r="A109" s="2">
        <v>36039</v>
      </c>
      <c r="B109" s="4">
        <v>168.89051748638167</v>
      </c>
      <c r="C109" s="3">
        <v>364.27633333333341</v>
      </c>
      <c r="D109" s="3">
        <v>6310.7</v>
      </c>
      <c r="E109" s="3">
        <v>615.9258691066666</v>
      </c>
      <c r="F109" s="3"/>
      <c r="G109" s="3">
        <v>3334.5260000000003</v>
      </c>
      <c r="H109" s="3">
        <v>27.692666666666671</v>
      </c>
      <c r="I109" s="3">
        <v>1204.7412000000006</v>
      </c>
      <c r="J109" s="3">
        <v>7626.1379999999981</v>
      </c>
      <c r="K109" s="3">
        <v>14072.154333333337</v>
      </c>
      <c r="L109" s="3">
        <v>1016.7633333333332</v>
      </c>
      <c r="M109" s="3">
        <v>5152.8956666666663</v>
      </c>
      <c r="N109" s="3"/>
      <c r="O109" s="3">
        <v>7984.51</v>
      </c>
      <c r="P109" s="3">
        <v>3534.7753333333321</v>
      </c>
      <c r="Q109" s="3">
        <v>29111.608000000015</v>
      </c>
      <c r="R109" s="3">
        <v>249.32099999999997</v>
      </c>
    </row>
    <row r="110" spans="1:18">
      <c r="A110" s="2">
        <v>36069</v>
      </c>
      <c r="B110" s="4">
        <v>162.01973613287797</v>
      </c>
      <c r="C110" s="3">
        <v>412.97967741935491</v>
      </c>
      <c r="D110" s="3">
        <v>6710.8709677419356</v>
      </c>
      <c r="E110" s="3">
        <v>676.21235313870943</v>
      </c>
      <c r="F110" s="3"/>
      <c r="G110" s="3">
        <v>3719.1941935483869</v>
      </c>
      <c r="H110" s="3">
        <v>25.597096774193549</v>
      </c>
      <c r="I110" s="3">
        <v>1231.7779999999998</v>
      </c>
      <c r="J110" s="3">
        <v>9061.2316129032261</v>
      </c>
      <c r="K110" s="3">
        <v>13462.394838709681</v>
      </c>
      <c r="L110" s="3">
        <v>1033.5861290322578</v>
      </c>
      <c r="M110" s="3">
        <v>5054.5406451612898</v>
      </c>
      <c r="N110" s="3"/>
      <c r="O110" s="3">
        <v>7984.0483870967764</v>
      </c>
      <c r="P110" s="3">
        <v>3290.2548387096763</v>
      </c>
      <c r="Q110" s="3">
        <v>27843.889354838713</v>
      </c>
      <c r="R110" s="3">
        <v>233.48129032258061</v>
      </c>
    </row>
    <row r="111" spans="1:18">
      <c r="A111" s="2">
        <v>36100</v>
      </c>
      <c r="B111" s="4">
        <v>201.27994206742284</v>
      </c>
      <c r="C111" s="3">
        <v>490.55266666666682</v>
      </c>
      <c r="D111" s="3">
        <v>8204.2333333333336</v>
      </c>
      <c r="E111" s="3">
        <v>807.97953813666652</v>
      </c>
      <c r="F111" s="3"/>
      <c r="G111" s="3">
        <v>4069.7256666666667</v>
      </c>
      <c r="H111" s="3">
        <v>40.77866666666668</v>
      </c>
      <c r="I111" s="3">
        <v>1265.201</v>
      </c>
      <c r="J111" s="3">
        <v>10288.470999999996</v>
      </c>
      <c r="K111" s="3">
        <v>14492.263666666668</v>
      </c>
      <c r="L111" s="3">
        <v>1147.314333333333</v>
      </c>
      <c r="M111" s="3">
        <v>5599.2386666666662</v>
      </c>
      <c r="N111" s="3"/>
      <c r="O111" s="3">
        <v>9237.4066666666658</v>
      </c>
      <c r="P111" s="3">
        <v>3691.3886666666667</v>
      </c>
      <c r="Q111" s="3">
        <v>31611.787999999997</v>
      </c>
      <c r="R111" s="3">
        <v>262.46666666666664</v>
      </c>
    </row>
    <row r="112" spans="1:18">
      <c r="A112" s="2">
        <v>36130</v>
      </c>
      <c r="B112" s="4">
        <v>217.68268144262541</v>
      </c>
      <c r="C112" s="3">
        <v>440.1383870967743</v>
      </c>
      <c r="D112" s="3">
        <v>7237.0967741935483</v>
      </c>
      <c r="E112" s="3">
        <v>776.71019511935492</v>
      </c>
      <c r="F112" s="3"/>
      <c r="G112" s="3">
        <v>3856.1648387096789</v>
      </c>
      <c r="H112" s="3">
        <v>46.328387096774186</v>
      </c>
      <c r="I112" s="3">
        <v>1189.3187096774193</v>
      </c>
      <c r="J112" s="3">
        <v>10141.016774193549</v>
      </c>
      <c r="K112" s="3">
        <v>14255.130000000001</v>
      </c>
      <c r="L112" s="3">
        <v>1191.0448387096774</v>
      </c>
      <c r="M112" s="3">
        <v>5703.4758064516118</v>
      </c>
      <c r="N112" s="3"/>
      <c r="O112" s="3">
        <v>9522.077419354835</v>
      </c>
      <c r="P112" s="3">
        <v>3771.6058064516133</v>
      </c>
      <c r="Q112" s="3">
        <v>33239.937741935471</v>
      </c>
      <c r="R112" s="3">
        <v>267.90451612903234</v>
      </c>
    </row>
    <row r="113" spans="1:18">
      <c r="A113" s="2">
        <v>36161</v>
      </c>
      <c r="B113" s="4">
        <v>173.68102799306621</v>
      </c>
      <c r="C113" s="3">
        <v>390.96290322580631</v>
      </c>
      <c r="D113" s="3">
        <v>7043.4838709677415</v>
      </c>
      <c r="E113" s="3">
        <v>763.87798013548399</v>
      </c>
      <c r="F113" s="3"/>
      <c r="G113" s="3">
        <v>3721.3067741935474</v>
      </c>
      <c r="H113" s="3">
        <v>45.159354838709689</v>
      </c>
      <c r="I113" s="3">
        <v>1148.0475806451611</v>
      </c>
      <c r="J113" s="3">
        <v>10066.732580645163</v>
      </c>
      <c r="K113" s="3">
        <v>13859.264516129033</v>
      </c>
      <c r="L113" s="3">
        <v>1248.5170967741933</v>
      </c>
      <c r="M113" s="3">
        <v>5963.0809677419347</v>
      </c>
      <c r="N113" s="3"/>
      <c r="O113" s="3">
        <v>9930.2129032258053</v>
      </c>
      <c r="P113" s="3">
        <v>4119.5409677419357</v>
      </c>
      <c r="Q113" s="3">
        <v>36080.040000000008</v>
      </c>
      <c r="R113" s="3">
        <v>286.14903225806449</v>
      </c>
    </row>
    <row r="114" spans="1:18">
      <c r="A114" s="2">
        <v>36192</v>
      </c>
      <c r="B114" s="4">
        <v>174.56023680379732</v>
      </c>
      <c r="C114" s="3">
        <v>387.9485714285716</v>
      </c>
      <c r="D114" s="3">
        <v>8843.2142857142862</v>
      </c>
      <c r="E114" s="3">
        <v>859.06908282142888</v>
      </c>
      <c r="F114" s="3"/>
      <c r="G114" s="3">
        <v>4119.5467857142849</v>
      </c>
      <c r="H114" s="3">
        <v>55.136785714285722</v>
      </c>
      <c r="I114" s="3">
        <v>1092.1135357142855</v>
      </c>
      <c r="J114" s="3">
        <v>9405.7575000000015</v>
      </c>
      <c r="K114" s="3">
        <v>14144.68607142857</v>
      </c>
      <c r="L114" s="3">
        <v>1243.1910714285716</v>
      </c>
      <c r="M114" s="3">
        <v>6008.5878571428575</v>
      </c>
      <c r="N114" s="3"/>
      <c r="O114" s="3">
        <v>9857.528571428571</v>
      </c>
      <c r="P114" s="3">
        <v>4119.5089285714284</v>
      </c>
      <c r="Q114" s="3">
        <v>35458.923214285722</v>
      </c>
      <c r="R114" s="3">
        <v>286.88357142857149</v>
      </c>
    </row>
    <row r="115" spans="1:18">
      <c r="A115" s="2">
        <v>36220</v>
      </c>
      <c r="B115" s="4">
        <v>178.62068999442832</v>
      </c>
      <c r="C115" s="3">
        <v>402.31066666666663</v>
      </c>
      <c r="D115" s="3">
        <v>10151.233333333334</v>
      </c>
      <c r="E115" s="3">
        <v>904.48275570666635</v>
      </c>
      <c r="F115" s="3"/>
      <c r="G115" s="3">
        <v>4637.4556666666658</v>
      </c>
      <c r="H115" s="3">
        <v>79.027666666666633</v>
      </c>
      <c r="I115" s="3">
        <v>1150.9919666666663</v>
      </c>
      <c r="J115" s="3">
        <v>10652.20266666667</v>
      </c>
      <c r="K115" s="3">
        <v>15503.860000000002</v>
      </c>
      <c r="L115" s="3">
        <v>1283.3256666666668</v>
      </c>
      <c r="M115" s="3">
        <v>6177.2553333333353</v>
      </c>
      <c r="N115" s="3"/>
      <c r="O115" s="3">
        <v>9929.4200000000019</v>
      </c>
      <c r="P115" s="3">
        <v>4149.9496666666655</v>
      </c>
      <c r="Q115" s="3">
        <v>37633.357333333341</v>
      </c>
      <c r="R115" s="3">
        <v>293.83933333333329</v>
      </c>
    </row>
    <row r="116" spans="1:18">
      <c r="A116" s="2">
        <v>36251</v>
      </c>
      <c r="B116" s="4">
        <v>225.92526404322965</v>
      </c>
      <c r="C116" s="3">
        <v>473.95666666666671</v>
      </c>
      <c r="D116" s="3">
        <v>11134.733333333334</v>
      </c>
      <c r="E116" s="3">
        <v>965.74112421666689</v>
      </c>
      <c r="F116" s="3"/>
      <c r="G116" s="3">
        <v>5304.1666666666679</v>
      </c>
      <c r="H116" s="3">
        <v>86.698666666666668</v>
      </c>
      <c r="I116" s="3">
        <v>1164.1624333333334</v>
      </c>
      <c r="J116" s="3">
        <v>12198.070000000002</v>
      </c>
      <c r="K116" s="3">
        <v>16700.450666666671</v>
      </c>
      <c r="L116" s="3">
        <v>1331.9823333333336</v>
      </c>
      <c r="M116" s="3">
        <v>6438.6683333333322</v>
      </c>
      <c r="N116" s="3"/>
      <c r="O116" s="3">
        <v>9915.8666666666668</v>
      </c>
      <c r="P116" s="3">
        <v>4310.239333333333</v>
      </c>
      <c r="Q116" s="3">
        <v>38310.90866666667</v>
      </c>
      <c r="R116" s="3">
        <v>304.40466666666663</v>
      </c>
    </row>
    <row r="117" spans="1:18">
      <c r="A117" s="2">
        <v>36281</v>
      </c>
      <c r="B117" s="4">
        <v>222.29460265963016</v>
      </c>
      <c r="C117" s="3">
        <v>545.31032258064511</v>
      </c>
      <c r="D117" s="3">
        <v>11725.548387096775</v>
      </c>
      <c r="E117" s="3">
        <v>937.79714600645173</v>
      </c>
      <c r="F117" s="3"/>
      <c r="G117" s="3">
        <v>5706.0783870967762</v>
      </c>
      <c r="H117" s="3">
        <v>105.53612903225806</v>
      </c>
      <c r="I117" s="3">
        <v>1147.1837096774195</v>
      </c>
      <c r="J117" s="3">
        <v>12742.570322580645</v>
      </c>
      <c r="K117" s="3">
        <v>16536.989032258065</v>
      </c>
      <c r="L117" s="3">
        <v>1330.4367741935482</v>
      </c>
      <c r="M117" s="3">
        <v>6337.8412903225808</v>
      </c>
      <c r="N117" s="3"/>
      <c r="O117" s="3">
        <v>10109.474193548387</v>
      </c>
      <c r="P117" s="3">
        <v>4355.7032258064519</v>
      </c>
      <c r="Q117" s="3">
        <v>37528.388387096762</v>
      </c>
      <c r="R117" s="3">
        <v>305.27</v>
      </c>
    </row>
    <row r="118" spans="1:18">
      <c r="A118" s="2">
        <v>36312</v>
      </c>
      <c r="B118" s="4">
        <v>192.88428293280737</v>
      </c>
      <c r="C118" s="3">
        <v>524.28633333333323</v>
      </c>
      <c r="D118" s="3">
        <v>11347.466666666667</v>
      </c>
      <c r="E118" s="3">
        <v>956.91490774666659</v>
      </c>
      <c r="F118" s="3"/>
      <c r="G118" s="3">
        <v>5495.6443333333336</v>
      </c>
      <c r="H118" s="3">
        <v>122.26699999999998</v>
      </c>
      <c r="I118" s="3">
        <v>1458.5639999999999</v>
      </c>
      <c r="J118" s="3">
        <v>13197.083000000001</v>
      </c>
      <c r="K118" s="3">
        <v>17124.175333333333</v>
      </c>
      <c r="L118" s="3">
        <v>1321.8413333333331</v>
      </c>
      <c r="M118" s="3">
        <v>6432.9143333333323</v>
      </c>
      <c r="N118" s="3"/>
      <c r="O118" s="3">
        <v>10245.036666666663</v>
      </c>
      <c r="P118" s="3">
        <v>4431.4699999999993</v>
      </c>
      <c r="Q118" s="3">
        <v>36949.300999999992</v>
      </c>
      <c r="R118" s="3">
        <v>310.62566666666669</v>
      </c>
    </row>
    <row r="119" spans="1:18">
      <c r="A119" s="2">
        <v>36342</v>
      </c>
      <c r="B119" s="4">
        <v>184.89682788888845</v>
      </c>
      <c r="C119" s="3">
        <v>488.61225806451608</v>
      </c>
      <c r="D119" s="3">
        <v>11287.193548387097</v>
      </c>
      <c r="E119" s="3">
        <v>1047.6169477096773</v>
      </c>
      <c r="F119" s="3"/>
      <c r="G119" s="3">
        <v>5747.7293548387106</v>
      </c>
      <c r="H119" s="3">
        <v>135.99548387096772</v>
      </c>
      <c r="I119" s="3">
        <v>1571.4468064516136</v>
      </c>
      <c r="J119" s="3">
        <v>13671.631290322583</v>
      </c>
      <c r="K119" s="3">
        <v>17979.275161290323</v>
      </c>
      <c r="L119" s="3">
        <v>1382.6183870967743</v>
      </c>
      <c r="M119" s="3">
        <v>6425.3206451612905</v>
      </c>
      <c r="N119" s="3"/>
      <c r="O119" s="3">
        <v>10052.554838709681</v>
      </c>
      <c r="P119" s="3">
        <v>4560.8570967741925</v>
      </c>
      <c r="Q119" s="3">
        <v>36637.575161290319</v>
      </c>
      <c r="R119" s="3">
        <v>314.04741935483867</v>
      </c>
    </row>
    <row r="120" spans="1:18">
      <c r="A120" s="2">
        <v>36373</v>
      </c>
      <c r="B120" s="4">
        <v>179.79035171584744</v>
      </c>
      <c r="C120" s="3">
        <v>480.48354838709673</v>
      </c>
      <c r="D120" s="3">
        <v>10201.806451612903</v>
      </c>
      <c r="E120" s="3">
        <v>1005.1744421870968</v>
      </c>
      <c r="F120" s="3"/>
      <c r="G120" s="3">
        <v>5192.4303225806434</v>
      </c>
      <c r="H120" s="3">
        <v>108.78258064516127</v>
      </c>
      <c r="I120" s="3">
        <v>1617.4521612903229</v>
      </c>
      <c r="J120" s="3">
        <v>13207.020967741935</v>
      </c>
      <c r="K120" s="3">
        <v>17646.530967741935</v>
      </c>
      <c r="L120" s="3">
        <v>1327.7151612903226</v>
      </c>
      <c r="M120" s="3">
        <v>6221.9577419354828</v>
      </c>
      <c r="N120" s="3"/>
      <c r="O120" s="3">
        <v>9586.9</v>
      </c>
      <c r="P120" s="3">
        <v>4436.5161290322585</v>
      </c>
      <c r="Q120" s="3">
        <v>34600.362580645167</v>
      </c>
      <c r="R120" s="3">
        <v>304.12612903225806</v>
      </c>
    </row>
    <row r="121" spans="1:18">
      <c r="A121" s="2">
        <v>36404</v>
      </c>
      <c r="B121" s="4">
        <v>182.39461531370503</v>
      </c>
      <c r="C121" s="3">
        <v>519.09</v>
      </c>
      <c r="D121" s="3">
        <v>11314.9</v>
      </c>
      <c r="E121" s="3">
        <v>1035.8332112599999</v>
      </c>
      <c r="F121" s="3"/>
      <c r="G121" s="3">
        <v>4988.536000000001</v>
      </c>
      <c r="H121" s="3">
        <v>98.737333333333325</v>
      </c>
      <c r="I121" s="3">
        <v>1620.336</v>
      </c>
      <c r="J121" s="3">
        <v>13351.748333333335</v>
      </c>
      <c r="K121" s="3">
        <v>17494.37</v>
      </c>
      <c r="L121" s="3">
        <v>1322.740333333333</v>
      </c>
      <c r="M121" s="3">
        <v>6119.1306666666678</v>
      </c>
      <c r="N121" s="3"/>
      <c r="O121" s="3">
        <v>9784.2900000000045</v>
      </c>
      <c r="P121" s="3">
        <v>4639.521333333334</v>
      </c>
      <c r="Q121" s="3">
        <v>35774.44733333333</v>
      </c>
      <c r="R121" s="3">
        <v>310.3723333333333</v>
      </c>
    </row>
    <row r="122" spans="1:18">
      <c r="A122" s="2">
        <v>36434</v>
      </c>
      <c r="B122" s="4">
        <v>179.81193943218236</v>
      </c>
      <c r="C122" s="3">
        <v>530.41193548387082</v>
      </c>
      <c r="D122" s="3">
        <v>11326.677419354839</v>
      </c>
      <c r="E122" s="3">
        <v>964.93537486451623</v>
      </c>
      <c r="F122" s="3"/>
      <c r="G122" s="3">
        <v>5128.9235483870962</v>
      </c>
      <c r="H122" s="3">
        <v>98.445483870967763</v>
      </c>
      <c r="I122" s="3">
        <v>1523.5984838709678</v>
      </c>
      <c r="J122" s="3">
        <v>12782.880000000001</v>
      </c>
      <c r="K122" s="3">
        <v>17715.137741935479</v>
      </c>
      <c r="L122" s="3">
        <v>1301.9951612903228</v>
      </c>
      <c r="M122" s="3">
        <v>6073.5306451612905</v>
      </c>
      <c r="N122" s="3"/>
      <c r="O122" s="3">
        <v>9542.0096774193553</v>
      </c>
      <c r="P122" s="3">
        <v>4659.4193548387093</v>
      </c>
      <c r="Q122" s="3">
        <v>34288.887741935483</v>
      </c>
      <c r="R122" s="3">
        <v>306.82096774193548</v>
      </c>
    </row>
    <row r="123" spans="1:18">
      <c r="A123" s="2">
        <v>36465</v>
      </c>
      <c r="B123" s="4">
        <v>198.1359855611924</v>
      </c>
      <c r="C123" s="3">
        <v>550.73933333333343</v>
      </c>
      <c r="D123" s="3">
        <v>13121.733333333334</v>
      </c>
      <c r="E123" s="3">
        <v>1031.28694071</v>
      </c>
      <c r="F123" s="3"/>
      <c r="G123" s="3">
        <v>6061.1750000000011</v>
      </c>
      <c r="H123" s="3">
        <v>120.74533333333332</v>
      </c>
      <c r="I123" s="3">
        <v>1458.8183333333336</v>
      </c>
      <c r="J123" s="3">
        <v>14459.401333333339</v>
      </c>
      <c r="K123" s="3">
        <v>18462.840666666671</v>
      </c>
      <c r="L123" s="3">
        <v>1394.5986666666672</v>
      </c>
      <c r="M123" s="3">
        <v>6493.1760000000022</v>
      </c>
      <c r="N123" s="3"/>
      <c r="O123" s="3">
        <v>10528.013333333334</v>
      </c>
      <c r="P123" s="3">
        <v>5150.3296666666665</v>
      </c>
      <c r="Q123" s="3">
        <v>35168.883999999998</v>
      </c>
      <c r="R123" s="3">
        <v>332.78199999999998</v>
      </c>
    </row>
    <row r="124" spans="1:18">
      <c r="A124" s="2">
        <v>36495</v>
      </c>
      <c r="B124" s="4">
        <v>195.80451219702147</v>
      </c>
      <c r="C124" s="3">
        <v>550.17032258064523</v>
      </c>
      <c r="D124" s="3">
        <v>15152.290322580646</v>
      </c>
      <c r="E124" s="3">
        <v>1091.8544570967742</v>
      </c>
      <c r="F124" s="3"/>
      <c r="G124" s="3">
        <v>6782.7358064516147</v>
      </c>
      <c r="H124" s="3">
        <v>132.16612903225808</v>
      </c>
      <c r="I124" s="3">
        <v>1405.95564516129</v>
      </c>
      <c r="J124" s="3">
        <v>16263.420322580647</v>
      </c>
      <c r="K124" s="3">
        <v>18404.623548387095</v>
      </c>
      <c r="L124" s="3">
        <v>1430.6064516129031</v>
      </c>
      <c r="M124" s="3">
        <v>6740.8112903225829</v>
      </c>
      <c r="N124" s="3"/>
      <c r="O124" s="3">
        <v>11503.670967741935</v>
      </c>
      <c r="P124" s="3">
        <v>5603.7877419354836</v>
      </c>
      <c r="Q124" s="3">
        <v>39609.289677419372</v>
      </c>
      <c r="R124" s="3">
        <v>359.56129032258065</v>
      </c>
    </row>
    <row r="125" spans="1:18">
      <c r="A125" s="2">
        <v>36526</v>
      </c>
      <c r="B125" s="4">
        <v>221.62930849258137</v>
      </c>
      <c r="C125" s="3">
        <v>554.95967741935488</v>
      </c>
      <c r="D125" s="3">
        <v>16940.484193548389</v>
      </c>
      <c r="E125" s="3">
        <v>1168.6245536451613</v>
      </c>
      <c r="F125" s="3"/>
      <c r="G125" s="3">
        <v>7013.430000000003</v>
      </c>
      <c r="H125" s="3">
        <v>196.0706451612904</v>
      </c>
      <c r="I125" s="3">
        <v>1460.9020322580645</v>
      </c>
      <c r="J125" s="3">
        <v>15746.919677419353</v>
      </c>
      <c r="K125" s="3">
        <v>18897.181935483874</v>
      </c>
      <c r="L125" s="3">
        <v>1430.0529032258066</v>
      </c>
      <c r="M125" s="3">
        <v>6515.8822580645146</v>
      </c>
      <c r="N125" s="3"/>
      <c r="O125" s="3">
        <v>11096.832258064513</v>
      </c>
      <c r="P125" s="3">
        <v>5686.6977419354844</v>
      </c>
      <c r="Q125" s="3">
        <v>41133.598709677426</v>
      </c>
      <c r="R125" s="3">
        <v>366.3932258064516</v>
      </c>
    </row>
    <row r="126" spans="1:18">
      <c r="A126" s="2">
        <v>36557</v>
      </c>
      <c r="B126" s="4">
        <v>193.96759378888677</v>
      </c>
      <c r="C126" s="3">
        <v>620.57206896551713</v>
      </c>
      <c r="D126" s="3">
        <v>17818.629655172419</v>
      </c>
      <c r="E126" s="3">
        <v>1162.2209007241381</v>
      </c>
      <c r="F126" s="3"/>
      <c r="G126" s="3">
        <v>7374.2058620689668</v>
      </c>
      <c r="H126" s="3">
        <v>200.93655172413793</v>
      </c>
      <c r="I126" s="3">
        <v>1603.1184482758622</v>
      </c>
      <c r="J126" s="3">
        <v>16647.847241379302</v>
      </c>
      <c r="K126" s="3">
        <v>19709.682758620693</v>
      </c>
      <c r="L126" s="3">
        <v>1382.9465517241379</v>
      </c>
      <c r="M126" s="3">
        <v>6180.3917241379331</v>
      </c>
      <c r="N126" s="3"/>
      <c r="O126" s="3">
        <v>12119.527586206899</v>
      </c>
      <c r="P126" s="3">
        <v>6144.4506896551738</v>
      </c>
      <c r="Q126" s="3">
        <v>46039.817241379322</v>
      </c>
      <c r="R126" s="3">
        <v>378.57034482758621</v>
      </c>
    </row>
    <row r="127" spans="1:18">
      <c r="A127" s="2">
        <v>36586</v>
      </c>
      <c r="B127" s="4">
        <v>188.11339762279093</v>
      </c>
      <c r="C127" s="3">
        <v>610.25774193548364</v>
      </c>
      <c r="D127" s="3">
        <v>18149.120645161289</v>
      </c>
      <c r="E127" s="3">
        <v>1129.6959329354841</v>
      </c>
      <c r="F127" s="3"/>
      <c r="G127" s="3">
        <v>7992.719322580645</v>
      </c>
      <c r="H127" s="3">
        <v>239.93999999999997</v>
      </c>
      <c r="I127" s="3">
        <v>1718.8901290322583</v>
      </c>
      <c r="J127" s="3">
        <v>17462.440967741932</v>
      </c>
      <c r="K127" s="3">
        <v>19817.252580645159</v>
      </c>
      <c r="L127" s="3">
        <v>1443.975483870968</v>
      </c>
      <c r="M127" s="3">
        <v>6553.5180645161299</v>
      </c>
      <c r="N127" s="3"/>
      <c r="O127" s="3">
        <v>12390.093548387094</v>
      </c>
      <c r="P127" s="3">
        <v>6387.2619354838725</v>
      </c>
      <c r="Q127" s="3">
        <v>47909.59096774194</v>
      </c>
      <c r="R127" s="3">
        <v>398.01774193548391</v>
      </c>
    </row>
    <row r="128" spans="1:18">
      <c r="A128" s="2">
        <v>36617</v>
      </c>
      <c r="B128" s="4">
        <v>181.20925343495145</v>
      </c>
      <c r="C128" s="3">
        <v>532.90333333333319</v>
      </c>
      <c r="D128" s="3">
        <v>15974.427000000001</v>
      </c>
      <c r="E128" s="3">
        <v>1107.0881233666667</v>
      </c>
      <c r="F128" s="3"/>
      <c r="G128" s="3">
        <v>6875.1900000000023</v>
      </c>
      <c r="H128" s="3">
        <v>241.71800000000002</v>
      </c>
      <c r="I128" s="3">
        <v>1820.54</v>
      </c>
      <c r="J128" s="3">
        <v>16053.063333333335</v>
      </c>
      <c r="K128" s="3">
        <v>19495.193999999996</v>
      </c>
      <c r="L128" s="3">
        <v>1457.2403333333336</v>
      </c>
      <c r="M128" s="3">
        <v>6327.5043333333315</v>
      </c>
      <c r="N128" s="3"/>
      <c r="O128" s="3">
        <v>11532.406666666669</v>
      </c>
      <c r="P128" s="3">
        <v>6240.0350000000008</v>
      </c>
      <c r="Q128" s="3">
        <v>44347.523000000001</v>
      </c>
      <c r="R128" s="3">
        <v>384.75100000000009</v>
      </c>
    </row>
    <row r="129" spans="1:18">
      <c r="A129" s="2">
        <v>36647</v>
      </c>
      <c r="B129" s="4">
        <v>162.96174557294702</v>
      </c>
      <c r="C129" s="3">
        <v>463.64774193548385</v>
      </c>
      <c r="D129" s="3">
        <v>14706.552580645161</v>
      </c>
      <c r="E129" s="3">
        <v>1111.415017935484</v>
      </c>
      <c r="F129" s="3"/>
      <c r="G129" s="3">
        <v>6100.7645161290338</v>
      </c>
      <c r="H129" s="3">
        <v>230.43870967741935</v>
      </c>
      <c r="I129" s="3">
        <v>1809.2019032258061</v>
      </c>
      <c r="J129" s="3">
        <v>14669.733548387097</v>
      </c>
      <c r="K129" s="3">
        <v>17207.88935483871</v>
      </c>
      <c r="L129" s="3">
        <v>1414.893225806451</v>
      </c>
      <c r="M129" s="3">
        <v>6210.604193548389</v>
      </c>
      <c r="N129" s="3"/>
      <c r="O129" s="3">
        <v>10945.532258064513</v>
      </c>
      <c r="P129" s="3">
        <v>6342.2103225806468</v>
      </c>
      <c r="Q129" s="3">
        <v>45160.089354838732</v>
      </c>
      <c r="R129" s="3">
        <v>383.26870967741934</v>
      </c>
    </row>
    <row r="130" spans="1:18">
      <c r="A130" s="2">
        <v>36678</v>
      </c>
      <c r="B130" s="4">
        <v>149.70296270397498</v>
      </c>
      <c r="C130" s="3">
        <v>487.85666666666668</v>
      </c>
      <c r="D130" s="3">
        <v>16493.563000000002</v>
      </c>
      <c r="E130" s="3">
        <v>1110.8654288333337</v>
      </c>
      <c r="F130" s="3"/>
      <c r="G130" s="3">
        <v>6520.3813333333337</v>
      </c>
      <c r="H130" s="3">
        <v>216.95733333333337</v>
      </c>
      <c r="I130" s="3">
        <v>1923.5653666666667</v>
      </c>
      <c r="J130" s="3">
        <v>15947.259666666669</v>
      </c>
      <c r="K130" s="3">
        <v>16907.039666666667</v>
      </c>
      <c r="L130" s="3">
        <v>1461.4466666666669</v>
      </c>
      <c r="M130" s="3">
        <v>6466.2293333333328</v>
      </c>
      <c r="N130" s="3"/>
      <c r="O130" s="3">
        <v>10731.946666666667</v>
      </c>
      <c r="P130" s="3">
        <v>6545.9600000000019</v>
      </c>
      <c r="Q130" s="3">
        <v>46082.228333333347</v>
      </c>
      <c r="R130" s="3">
        <v>385.86666666666673</v>
      </c>
    </row>
    <row r="131" spans="1:18">
      <c r="A131" s="2">
        <v>36708</v>
      </c>
      <c r="B131" s="4">
        <v>166.89267246556855</v>
      </c>
      <c r="C131" s="3">
        <v>522.81645161290317</v>
      </c>
      <c r="D131" s="3">
        <v>17059.850645161288</v>
      </c>
      <c r="E131" s="3">
        <v>1110.5365466129033</v>
      </c>
      <c r="F131" s="3"/>
      <c r="G131" s="3">
        <v>7031.1670967741948</v>
      </c>
      <c r="H131" s="3">
        <v>195.52516129032253</v>
      </c>
      <c r="I131" s="3">
        <v>1971.6280645161289</v>
      </c>
      <c r="J131" s="3">
        <v>17209.338387096774</v>
      </c>
      <c r="K131" s="3">
        <v>16947.96</v>
      </c>
      <c r="L131" s="3">
        <v>1471.5067741935486</v>
      </c>
      <c r="M131" s="3">
        <v>6422.5551612903237</v>
      </c>
      <c r="N131" s="3"/>
      <c r="O131" s="3">
        <v>10798.635483870969</v>
      </c>
      <c r="P131" s="3">
        <v>6504.9132258064519</v>
      </c>
      <c r="Q131" s="3">
        <v>47239.4141935484</v>
      </c>
      <c r="R131" s="3">
        <v>386.15580645161305</v>
      </c>
    </row>
    <row r="132" spans="1:18">
      <c r="A132" s="2">
        <v>36739</v>
      </c>
      <c r="B132" s="4">
        <v>147.84641909917224</v>
      </c>
      <c r="C132" s="3">
        <v>479.55935483870962</v>
      </c>
      <c r="D132" s="3">
        <v>17198.239677419355</v>
      </c>
      <c r="E132" s="3">
        <v>1115.0087643225806</v>
      </c>
      <c r="F132" s="3"/>
      <c r="G132" s="3">
        <v>6450.9699999999993</v>
      </c>
      <c r="H132" s="3">
        <v>229.29451612903227</v>
      </c>
      <c r="I132" s="3">
        <v>2066.2381935483877</v>
      </c>
      <c r="J132" s="3">
        <v>17327.801935483865</v>
      </c>
      <c r="K132" s="3">
        <v>16307.769677419356</v>
      </c>
      <c r="L132" s="3">
        <v>1484.8845161290317</v>
      </c>
      <c r="M132" s="3">
        <v>6478.5367741935479</v>
      </c>
      <c r="N132" s="3"/>
      <c r="O132" s="3">
        <v>10901.132258064516</v>
      </c>
      <c r="P132" s="3">
        <v>6559.2312903225793</v>
      </c>
      <c r="Q132" s="3">
        <v>47196.830967741938</v>
      </c>
      <c r="R132" s="3">
        <v>389.15935483870965</v>
      </c>
    </row>
    <row r="133" spans="1:18">
      <c r="A133" s="2">
        <v>36770</v>
      </c>
      <c r="B133" s="4">
        <v>147.0398235161131</v>
      </c>
      <c r="C133" s="3">
        <v>485.93333333333334</v>
      </c>
      <c r="D133" s="3">
        <v>16751.759666666669</v>
      </c>
      <c r="E133" s="3">
        <v>1126.1659546000001</v>
      </c>
      <c r="F133" s="3"/>
      <c r="G133" s="3">
        <v>6688.1049999999959</v>
      </c>
      <c r="H133" s="3">
        <v>216.24666666666661</v>
      </c>
      <c r="I133" s="3">
        <v>1944.2082999999996</v>
      </c>
      <c r="J133" s="3">
        <v>16279.367333333334</v>
      </c>
      <c r="K133" s="3">
        <v>16195.732666666669</v>
      </c>
      <c r="L133" s="3">
        <v>1472.598666666667</v>
      </c>
      <c r="M133" s="3">
        <v>6468.2480000000014</v>
      </c>
      <c r="N133" s="3"/>
      <c r="O133" s="3">
        <v>11147.099999999999</v>
      </c>
      <c r="P133" s="3">
        <v>6555.5883333333313</v>
      </c>
      <c r="Q133" s="3">
        <v>47038.118000000009</v>
      </c>
      <c r="R133" s="3">
        <v>388.64166666666677</v>
      </c>
    </row>
    <row r="134" spans="1:18">
      <c r="A134" s="2">
        <v>36800</v>
      </c>
      <c r="B134" s="4">
        <v>141.74494545505826</v>
      </c>
      <c r="C134" s="3">
        <v>440.75387096774188</v>
      </c>
      <c r="D134" s="3">
        <v>15112.381290322575</v>
      </c>
      <c r="E134" s="3">
        <v>1058.1622333548387</v>
      </c>
      <c r="F134" s="3"/>
      <c r="G134" s="3">
        <v>6065.3041935483861</v>
      </c>
      <c r="H134" s="3">
        <v>199.33774193548382</v>
      </c>
      <c r="I134" s="3">
        <v>1933.5976129032258</v>
      </c>
      <c r="J134" s="3">
        <v>15209.102903225812</v>
      </c>
      <c r="K134" s="3">
        <v>15338.649032258063</v>
      </c>
      <c r="L134" s="3">
        <v>1391.581290322581</v>
      </c>
      <c r="M134" s="3">
        <v>6298.0974193548373</v>
      </c>
      <c r="N134" s="3"/>
      <c r="O134" s="3">
        <v>10634.987096774195</v>
      </c>
      <c r="P134" s="3">
        <v>6190.8587096774181</v>
      </c>
      <c r="Q134" s="3">
        <v>45342.156774193543</v>
      </c>
      <c r="R134" s="3">
        <v>377.95806451612901</v>
      </c>
    </row>
    <row r="135" spans="1:18">
      <c r="A135" s="2">
        <v>36831</v>
      </c>
      <c r="B135" s="4">
        <v>141.79400844672853</v>
      </c>
      <c r="C135" s="3">
        <v>425.4443333333333</v>
      </c>
      <c r="D135" s="3">
        <v>14436.761333333332</v>
      </c>
      <c r="E135" s="3">
        <v>1099.0458758666668</v>
      </c>
      <c r="F135" s="3"/>
      <c r="G135" s="3">
        <v>6160.2659999999996</v>
      </c>
      <c r="H135" s="3">
        <v>177.62933333333336</v>
      </c>
      <c r="I135" s="3">
        <v>2051.8476000000001</v>
      </c>
      <c r="J135" s="3">
        <v>15084.252333333334</v>
      </c>
      <c r="K135" s="3">
        <v>14724.284333333335</v>
      </c>
      <c r="L135" s="3">
        <v>1373.415</v>
      </c>
      <c r="M135" s="3">
        <v>6368.1573333333326</v>
      </c>
      <c r="N135" s="3"/>
      <c r="O135" s="3">
        <v>9959.6666666666642</v>
      </c>
      <c r="P135" s="3">
        <v>6196.5056666666651</v>
      </c>
      <c r="Q135" s="3">
        <v>47593.089666666659</v>
      </c>
      <c r="R135" s="3">
        <v>378.91666666666669</v>
      </c>
    </row>
    <row r="136" spans="1:18">
      <c r="A136" s="2">
        <v>36861</v>
      </c>
      <c r="B136" s="4">
        <v>139.88251429125506</v>
      </c>
      <c r="C136" s="3">
        <v>412.36000000000013</v>
      </c>
      <c r="D136" s="3">
        <v>14714.118064516128</v>
      </c>
      <c r="E136" s="3">
        <v>1084.8866369999998</v>
      </c>
      <c r="F136" s="3"/>
      <c r="G136" s="3">
        <v>5614.5609677419352</v>
      </c>
      <c r="H136" s="3">
        <v>145.42516129032262</v>
      </c>
      <c r="I136" s="3">
        <v>2066.3797419354837</v>
      </c>
      <c r="J136" s="3">
        <v>14943.348709677422</v>
      </c>
      <c r="K136" s="3">
        <v>14361.233548387097</v>
      </c>
      <c r="L136" s="3">
        <v>1328.1167741935487</v>
      </c>
      <c r="M136" s="3">
        <v>6216.8909677419351</v>
      </c>
      <c r="N136" s="3"/>
      <c r="O136" s="3">
        <v>9259.9322580645166</v>
      </c>
      <c r="P136" s="3">
        <v>5894.1651612903242</v>
      </c>
      <c r="Q136" s="3">
        <v>44518.17193548385</v>
      </c>
      <c r="R136" s="3">
        <v>363.79451612903244</v>
      </c>
    </row>
    <row r="137" spans="1:18">
      <c r="A137" s="2">
        <v>36892</v>
      </c>
      <c r="B137" s="4">
        <v>153.66528991126552</v>
      </c>
      <c r="C137" s="3">
        <v>500.26838709677418</v>
      </c>
      <c r="D137" s="3">
        <v>17094.142580645166</v>
      </c>
      <c r="E137" s="3">
        <v>1114.2918525483869</v>
      </c>
      <c r="F137" s="3"/>
      <c r="G137" s="3">
        <v>6109.792580645164</v>
      </c>
      <c r="H137" s="3">
        <v>162.64548387096778</v>
      </c>
      <c r="I137" s="3">
        <v>2082.7499354838706</v>
      </c>
      <c r="J137" s="3">
        <v>15586.787419354843</v>
      </c>
      <c r="K137" s="3">
        <v>13733.023870967743</v>
      </c>
      <c r="L137" s="3">
        <v>1332.7454838709677</v>
      </c>
      <c r="M137" s="3">
        <v>6200.4364516129035</v>
      </c>
      <c r="N137" s="3"/>
      <c r="O137" s="3">
        <v>9815.0290322580659</v>
      </c>
      <c r="P137" s="3">
        <v>5831.2561290322565</v>
      </c>
      <c r="Q137" s="3">
        <v>43856.495161290317</v>
      </c>
      <c r="R137" s="3">
        <v>356.70225806451606</v>
      </c>
    </row>
    <row r="138" spans="1:18">
      <c r="A138" s="2">
        <v>36923</v>
      </c>
      <c r="B138" s="4">
        <v>161.63311975851633</v>
      </c>
      <c r="C138" s="3">
        <v>487.91857142857134</v>
      </c>
      <c r="D138" s="3">
        <v>16571.264999999996</v>
      </c>
      <c r="E138" s="3">
        <v>1105.5196754642861</v>
      </c>
      <c r="F138" s="3"/>
      <c r="G138" s="3">
        <v>6294.6121428571432</v>
      </c>
      <c r="H138" s="3">
        <v>167.55321428571432</v>
      </c>
      <c r="I138" s="3">
        <v>1968.9066071428572</v>
      </c>
      <c r="J138" s="3">
        <v>15639.541785714286</v>
      </c>
      <c r="K138" s="3">
        <v>13306.354285714284</v>
      </c>
      <c r="L138" s="3">
        <v>1304.7875000000001</v>
      </c>
      <c r="M138" s="3">
        <v>6116.9121428571434</v>
      </c>
      <c r="N138" s="3"/>
      <c r="O138" s="3">
        <v>9766.9142857142851</v>
      </c>
      <c r="P138" s="3">
        <v>5628.5432142857153</v>
      </c>
      <c r="Q138" s="3">
        <v>42146.776428571422</v>
      </c>
      <c r="R138" s="3">
        <v>347.79214285714289</v>
      </c>
    </row>
    <row r="139" spans="1:18">
      <c r="A139" s="2">
        <v>36951</v>
      </c>
      <c r="B139" s="4">
        <v>158.52448860628843</v>
      </c>
      <c r="C139" s="3">
        <v>450.82642857142849</v>
      </c>
      <c r="D139" s="3">
        <v>15332.320714285717</v>
      </c>
      <c r="E139" s="3">
        <v>1071.1924677142858</v>
      </c>
      <c r="F139" s="3"/>
      <c r="G139" s="3">
        <v>5918.9328571428587</v>
      </c>
      <c r="H139" s="3">
        <v>166.6875</v>
      </c>
      <c r="I139" s="3">
        <v>2036.1716785714284</v>
      </c>
      <c r="J139" s="3">
        <v>13447.469642857144</v>
      </c>
      <c r="K139" s="3">
        <v>12665.667142857144</v>
      </c>
      <c r="L139" s="3">
        <v>1184.197142857143</v>
      </c>
      <c r="M139" s="3">
        <v>5701.163571428574</v>
      </c>
      <c r="N139" s="3"/>
      <c r="O139" s="3">
        <v>9356.3535714285681</v>
      </c>
      <c r="P139" s="3">
        <v>5193.4157142857166</v>
      </c>
      <c r="Q139" s="3">
        <v>38375.605714285724</v>
      </c>
      <c r="R139" s="3">
        <v>323.24392857142868</v>
      </c>
    </row>
    <row r="140" spans="1:18">
      <c r="A140" s="2">
        <v>36982</v>
      </c>
      <c r="B140" s="4">
        <v>160.80297393945546</v>
      </c>
      <c r="C140" s="3">
        <v>443.59600000000006</v>
      </c>
      <c r="D140" s="3">
        <v>14473.640666666666</v>
      </c>
      <c r="E140" s="3">
        <v>1068.6323545333335</v>
      </c>
      <c r="F140" s="3"/>
      <c r="G140" s="3">
        <v>5894.9483333333328</v>
      </c>
      <c r="H140" s="3">
        <v>169.39166666666668</v>
      </c>
      <c r="I140" s="3">
        <v>2133.0270999999998</v>
      </c>
      <c r="J140" s="3">
        <v>12919.149333333331</v>
      </c>
      <c r="K140" s="3">
        <v>13470.322666666667</v>
      </c>
      <c r="L140" s="3">
        <v>1191.8833333333337</v>
      </c>
      <c r="M140" s="3">
        <v>5771.8513333333358</v>
      </c>
      <c r="N140" s="3"/>
      <c r="O140" s="3">
        <v>9501.5866666666643</v>
      </c>
      <c r="P140" s="3">
        <v>5351.2296666666671</v>
      </c>
      <c r="Q140" s="3">
        <v>39796.39166666667</v>
      </c>
      <c r="R140" s="3">
        <v>328.29566666666665</v>
      </c>
    </row>
    <row r="141" spans="1:18">
      <c r="A141" s="2">
        <v>37012</v>
      </c>
      <c r="B141" s="4">
        <v>173.45926327071666</v>
      </c>
      <c r="C141" s="3">
        <v>432.63290322580639</v>
      </c>
      <c r="D141" s="3">
        <v>14697.596774193549</v>
      </c>
      <c r="E141" s="3">
        <v>1156.1767106774196</v>
      </c>
      <c r="F141" s="3"/>
      <c r="G141" s="3">
        <v>6344.2058064516141</v>
      </c>
      <c r="H141" s="3">
        <v>193.70935483870974</v>
      </c>
      <c r="I141" s="3">
        <v>2170.2726774193552</v>
      </c>
      <c r="J141" s="3">
        <v>13569.918709677415</v>
      </c>
      <c r="K141" s="3">
        <v>14017.685161290325</v>
      </c>
      <c r="L141" s="3">
        <v>1270.6535483870966</v>
      </c>
      <c r="M141" s="3">
        <v>5881.5516129032239</v>
      </c>
      <c r="N141" s="3"/>
      <c r="O141" s="3">
        <v>9609.4645161290337</v>
      </c>
      <c r="P141" s="3">
        <v>5559.3516129032259</v>
      </c>
      <c r="Q141" s="3">
        <v>40116.212258064515</v>
      </c>
      <c r="R141" s="3">
        <v>342.02580645161294</v>
      </c>
    </row>
    <row r="142" spans="1:18">
      <c r="A142" s="2">
        <v>37043</v>
      </c>
      <c r="B142" s="4">
        <v>173.48085098705158</v>
      </c>
      <c r="C142" s="3">
        <v>431.91700000000009</v>
      </c>
      <c r="D142" s="3">
        <v>14898.004333333325</v>
      </c>
      <c r="E142" s="3">
        <v>1187.60907</v>
      </c>
      <c r="F142" s="3"/>
      <c r="G142" s="3">
        <v>6645.881666666668</v>
      </c>
      <c r="H142" s="3">
        <v>219.2326666666666</v>
      </c>
      <c r="I142" s="3">
        <v>2214.3620999999998</v>
      </c>
      <c r="J142" s="3">
        <v>13261.174000000005</v>
      </c>
      <c r="K142" s="3">
        <v>13016.53033333333</v>
      </c>
      <c r="L142" s="3">
        <v>1238.9353333333331</v>
      </c>
      <c r="M142" s="3">
        <v>5758.4816666666684</v>
      </c>
      <c r="N142" s="3"/>
      <c r="O142" s="3">
        <v>9244.1066666666684</v>
      </c>
      <c r="P142" s="3">
        <v>5293.0566666666664</v>
      </c>
      <c r="Q142" s="3">
        <v>37802.054000000004</v>
      </c>
      <c r="R142" s="3">
        <v>332.67200000000008</v>
      </c>
    </row>
    <row r="143" spans="1:18">
      <c r="A143" s="2">
        <v>37073</v>
      </c>
      <c r="B143" s="4">
        <v>123.16853068228887</v>
      </c>
      <c r="C143" s="3">
        <v>343.76322580645154</v>
      </c>
      <c r="D143" s="3">
        <v>13977.342903225805</v>
      </c>
      <c r="E143" s="3">
        <v>1171.3417370967741</v>
      </c>
      <c r="F143" s="3"/>
      <c r="G143" s="3">
        <v>6548.0703225806437</v>
      </c>
      <c r="H143" s="3">
        <v>207.85225806451612</v>
      </c>
      <c r="I143" s="3">
        <v>2142.5085483870967</v>
      </c>
      <c r="J143" s="3">
        <v>12557.821612903223</v>
      </c>
      <c r="K143" s="3">
        <v>12154.393870967746</v>
      </c>
      <c r="L143" s="3">
        <v>1206.3929032258065</v>
      </c>
      <c r="M143" s="3">
        <v>5465.4306451612902</v>
      </c>
      <c r="N143" s="3"/>
      <c r="O143" s="3">
        <v>8429.4580645161295</v>
      </c>
      <c r="P143" s="3">
        <v>4994.2590322580645</v>
      </c>
      <c r="Q143" s="3">
        <v>36334.838709677417</v>
      </c>
      <c r="R143" s="3">
        <v>315.36032258064517</v>
      </c>
    </row>
    <row r="144" spans="1:18">
      <c r="A144" s="2">
        <v>37104</v>
      </c>
      <c r="B144" s="4">
        <v>122.31840840306214</v>
      </c>
      <c r="C144" s="3">
        <v>318.44322580645161</v>
      </c>
      <c r="D144" s="3">
        <v>13422.627419354834</v>
      </c>
      <c r="E144" s="3">
        <v>1229.1227612580647</v>
      </c>
      <c r="F144" s="3"/>
      <c r="G144" s="3">
        <v>6477.9283870967756</v>
      </c>
      <c r="H144" s="3">
        <v>192.15354838709678</v>
      </c>
      <c r="I144" s="3">
        <v>1914.7336451612907</v>
      </c>
      <c r="J144" s="3">
        <v>11701.678387096774</v>
      </c>
      <c r="K144" s="3">
        <v>11594.531935483872</v>
      </c>
      <c r="L144" s="3">
        <v>1180.9177419354839</v>
      </c>
      <c r="M144" s="3">
        <v>5445.9806451612922</v>
      </c>
      <c r="N144" s="3"/>
      <c r="O144" s="3">
        <v>8391.8419354838716</v>
      </c>
      <c r="P144" s="3">
        <v>4896.9170967741929</v>
      </c>
      <c r="Q144" s="3">
        <v>35842.479354838702</v>
      </c>
      <c r="R144" s="3">
        <v>305.6854838709678</v>
      </c>
    </row>
    <row r="145" spans="1:18">
      <c r="A145" s="2">
        <v>37135</v>
      </c>
      <c r="B145" s="4">
        <v>124.23905732505766</v>
      </c>
      <c r="C145" s="3">
        <v>271.98413793103452</v>
      </c>
      <c r="D145" s="3">
        <v>11166.269310344825</v>
      </c>
      <c r="E145" s="3">
        <v>1160.2285585517241</v>
      </c>
      <c r="F145" s="3"/>
      <c r="G145" s="3">
        <v>5576.6796551724137</v>
      </c>
      <c r="H145" s="3">
        <v>183.62620689655168</v>
      </c>
      <c r="I145" s="3">
        <v>1814.3230344827587</v>
      </c>
      <c r="J145" s="3">
        <v>9922.8658620689694</v>
      </c>
      <c r="K145" s="3">
        <v>10021.50482758621</v>
      </c>
      <c r="L145" s="3">
        <v>1059.2462068965519</v>
      </c>
      <c r="M145" s="3">
        <v>4896.6968965517262</v>
      </c>
      <c r="N145" s="3"/>
      <c r="O145" s="3">
        <v>7350.5448275862054</v>
      </c>
      <c r="P145" s="3">
        <v>4138.8662068965514</v>
      </c>
      <c r="Q145" s="3">
        <v>29160.851379310348</v>
      </c>
      <c r="R145" s="3">
        <v>266.70448275862066</v>
      </c>
    </row>
    <row r="146" spans="1:18">
      <c r="A146" s="2">
        <v>37165</v>
      </c>
      <c r="B146" s="4">
        <v>134.8482129748952</v>
      </c>
      <c r="C146" s="3">
        <v>234.17400000000001</v>
      </c>
      <c r="D146" s="3">
        <v>10999.401666666668</v>
      </c>
      <c r="E146" s="3">
        <v>1086.8188417666665</v>
      </c>
      <c r="F146" s="3"/>
      <c r="G146" s="3">
        <v>5582.5113333333329</v>
      </c>
      <c r="H146" s="3">
        <v>172.95366666666669</v>
      </c>
      <c r="I146" s="3">
        <v>1682.3438999999996</v>
      </c>
      <c r="J146" s="3">
        <v>10151.823999999999</v>
      </c>
      <c r="K146" s="3">
        <v>10466.669000000002</v>
      </c>
      <c r="L146" s="3">
        <v>1079.0813333333333</v>
      </c>
      <c r="M146" s="3">
        <v>5070.6836666666668</v>
      </c>
      <c r="N146" s="3"/>
      <c r="O146" s="3">
        <v>7604.8600000000006</v>
      </c>
      <c r="P146" s="3">
        <v>4291.6516666666666</v>
      </c>
      <c r="Q146" s="3">
        <v>30289.308000000001</v>
      </c>
      <c r="R146" s="3">
        <v>275.53233333333333</v>
      </c>
    </row>
    <row r="147" spans="1:18">
      <c r="A147" s="2">
        <v>37196</v>
      </c>
      <c r="B147" s="4">
        <v>148.02607973108226</v>
      </c>
      <c r="C147" s="3">
        <v>220.16241379310335</v>
      </c>
      <c r="D147" s="3">
        <v>12746.553103448277</v>
      </c>
      <c r="E147" s="3">
        <v>1189.6138354482759</v>
      </c>
      <c r="F147" s="3"/>
      <c r="G147" s="3">
        <v>5699.0710344827576</v>
      </c>
      <c r="H147" s="3">
        <v>205.70758620689651</v>
      </c>
      <c r="I147" s="3">
        <v>1673.1283793103448</v>
      </c>
      <c r="J147" s="3">
        <v>10907.957241379308</v>
      </c>
      <c r="K147" s="3">
        <v>10515.150344827585</v>
      </c>
      <c r="L147" s="3">
        <v>1129.8682758620691</v>
      </c>
      <c r="M147" s="3">
        <v>5245.4265517241383</v>
      </c>
      <c r="N147" s="3"/>
      <c r="O147" s="3">
        <v>8309.1206896551739</v>
      </c>
      <c r="P147" s="3">
        <v>4519.5993103448291</v>
      </c>
      <c r="Q147" s="3">
        <v>31785.78413793103</v>
      </c>
      <c r="R147" s="3">
        <v>292.01586206896548</v>
      </c>
    </row>
    <row r="148" spans="1:18">
      <c r="A148" s="2">
        <v>37226</v>
      </c>
      <c r="B148" s="4">
        <v>152.77692998204668</v>
      </c>
      <c r="C148" s="3">
        <v>267.03500000000008</v>
      </c>
      <c r="D148" s="3">
        <v>13298.751333333341</v>
      </c>
      <c r="E148" s="3">
        <v>1188.5633998333335</v>
      </c>
      <c r="F148" s="3"/>
      <c r="G148" s="3">
        <v>6204.7003333333323</v>
      </c>
      <c r="H148" s="3">
        <v>225.15566666666672</v>
      </c>
      <c r="I148" s="3">
        <v>1688.3051999999996</v>
      </c>
      <c r="J148" s="3">
        <v>11481.025000000005</v>
      </c>
      <c r="K148" s="3">
        <v>10524.617999999999</v>
      </c>
      <c r="L148" s="3">
        <v>1145.0626666666669</v>
      </c>
      <c r="M148" s="3">
        <v>5183.3940000000011</v>
      </c>
      <c r="N148" s="3"/>
      <c r="O148" s="3">
        <v>8440.9233333333323</v>
      </c>
      <c r="P148" s="3">
        <v>4524.4983333333339</v>
      </c>
      <c r="Q148" s="3">
        <v>32023.442666666662</v>
      </c>
      <c r="R148" s="3">
        <v>292.37217217333335</v>
      </c>
    </row>
    <row r="149" spans="1:18">
      <c r="A149" s="2">
        <v>37257</v>
      </c>
      <c r="B149" s="4">
        <v>162.27429016746524</v>
      </c>
      <c r="C149" s="3">
        <v>378.42300000000012</v>
      </c>
      <c r="D149" s="3">
        <v>13463.838666666668</v>
      </c>
      <c r="E149" s="3">
        <v>1159.7964977333334</v>
      </c>
      <c r="F149" s="3"/>
      <c r="G149" s="3">
        <v>6613.5623333333324</v>
      </c>
      <c r="H149" s="3">
        <v>260.13899999999995</v>
      </c>
      <c r="I149" s="3">
        <v>1498.5893666666666</v>
      </c>
      <c r="J149" s="3">
        <v>11143.726666666667</v>
      </c>
      <c r="K149" s="3">
        <v>10371.382</v>
      </c>
      <c r="L149" s="3">
        <v>1141.4893333333337</v>
      </c>
      <c r="M149" s="3">
        <v>5196.9049999999988</v>
      </c>
      <c r="N149" s="3"/>
      <c r="O149" s="3">
        <v>8123.6399999999994</v>
      </c>
      <c r="P149" s="3">
        <v>4526.3106666666672</v>
      </c>
      <c r="Q149" s="3">
        <v>32084.365666666665</v>
      </c>
      <c r="R149" s="3">
        <v>293.51900000000006</v>
      </c>
    </row>
    <row r="150" spans="1:18">
      <c r="A150" s="2">
        <v>37288</v>
      </c>
      <c r="B150" s="4">
        <v>155.61083521444695</v>
      </c>
      <c r="C150" s="3">
        <v>407.96222222222218</v>
      </c>
      <c r="D150" s="3">
        <v>13104.188148148145</v>
      </c>
      <c r="E150" s="3">
        <v>1137.609331925926</v>
      </c>
      <c r="F150" s="3"/>
      <c r="G150" s="3">
        <v>6700.7855555555552</v>
      </c>
      <c r="H150" s="3">
        <v>262.30518518518522</v>
      </c>
      <c r="I150" s="3">
        <v>1508.0995185185193</v>
      </c>
      <c r="J150" s="3">
        <v>10706.127777777778</v>
      </c>
      <c r="K150" s="3">
        <v>9953.5351851851883</v>
      </c>
      <c r="L150" s="3">
        <v>1101.9233333333334</v>
      </c>
      <c r="M150" s="3">
        <v>5132.8681481481462</v>
      </c>
      <c r="N150" s="3"/>
      <c r="O150" s="3">
        <v>7884.637037037036</v>
      </c>
      <c r="P150" s="3">
        <v>4344.7588888888895</v>
      </c>
      <c r="Q150" s="3">
        <v>30946.939629629625</v>
      </c>
      <c r="R150" s="3">
        <v>286.98148148148147</v>
      </c>
    </row>
    <row r="151" spans="1:18">
      <c r="A151" s="2">
        <v>37316</v>
      </c>
      <c r="B151" s="4">
        <v>157.53571428571428</v>
      </c>
      <c r="C151" s="3">
        <v>407.5836666666666</v>
      </c>
      <c r="D151" s="3">
        <v>13845.063333333332</v>
      </c>
      <c r="E151" s="3">
        <v>1182.1975075000003</v>
      </c>
      <c r="F151" s="3"/>
      <c r="G151" s="3">
        <v>7257.9409999999971</v>
      </c>
      <c r="H151" s="3">
        <v>286.87299999999993</v>
      </c>
      <c r="I151" s="3">
        <v>1625.3826333333334</v>
      </c>
      <c r="J151" s="3">
        <v>11027.605</v>
      </c>
      <c r="K151" s="3">
        <v>11437.410666666667</v>
      </c>
      <c r="L151" s="3">
        <v>1153.6036666666666</v>
      </c>
      <c r="M151" s="3">
        <v>5256.3396666666677</v>
      </c>
      <c r="N151" s="3"/>
      <c r="O151" s="3">
        <v>8299.7866666666687</v>
      </c>
      <c r="P151" s="3">
        <v>4602.5619999999999</v>
      </c>
      <c r="Q151" s="3">
        <v>33176.741000000009</v>
      </c>
      <c r="R151" s="3">
        <v>299.50400000000002</v>
      </c>
    </row>
    <row r="152" spans="1:18">
      <c r="A152" s="2">
        <v>37347</v>
      </c>
      <c r="B152" s="4">
        <v>163.14335060449048</v>
      </c>
      <c r="C152" s="3">
        <v>404.67275862068976</v>
      </c>
      <c r="D152" s="3">
        <v>13343.902758620687</v>
      </c>
      <c r="E152" s="3">
        <v>1144.7484374482758</v>
      </c>
      <c r="F152" s="3"/>
      <c r="G152" s="3">
        <v>7420.7520689655175</v>
      </c>
      <c r="H152" s="3">
        <v>322.16379310344826</v>
      </c>
      <c r="I152" s="3">
        <v>1637.4827586206898</v>
      </c>
      <c r="J152" s="3">
        <v>11042.14931034483</v>
      </c>
      <c r="K152" s="3">
        <v>11391.59862068966</v>
      </c>
      <c r="L152" s="3">
        <v>1111.1796551724135</v>
      </c>
      <c r="M152" s="3">
        <v>5208.2103448275866</v>
      </c>
      <c r="N152" s="3"/>
      <c r="O152" s="3">
        <v>8208.2103448275848</v>
      </c>
      <c r="P152" s="3">
        <v>4527.3703448275865</v>
      </c>
      <c r="Q152" s="3">
        <v>33071.997931034486</v>
      </c>
      <c r="R152" s="3">
        <v>295.88344827586212</v>
      </c>
    </row>
    <row r="153" spans="1:18">
      <c r="A153" s="2">
        <v>37377</v>
      </c>
      <c r="B153" s="4">
        <v>179.28067165254291</v>
      </c>
      <c r="C153" s="3">
        <v>370.34419354838695</v>
      </c>
      <c r="D153" s="3">
        <v>12545.843548387094</v>
      </c>
      <c r="E153" s="3">
        <v>1132.6427796451612</v>
      </c>
      <c r="F153" s="3"/>
      <c r="G153" s="3">
        <v>7390.6712903225807</v>
      </c>
      <c r="H153" s="3">
        <v>340.93838709677425</v>
      </c>
      <c r="I153" s="3">
        <v>1599.1635161290319</v>
      </c>
      <c r="J153" s="3">
        <v>11706.926129032259</v>
      </c>
      <c r="K153" s="3">
        <v>11703.727419354844</v>
      </c>
      <c r="L153" s="3">
        <v>1079.5277419354838</v>
      </c>
      <c r="M153" s="3">
        <v>5174.7406451612906</v>
      </c>
      <c r="N153" s="3"/>
      <c r="O153" s="3">
        <v>7993.2129032258099</v>
      </c>
      <c r="P153" s="3">
        <v>4372.003548387097</v>
      </c>
      <c r="Q153" s="3">
        <v>31359.05032258065</v>
      </c>
      <c r="R153" s="3">
        <v>286.43032258064517</v>
      </c>
    </row>
    <row r="154" spans="1:18">
      <c r="A154" s="2">
        <v>37408</v>
      </c>
      <c r="B154" s="4">
        <v>195.51291906240712</v>
      </c>
      <c r="C154" s="3">
        <v>303.75733333333324</v>
      </c>
      <c r="D154" s="3">
        <v>11682.444333333331</v>
      </c>
      <c r="E154" s="3">
        <v>1062.0011043333334</v>
      </c>
      <c r="F154" s="3"/>
      <c r="G154" s="3">
        <v>6693.7576666666691</v>
      </c>
      <c r="H154" s="3">
        <v>319.512</v>
      </c>
      <c r="I154" s="3">
        <v>1564.1838333333333</v>
      </c>
      <c r="J154" s="3">
        <v>10945.820333333331</v>
      </c>
      <c r="K154" s="3">
        <v>10983.854000000001</v>
      </c>
      <c r="L154" s="3">
        <v>1014.7576666666668</v>
      </c>
      <c r="M154" s="3">
        <v>4771.610999999999</v>
      </c>
      <c r="N154" s="3"/>
      <c r="O154" s="3">
        <v>7249.5699999999988</v>
      </c>
      <c r="P154" s="3">
        <v>3948.7156666666674</v>
      </c>
      <c r="Q154" s="3">
        <v>28409.980666666674</v>
      </c>
      <c r="R154" s="3">
        <v>259.30933333333331</v>
      </c>
    </row>
    <row r="155" spans="1:18">
      <c r="A155" s="2">
        <v>37438</v>
      </c>
      <c r="B155" s="4">
        <v>138.76166666666666</v>
      </c>
      <c r="C155" s="3">
        <v>372.38387096774193</v>
      </c>
      <c r="D155" s="3">
        <v>10322.688387096776</v>
      </c>
      <c r="E155" s="3">
        <v>986.48153518387119</v>
      </c>
      <c r="F155" s="3"/>
      <c r="G155" s="3">
        <v>6256.9977419354836</v>
      </c>
      <c r="H155" s="3">
        <v>305.20806451612901</v>
      </c>
      <c r="I155" s="3">
        <v>1696.2831290322579</v>
      </c>
      <c r="J155" s="3">
        <v>10405.079999999998</v>
      </c>
      <c r="K155" s="3">
        <v>10340.127741935486</v>
      </c>
      <c r="L155" s="3">
        <v>905.00064516128998</v>
      </c>
      <c r="M155" s="3">
        <v>4238.2441935483876</v>
      </c>
      <c r="N155" s="3"/>
      <c r="O155" s="3">
        <v>6590.467741935483</v>
      </c>
      <c r="P155" s="3">
        <v>3470.9499999999994</v>
      </c>
      <c r="Q155" s="3">
        <v>25906.564838709673</v>
      </c>
      <c r="R155" s="3">
        <v>231.7103225806452</v>
      </c>
    </row>
    <row r="156" spans="1:18">
      <c r="A156" s="2">
        <v>37469</v>
      </c>
      <c r="B156" s="4">
        <v>137.41249999999999</v>
      </c>
      <c r="C156" s="3">
        <v>373.32032258064515</v>
      </c>
      <c r="D156" s="3">
        <v>9802.4016129032261</v>
      </c>
      <c r="E156" s="3">
        <v>1038.4257210322583</v>
      </c>
      <c r="F156" s="3"/>
      <c r="G156" s="3">
        <v>6019.6874193548401</v>
      </c>
      <c r="H156" s="3">
        <v>291.7354838709677</v>
      </c>
      <c r="I156" s="3">
        <v>1660.5644193548387</v>
      </c>
      <c r="J156" s="3">
        <v>10117.606774193549</v>
      </c>
      <c r="K156" s="3">
        <v>9770.1890322580657</v>
      </c>
      <c r="L156" s="3">
        <v>912.16967741935491</v>
      </c>
      <c r="M156" s="3">
        <v>4265.3025806451624</v>
      </c>
      <c r="N156" s="3"/>
      <c r="O156" s="3">
        <v>6351.5451612903253</v>
      </c>
      <c r="P156" s="3">
        <v>3386.70806451613</v>
      </c>
      <c r="Q156" s="3">
        <v>25475.602258064515</v>
      </c>
      <c r="R156" s="3">
        <v>226.70451612903227</v>
      </c>
    </row>
    <row r="157" spans="1:18">
      <c r="A157" s="2">
        <v>37500</v>
      </c>
      <c r="B157" s="4">
        <v>138.97380952380951</v>
      </c>
      <c r="C157" s="3">
        <v>380.84266666666673</v>
      </c>
      <c r="D157" s="3">
        <v>9643.4833333333354</v>
      </c>
      <c r="E157" s="3">
        <v>980.15459851999981</v>
      </c>
      <c r="F157" s="3"/>
      <c r="G157" s="3">
        <v>6000.7383333333337</v>
      </c>
      <c r="H157" s="3">
        <v>290.113</v>
      </c>
      <c r="I157" s="3">
        <v>1617.5732666666665</v>
      </c>
      <c r="J157" s="3">
        <v>9558.1386666666676</v>
      </c>
      <c r="K157" s="3">
        <v>9361.1169999999966</v>
      </c>
      <c r="L157" s="3">
        <v>870.04533333333325</v>
      </c>
      <c r="M157" s="3">
        <v>3969.4453333333336</v>
      </c>
      <c r="N157" s="3"/>
      <c r="O157" s="3">
        <v>5971.8766666666679</v>
      </c>
      <c r="P157" s="3">
        <v>3072.9623333333338</v>
      </c>
      <c r="Q157" s="3">
        <v>23591.734333333327</v>
      </c>
      <c r="R157" s="3">
        <v>210.69733333333335</v>
      </c>
    </row>
    <row r="158" spans="1:18">
      <c r="A158" s="2">
        <v>37530</v>
      </c>
      <c r="B158" s="4">
        <v>150.30181818181819</v>
      </c>
      <c r="C158" s="3">
        <v>425.52677419354842</v>
      </c>
      <c r="D158" s="3">
        <v>9207.8758064516151</v>
      </c>
      <c r="E158" s="3">
        <v>923.33938902580644</v>
      </c>
      <c r="F158" s="3"/>
      <c r="G158" s="3">
        <v>5906.2819354838712</v>
      </c>
      <c r="H158" s="3">
        <v>303.84161290322578</v>
      </c>
      <c r="I158" s="3">
        <v>1538.3227419354837</v>
      </c>
      <c r="J158" s="3">
        <v>9338.9622580645173</v>
      </c>
      <c r="K158" s="3">
        <v>8796.8925806451625</v>
      </c>
      <c r="L158" s="3">
        <v>854.59354838709692</v>
      </c>
      <c r="M158" s="3">
        <v>3973.636129032257</v>
      </c>
      <c r="N158" s="3"/>
      <c r="O158" s="3">
        <v>5799.7774193548385</v>
      </c>
      <c r="P158" s="3">
        <v>2967.965483870968</v>
      </c>
      <c r="Q158" s="3">
        <v>22328.274838709673</v>
      </c>
      <c r="R158" s="3">
        <v>205.57612903225805</v>
      </c>
    </row>
    <row r="159" spans="1:18">
      <c r="A159" s="2">
        <v>37561</v>
      </c>
      <c r="B159" s="4">
        <v>165.01947368421051</v>
      </c>
      <c r="C159" s="3">
        <v>459.97400000000005</v>
      </c>
      <c r="D159" s="3">
        <v>10052.531333333334</v>
      </c>
      <c r="E159" s="3">
        <v>960.02524056333345</v>
      </c>
      <c r="F159" s="3"/>
      <c r="G159" s="3">
        <v>5930.3036666666649</v>
      </c>
      <c r="H159" s="3">
        <v>311.0533299999999</v>
      </c>
      <c r="I159" s="3">
        <v>1465.9680333333336</v>
      </c>
      <c r="J159" s="3">
        <v>9835.4329999999991</v>
      </c>
      <c r="K159" s="3">
        <v>8707.104666666668</v>
      </c>
      <c r="L159" s="3">
        <v>911.5296666666668</v>
      </c>
      <c r="M159" s="3">
        <v>4096.9963333333335</v>
      </c>
      <c r="N159" s="3"/>
      <c r="O159" s="3">
        <v>6334.4766666666683</v>
      </c>
      <c r="P159" s="3">
        <v>3187.9086666666658</v>
      </c>
      <c r="Q159" s="3">
        <v>24297.020666666667</v>
      </c>
      <c r="R159" s="3">
        <v>215.82700000000008</v>
      </c>
    </row>
    <row r="160" spans="1:18">
      <c r="A160" s="2">
        <v>37591</v>
      </c>
      <c r="B160" s="4">
        <v>170.19350000000003</v>
      </c>
      <c r="C160" s="3">
        <v>504.89866666666671</v>
      </c>
      <c r="D160" s="3">
        <v>10927.829666666663</v>
      </c>
      <c r="E160" s="3">
        <v>981.0892885400001</v>
      </c>
      <c r="F160" s="3"/>
      <c r="G160" s="3">
        <v>6138.9773333333333</v>
      </c>
      <c r="H160" s="3">
        <v>312.68552999999986</v>
      </c>
      <c r="I160" s="3">
        <v>1402.6982333333335</v>
      </c>
      <c r="J160" s="3">
        <v>9717.1753333333345</v>
      </c>
      <c r="K160" s="3">
        <v>8673.2506666666686</v>
      </c>
      <c r="L160" s="3">
        <v>898.16700000000026</v>
      </c>
      <c r="M160" s="3">
        <v>3941.3833333333332</v>
      </c>
      <c r="N160" s="3"/>
      <c r="O160" s="3">
        <v>6273.5200000000013</v>
      </c>
      <c r="P160" s="3">
        <v>3118.0716666666663</v>
      </c>
      <c r="Q160" s="3">
        <v>24139.955333333332</v>
      </c>
      <c r="R160" s="3">
        <v>208.31833333333336</v>
      </c>
    </row>
    <row r="161" spans="1:18">
      <c r="A161" s="2">
        <v>37622</v>
      </c>
      <c r="B161" s="4">
        <v>180.46523809523811</v>
      </c>
      <c r="C161" s="3">
        <v>562.44193548387102</v>
      </c>
      <c r="D161" s="3">
        <v>11502.247741935487</v>
      </c>
      <c r="E161" s="3">
        <v>1009.393870967742</v>
      </c>
      <c r="F161" s="3"/>
      <c r="G161" s="3">
        <v>6176.5164516129034</v>
      </c>
      <c r="H161" s="3">
        <v>314.88050967741941</v>
      </c>
      <c r="I161" s="3">
        <v>1427.2759032258066</v>
      </c>
      <c r="J161" s="3">
        <v>9561.4825806451627</v>
      </c>
      <c r="K161" s="3">
        <v>8580.4464516129028</v>
      </c>
      <c r="L161" s="3">
        <v>896.54354838709696</v>
      </c>
      <c r="M161" s="3">
        <v>3808.2903225806463</v>
      </c>
      <c r="N161" s="3"/>
      <c r="O161" s="3">
        <v>6303.6129032258068</v>
      </c>
      <c r="P161" s="3">
        <v>3050.2583870967756</v>
      </c>
      <c r="Q161" s="3">
        <v>23516.316129032264</v>
      </c>
      <c r="R161" s="3">
        <v>200.26612903225808</v>
      </c>
    </row>
    <row r="162" spans="1:18">
      <c r="A162" s="2">
        <v>37653</v>
      </c>
      <c r="B162" s="4">
        <v>172.339</v>
      </c>
      <c r="C162" s="3">
        <v>576.36000000000013</v>
      </c>
      <c r="D162" s="3">
        <v>10374.380370370367</v>
      </c>
      <c r="E162" s="3">
        <v>1008.6833333333335</v>
      </c>
      <c r="F162" s="3"/>
      <c r="G162" s="3">
        <v>5881.4196296296295</v>
      </c>
      <c r="H162" s="3">
        <v>326.20446296296291</v>
      </c>
      <c r="I162" s="3">
        <v>1500.0454444444447</v>
      </c>
      <c r="J162" s="3">
        <v>9232.2699999999986</v>
      </c>
      <c r="K162" s="3">
        <v>8528.6996296296329</v>
      </c>
      <c r="L162" s="3">
        <v>839.14296296296288</v>
      </c>
      <c r="M162" s="3">
        <v>3640.3748148148152</v>
      </c>
      <c r="N162" s="3"/>
      <c r="O162" s="3">
        <v>5941.0148148148155</v>
      </c>
      <c r="P162" s="3">
        <v>2822.5603703703709</v>
      </c>
      <c r="Q162" s="3">
        <v>22760.581481481477</v>
      </c>
      <c r="R162" s="3">
        <v>185.18407407407409</v>
      </c>
    </row>
    <row r="163" spans="1:18">
      <c r="A163" s="2">
        <v>37681</v>
      </c>
      <c r="B163" s="4">
        <v>174.2345</v>
      </c>
      <c r="C163" s="3">
        <v>573.93161290322575</v>
      </c>
      <c r="D163" s="3">
        <v>10876.943225806453</v>
      </c>
      <c r="E163" s="3">
        <v>1017.2477419354841</v>
      </c>
      <c r="F163" s="3"/>
      <c r="G163" s="3">
        <v>5949.4267741935491</v>
      </c>
      <c r="H163" s="3">
        <v>342.15848064516126</v>
      </c>
      <c r="I163" s="3">
        <v>1484.3396774193552</v>
      </c>
      <c r="J163" s="3">
        <v>8993.3032258064522</v>
      </c>
      <c r="K163" s="3">
        <v>8179.3593548387089</v>
      </c>
      <c r="L163" s="3">
        <v>848.5241935483873</v>
      </c>
      <c r="M163" s="3">
        <v>3646.2332258064525</v>
      </c>
      <c r="N163" s="3"/>
      <c r="O163" s="3">
        <v>5940.6838709677413</v>
      </c>
      <c r="P163" s="3">
        <v>2707.34</v>
      </c>
      <c r="Q163" s="3">
        <v>22149.829677419355</v>
      </c>
      <c r="R163" s="3">
        <v>180.12870967741935</v>
      </c>
    </row>
    <row r="164" spans="1:18">
      <c r="A164" s="2">
        <v>37712</v>
      </c>
      <c r="B164" s="4">
        <v>179.47399999999999</v>
      </c>
      <c r="C164" s="3">
        <v>600.8663333333335</v>
      </c>
      <c r="D164" s="3">
        <v>12104.347666666667</v>
      </c>
      <c r="E164" s="3">
        <v>1068.7699999999998</v>
      </c>
      <c r="F164" s="3"/>
      <c r="G164" s="3">
        <v>6260.8513333333349</v>
      </c>
      <c r="H164" s="3">
        <v>350.10160999999994</v>
      </c>
      <c r="I164" s="3">
        <v>1549.0852666666667</v>
      </c>
      <c r="J164" s="3">
        <v>8626.0200000000023</v>
      </c>
      <c r="K164" s="3">
        <v>7887.8096666666688</v>
      </c>
      <c r="L164" s="3">
        <v>888.77333333333331</v>
      </c>
      <c r="M164" s="3">
        <v>3860.0310000000004</v>
      </c>
      <c r="N164" s="3"/>
      <c r="O164" s="3">
        <v>6454.7033333333338</v>
      </c>
      <c r="P164" s="3">
        <v>2871.0330000000008</v>
      </c>
      <c r="Q164" s="3">
        <v>23297.289999999997</v>
      </c>
      <c r="R164" s="3">
        <v>191.44700000000003</v>
      </c>
    </row>
    <row r="165" spans="1:18">
      <c r="A165" s="2">
        <v>37742</v>
      </c>
      <c r="B165" s="4">
        <v>195.54142857142855</v>
      </c>
      <c r="C165" s="3">
        <v>647.07225806451618</v>
      </c>
      <c r="D165" s="3">
        <v>13086.542258064517</v>
      </c>
      <c r="E165" s="3">
        <v>1198.7409677419357</v>
      </c>
      <c r="F165" s="3"/>
      <c r="G165" s="3">
        <v>6556.350967741937</v>
      </c>
      <c r="H165" s="3">
        <v>395.32838387096774</v>
      </c>
      <c r="I165" s="3">
        <v>1540.5933225806455</v>
      </c>
      <c r="J165" s="3">
        <v>9126.8922580645176</v>
      </c>
      <c r="K165" s="3">
        <v>8123.6822580645185</v>
      </c>
      <c r="L165" s="3">
        <v>936.58225806451617</v>
      </c>
      <c r="M165" s="3">
        <v>3988.7229032258056</v>
      </c>
      <c r="N165" s="3"/>
      <c r="O165" s="3">
        <v>6406.8419354838734</v>
      </c>
      <c r="P165" s="3">
        <v>2952.6474193548388</v>
      </c>
      <c r="Q165" s="3">
        <v>24082.747419354837</v>
      </c>
      <c r="R165" s="3">
        <v>194.32419354838717</v>
      </c>
    </row>
    <row r="166" spans="1:18">
      <c r="A166" s="2">
        <v>37773</v>
      </c>
      <c r="B166" s="4">
        <v>211.95555555555558</v>
      </c>
      <c r="C166" s="3">
        <v>750.59166666666647</v>
      </c>
      <c r="D166" s="3">
        <v>13479.100000000006</v>
      </c>
      <c r="E166" s="3">
        <v>1252.3726666666669</v>
      </c>
      <c r="F166" s="3"/>
      <c r="G166" s="3">
        <v>6982.961666666668</v>
      </c>
      <c r="H166" s="3">
        <v>437.9430000000001</v>
      </c>
      <c r="I166" s="3">
        <v>1539.1906666666664</v>
      </c>
      <c r="J166" s="3">
        <v>9745.2660000000014</v>
      </c>
      <c r="K166" s="3">
        <v>8907.2116666666698</v>
      </c>
      <c r="L166" s="3">
        <v>986.93500000000006</v>
      </c>
      <c r="M166" s="3">
        <v>4119.5793333333331</v>
      </c>
      <c r="N166" s="3"/>
      <c r="O166" s="3">
        <v>6839.4666666666681</v>
      </c>
      <c r="P166" s="3">
        <v>3112.2433333333342</v>
      </c>
      <c r="Q166" s="3">
        <v>25234.203666666665</v>
      </c>
      <c r="R166" s="3">
        <v>204.47199999999992</v>
      </c>
    </row>
    <row r="167" spans="1:18">
      <c r="A167" s="2">
        <v>37803</v>
      </c>
      <c r="B167" s="4">
        <v>225.37565217391312</v>
      </c>
      <c r="C167" s="3">
        <v>730.99935483870934</v>
      </c>
      <c r="D167" s="3">
        <v>13548.037419354836</v>
      </c>
      <c r="E167" s="3">
        <v>1267.0525806451617</v>
      </c>
      <c r="F167" s="3"/>
      <c r="G167" s="3">
        <v>7167.9896774193558</v>
      </c>
      <c r="H167" s="3">
        <v>432.42258064516125</v>
      </c>
      <c r="I167" s="3">
        <v>1503.0763870967742</v>
      </c>
      <c r="J167" s="3">
        <v>9957.8554838709661</v>
      </c>
      <c r="K167" s="3">
        <v>9649.1622580645162</v>
      </c>
      <c r="L167" s="3">
        <v>992.68354838709683</v>
      </c>
      <c r="M167" s="3">
        <v>4077.0141935483866</v>
      </c>
      <c r="N167" s="3"/>
      <c r="O167" s="3">
        <v>6908.9322580645157</v>
      </c>
      <c r="P167" s="3">
        <v>3125.4783870967749</v>
      </c>
      <c r="Q167" s="3">
        <v>24848.750000000004</v>
      </c>
      <c r="R167" s="3">
        <v>205.76387096774192</v>
      </c>
    </row>
    <row r="168" spans="1:18">
      <c r="A168" s="2">
        <v>37834</v>
      </c>
      <c r="B168" s="4">
        <v>219.29052631578944</v>
      </c>
      <c r="C168" s="3">
        <v>717.15258064516149</v>
      </c>
      <c r="D168" s="3">
        <v>14025.512580645163</v>
      </c>
      <c r="E168" s="3">
        <v>1360.7348064516132</v>
      </c>
      <c r="F168" s="3"/>
      <c r="G168" s="3">
        <v>7418.2248387096788</v>
      </c>
      <c r="H168" s="3">
        <v>456.39838709677412</v>
      </c>
      <c r="I168" s="3">
        <v>1454.2467419354844</v>
      </c>
      <c r="J168" s="3">
        <v>10426.894193548385</v>
      </c>
      <c r="K168" s="3">
        <v>9884.8735483870951</v>
      </c>
      <c r="L168" s="3">
        <v>989.64935483870954</v>
      </c>
      <c r="M168" s="3">
        <v>4180.0229032258048</v>
      </c>
      <c r="N168" s="3"/>
      <c r="O168" s="3">
        <v>7073.6709677419331</v>
      </c>
      <c r="P168" s="3">
        <v>3244.077741935484</v>
      </c>
      <c r="Q168" s="3">
        <v>25186.677419354837</v>
      </c>
      <c r="R168" s="3">
        <v>212.50741935483865</v>
      </c>
    </row>
    <row r="169" spans="1:18">
      <c r="A169" s="2">
        <v>37865</v>
      </c>
      <c r="B169" s="4">
        <v>220.93227272727273</v>
      </c>
      <c r="C169" s="3">
        <v>775.33133333333319</v>
      </c>
      <c r="D169" s="3">
        <v>16134.806333333328</v>
      </c>
      <c r="E169" s="3">
        <v>1376.4156333333335</v>
      </c>
      <c r="F169" s="3"/>
      <c r="G169" s="3">
        <v>7773.5370000000003</v>
      </c>
      <c r="H169" s="3">
        <v>500.1816666666669</v>
      </c>
      <c r="I169" s="3">
        <v>1404.7282999999998</v>
      </c>
      <c r="J169" s="3">
        <v>11065.764000000005</v>
      </c>
      <c r="K169" s="3">
        <v>10647.56966666667</v>
      </c>
      <c r="L169" s="3">
        <v>1018.7543333333331</v>
      </c>
      <c r="M169" s="3">
        <v>4232.9159999999993</v>
      </c>
      <c r="N169" s="3"/>
      <c r="O169" s="3">
        <v>7063.586666666667</v>
      </c>
      <c r="P169" s="3">
        <v>3327.8569999999991</v>
      </c>
      <c r="Q169" s="3">
        <v>25581.8</v>
      </c>
      <c r="R169" s="3">
        <v>216.94900000000001</v>
      </c>
    </row>
    <row r="170" spans="1:18">
      <c r="A170" s="2">
        <v>37895</v>
      </c>
      <c r="B170" s="4">
        <v>225.96181818181819</v>
      </c>
      <c r="C170" s="3">
        <v>879.02161290322579</v>
      </c>
      <c r="D170" s="3">
        <v>17732.847741935486</v>
      </c>
      <c r="E170" s="3">
        <v>1529.148483870968</v>
      </c>
      <c r="F170" s="3"/>
      <c r="G170" s="3">
        <v>7888.7525806451586</v>
      </c>
      <c r="H170" s="3">
        <v>541.68516129032275</v>
      </c>
      <c r="I170" s="3">
        <v>1374.7855483870967</v>
      </c>
      <c r="J170" s="3">
        <v>11881.079999999996</v>
      </c>
      <c r="K170" s="3">
        <v>10719.37806451613</v>
      </c>
      <c r="L170" s="3">
        <v>1037.5216129032258</v>
      </c>
      <c r="M170" s="3">
        <v>4290.8361290322573</v>
      </c>
      <c r="N170" s="3"/>
      <c r="O170" s="3">
        <v>6959.5483870967737</v>
      </c>
      <c r="P170" s="3">
        <v>3312.0683870967741</v>
      </c>
      <c r="Q170" s="3">
        <v>25534.290322580644</v>
      </c>
      <c r="R170" s="3">
        <v>217.15290322580648</v>
      </c>
    </row>
    <row r="171" spans="1:18">
      <c r="A171" s="2">
        <v>37926</v>
      </c>
      <c r="B171" s="4">
        <v>237.26722222222224</v>
      </c>
      <c r="C171" s="3">
        <v>951.63275862068986</v>
      </c>
      <c r="D171" s="3">
        <v>19004.806551724141</v>
      </c>
      <c r="E171" s="3">
        <v>1443.4472413793101</v>
      </c>
      <c r="F171" s="3"/>
      <c r="G171" s="3">
        <v>8399.9974137931058</v>
      </c>
      <c r="H171" s="3">
        <v>476.71551724137919</v>
      </c>
      <c r="I171" s="3">
        <v>1358.6295172413793</v>
      </c>
      <c r="J171" s="3">
        <v>12131.247241379306</v>
      </c>
      <c r="K171" s="3">
        <v>10236.998620689654</v>
      </c>
      <c r="L171" s="3">
        <v>1050.5786206896553</v>
      </c>
      <c r="M171" s="3">
        <v>4348.8141379310364</v>
      </c>
      <c r="N171" s="3"/>
      <c r="O171" s="3">
        <v>7214.7482758620681</v>
      </c>
      <c r="P171" s="3">
        <v>3408.2548275862064</v>
      </c>
      <c r="Q171" s="3">
        <v>26599.655172413793</v>
      </c>
      <c r="R171" s="3">
        <v>223.22655172413801</v>
      </c>
    </row>
    <row r="172" spans="1:18">
      <c r="A172" s="2">
        <v>37956</v>
      </c>
      <c r="B172" s="4">
        <v>243.57850000000002</v>
      </c>
      <c r="C172" s="3">
        <v>1020.0238709677418</v>
      </c>
      <c r="D172" s="3">
        <v>21253.533548387091</v>
      </c>
      <c r="E172" s="3">
        <v>1466.1147096774193</v>
      </c>
      <c r="F172" s="3"/>
      <c r="G172" s="3">
        <v>8542.1603225806448</v>
      </c>
      <c r="H172" s="3">
        <v>506.28419354838701</v>
      </c>
      <c r="I172" s="3">
        <v>1471.2068709677421</v>
      </c>
      <c r="J172" s="3">
        <v>12416.536451612905</v>
      </c>
      <c r="K172" s="3">
        <v>10314.673548387096</v>
      </c>
      <c r="L172" s="3">
        <v>1080.9174193548386</v>
      </c>
      <c r="M172" s="3">
        <v>4395.8599999999979</v>
      </c>
      <c r="N172" s="3"/>
      <c r="O172" s="3">
        <v>7525.3645161290324</v>
      </c>
      <c r="P172" s="3">
        <v>3489.139999999999</v>
      </c>
      <c r="Q172" s="3">
        <v>27295.935483870966</v>
      </c>
      <c r="R172" s="3">
        <v>226.08999999999997</v>
      </c>
    </row>
    <row r="173" spans="1:18">
      <c r="A173" s="2">
        <v>37987</v>
      </c>
      <c r="B173" s="4">
        <v>273.19899999999996</v>
      </c>
      <c r="C173" s="3">
        <v>1176.5786666666661</v>
      </c>
      <c r="D173" s="3">
        <v>23329.302333333337</v>
      </c>
      <c r="E173" s="3">
        <v>1460.8764333333334</v>
      </c>
      <c r="F173" s="3"/>
      <c r="G173" s="3">
        <v>9220.2963333333337</v>
      </c>
      <c r="H173" s="3">
        <v>542.1400000000001</v>
      </c>
      <c r="I173" s="3">
        <v>1585.6145000000004</v>
      </c>
      <c r="J173" s="3">
        <v>13316.149666666672</v>
      </c>
      <c r="K173" s="3">
        <v>10880.550666666668</v>
      </c>
      <c r="L173" s="3">
        <v>1130.8513333333331</v>
      </c>
      <c r="M173" s="3">
        <v>4473.7789999999995</v>
      </c>
      <c r="N173" s="3"/>
      <c r="O173" s="3">
        <v>7974.5099999999993</v>
      </c>
      <c r="P173" s="3">
        <v>3633.5713333333342</v>
      </c>
      <c r="Q173" s="3">
        <v>27743.933333333334</v>
      </c>
      <c r="R173" s="3">
        <v>235.19433333333336</v>
      </c>
    </row>
    <row r="174" spans="1:18">
      <c r="A174" s="2">
        <v>38018</v>
      </c>
      <c r="B174" s="4">
        <v>320.32400000000001</v>
      </c>
      <c r="C174" s="3">
        <v>1121.2813793103446</v>
      </c>
      <c r="D174" s="3">
        <v>21902.060344827583</v>
      </c>
      <c r="E174" s="3">
        <v>1470.7205172413794</v>
      </c>
      <c r="F174" s="3"/>
      <c r="G174" s="3">
        <v>9879.6786206896577</v>
      </c>
      <c r="H174" s="3">
        <v>566.58862068965516</v>
      </c>
      <c r="I174" s="3">
        <v>1678.7311034482764</v>
      </c>
      <c r="J174" s="3">
        <v>13601.786896551726</v>
      </c>
      <c r="K174" s="3">
        <v>10645.448620689651</v>
      </c>
      <c r="L174" s="3">
        <v>1143.3086206896553</v>
      </c>
      <c r="M174" s="3">
        <v>4444.7282758620686</v>
      </c>
      <c r="N174" s="3"/>
      <c r="O174" s="3">
        <v>8152.2758620689656</v>
      </c>
      <c r="P174" s="3">
        <v>3680.3937931034488</v>
      </c>
      <c r="Q174" s="3">
        <v>27778.793103448275</v>
      </c>
      <c r="R174" s="3">
        <v>239.74379310344824</v>
      </c>
    </row>
    <row r="175" spans="1:18">
      <c r="A175" s="2">
        <v>38047</v>
      </c>
      <c r="B175" s="4">
        <v>336.70227272727277</v>
      </c>
      <c r="C175" s="3">
        <v>1223.776451612903</v>
      </c>
      <c r="D175" s="3">
        <v>21968.459354838713</v>
      </c>
      <c r="E175" s="3">
        <v>1481.7578064516133</v>
      </c>
      <c r="F175" s="3"/>
      <c r="G175" s="3">
        <v>10110.165161290322</v>
      </c>
      <c r="H175" s="3">
        <v>608.89548387096784</v>
      </c>
      <c r="I175" s="3">
        <v>1708.7600967741935</v>
      </c>
      <c r="J175" s="3">
        <v>12983.196129032258</v>
      </c>
      <c r="K175" s="3">
        <v>11449.137419354842</v>
      </c>
      <c r="L175" s="3">
        <v>1123.9383870967742</v>
      </c>
      <c r="M175" s="3">
        <v>4446.8967741935494</v>
      </c>
      <c r="N175" s="3"/>
      <c r="O175" s="3">
        <v>8046.8290322580633</v>
      </c>
      <c r="P175" s="3">
        <v>3655.9251612903222</v>
      </c>
      <c r="Q175" s="3">
        <v>27434</v>
      </c>
      <c r="R175" s="3">
        <v>238.72580645161284</v>
      </c>
    </row>
    <row r="176" spans="1:18">
      <c r="A176" s="2">
        <v>38078</v>
      </c>
      <c r="B176" s="4">
        <v>368.91749999999996</v>
      </c>
      <c r="C176" s="3">
        <v>1159.7836666666667</v>
      </c>
      <c r="D176" s="3">
        <v>21936.415666666664</v>
      </c>
      <c r="E176" s="3">
        <v>1468.6504000000002</v>
      </c>
      <c r="F176" s="3"/>
      <c r="G176" s="3">
        <v>10627.196333333335</v>
      </c>
      <c r="H176" s="3">
        <v>636.87933333333342</v>
      </c>
      <c r="I176" s="3">
        <v>1694.0419666666664</v>
      </c>
      <c r="J176" s="3">
        <v>12543.528666666669</v>
      </c>
      <c r="K176" s="3">
        <v>11949.959999999994</v>
      </c>
      <c r="L176" s="3">
        <v>1134.8883333333333</v>
      </c>
      <c r="M176" s="3">
        <v>4513.8219999999992</v>
      </c>
      <c r="N176" s="3"/>
      <c r="O176" s="3">
        <v>8316.6766666666699</v>
      </c>
      <c r="P176" s="3">
        <v>3748.984333333332</v>
      </c>
      <c r="Q176" s="3">
        <v>28172.7</v>
      </c>
      <c r="R176" s="3">
        <v>244.12233333333324</v>
      </c>
    </row>
    <row r="177" spans="1:18">
      <c r="A177" s="2">
        <v>38108</v>
      </c>
      <c r="B177" s="4">
        <v>331.04399999999998</v>
      </c>
      <c r="C177" s="3">
        <v>960.59258064516098</v>
      </c>
      <c r="D177" s="3">
        <v>18904.257096774192</v>
      </c>
      <c r="E177" s="3">
        <v>1418.7344838709678</v>
      </c>
      <c r="F177" s="3"/>
      <c r="G177" s="3">
        <v>9880.1612903225814</v>
      </c>
      <c r="H177" s="3">
        <v>555.00064516129032</v>
      </c>
      <c r="I177" s="3">
        <v>1567.9928064516132</v>
      </c>
      <c r="J177" s="3">
        <v>11694.681290322576</v>
      </c>
      <c r="K177" s="3">
        <v>11187.762580645163</v>
      </c>
      <c r="L177" s="3">
        <v>1103.49</v>
      </c>
      <c r="M177" s="3">
        <v>4455.253870967741</v>
      </c>
      <c r="N177" s="3"/>
      <c r="O177" s="3">
        <v>7925.8193548387098</v>
      </c>
      <c r="P177" s="3">
        <v>3633.8025806451615</v>
      </c>
      <c r="Q177" s="3">
        <v>27471.967741935485</v>
      </c>
      <c r="R177" s="3">
        <v>236.40225806451616</v>
      </c>
    </row>
    <row r="178" spans="1:18">
      <c r="A178" s="2">
        <v>38139</v>
      </c>
      <c r="B178" s="4">
        <v>335.30849999999992</v>
      </c>
      <c r="C178" s="3">
        <v>927.34733333333293</v>
      </c>
      <c r="D178" s="3">
        <v>20199.978999999999</v>
      </c>
      <c r="E178" s="3">
        <v>1448.2585000000004</v>
      </c>
      <c r="F178" s="3"/>
      <c r="G178" s="3">
        <v>10160.280333333334</v>
      </c>
      <c r="H178" s="3">
        <v>537.78399999999988</v>
      </c>
      <c r="I178" s="3">
        <v>1464.481233333333</v>
      </c>
      <c r="J178" s="3">
        <v>12124.151000000002</v>
      </c>
      <c r="K178" s="3">
        <v>11508.154000000002</v>
      </c>
      <c r="L178" s="3">
        <v>1132.7069999999997</v>
      </c>
      <c r="M178" s="3">
        <v>4479.9883333333337</v>
      </c>
      <c r="N178" s="3"/>
      <c r="O178" s="3">
        <v>8065.6066666666684</v>
      </c>
      <c r="P178" s="3">
        <v>3712.2223333333332</v>
      </c>
      <c r="Q178" s="3">
        <v>27933.866666666665</v>
      </c>
      <c r="R178" s="3">
        <v>240.97633333333334</v>
      </c>
    </row>
    <row r="179" spans="1:18">
      <c r="A179" s="2">
        <v>38169</v>
      </c>
      <c r="B179" s="4">
        <v>327.59200000000004</v>
      </c>
      <c r="C179" s="3">
        <v>968.79741935483867</v>
      </c>
      <c r="D179" s="3">
        <v>21703.952903225807</v>
      </c>
      <c r="E179" s="3">
        <v>1498.066225806451</v>
      </c>
      <c r="F179" s="3"/>
      <c r="G179" s="3">
        <v>10037.243870967744</v>
      </c>
      <c r="H179" s="3">
        <v>520.43258064516124</v>
      </c>
      <c r="I179" s="3">
        <v>1423.9888387096773</v>
      </c>
      <c r="J179" s="3">
        <v>12210.120967741937</v>
      </c>
      <c r="K179" s="3">
        <v>11401.901612903226</v>
      </c>
      <c r="L179" s="3">
        <v>1106.498064516129</v>
      </c>
      <c r="M179" s="3">
        <v>4365.3119354838691</v>
      </c>
      <c r="N179" s="3"/>
      <c r="O179" s="3">
        <v>7977.9709677419332</v>
      </c>
      <c r="P179" s="3">
        <v>3631.5683870967741</v>
      </c>
      <c r="Q179" s="3">
        <v>27545.129032258064</v>
      </c>
      <c r="R179" s="3">
        <v>235.54000000000002</v>
      </c>
    </row>
    <row r="180" spans="1:18">
      <c r="A180" s="2">
        <v>38200</v>
      </c>
      <c r="B180" s="4">
        <v>314.8590476190476</v>
      </c>
      <c r="C180" s="3">
        <v>951.58870967741927</v>
      </c>
      <c r="D180" s="3">
        <v>22255.347419354839</v>
      </c>
      <c r="E180" s="3">
        <v>1565.8974838709678</v>
      </c>
      <c r="F180" s="3"/>
      <c r="G180" s="3">
        <v>10047.436129032258</v>
      </c>
      <c r="H180" s="3">
        <v>514.60967741935474</v>
      </c>
      <c r="I180" s="3">
        <v>1359.7458064516129</v>
      </c>
      <c r="J180" s="3">
        <v>12477.001290322582</v>
      </c>
      <c r="K180" s="3">
        <v>10991.881290322586</v>
      </c>
      <c r="L180" s="3">
        <v>1088.0022580645159</v>
      </c>
      <c r="M180" s="3">
        <v>4385.032258064517</v>
      </c>
      <c r="N180" s="3"/>
      <c r="O180" s="3">
        <v>7743.3967741935494</v>
      </c>
      <c r="P180" s="3">
        <v>3566.3832258064526</v>
      </c>
      <c r="Q180" s="3">
        <v>26724.483870967742</v>
      </c>
      <c r="R180" s="3">
        <v>231.44774193548389</v>
      </c>
    </row>
    <row r="181" spans="1:18">
      <c r="A181" s="2">
        <v>38231</v>
      </c>
      <c r="B181" s="4">
        <v>376.27136363636362</v>
      </c>
      <c r="C181" s="3">
        <v>1045.173</v>
      </c>
      <c r="D181" s="3">
        <v>22668.131000000001</v>
      </c>
      <c r="E181" s="3">
        <v>1653.4836666666667</v>
      </c>
      <c r="F181" s="3"/>
      <c r="G181" s="3">
        <v>10666.392666666665</v>
      </c>
      <c r="H181" s="3">
        <v>577.33833333333325</v>
      </c>
      <c r="I181" s="3">
        <v>1368.1893333333335</v>
      </c>
      <c r="J181" s="3">
        <v>13089.697666666667</v>
      </c>
      <c r="K181" s="3">
        <v>11061.90133333333</v>
      </c>
      <c r="L181" s="3">
        <v>1117.8943333333334</v>
      </c>
      <c r="M181" s="3">
        <v>4562.2113333333346</v>
      </c>
      <c r="N181" s="3"/>
      <c r="O181" s="3">
        <v>8044.5666666666666</v>
      </c>
      <c r="P181" s="3">
        <v>3680.1956666666661</v>
      </c>
      <c r="Q181" s="3">
        <v>27766.266666666666</v>
      </c>
      <c r="R181" s="3">
        <v>238.76066666666659</v>
      </c>
    </row>
    <row r="182" spans="1:18">
      <c r="A182" s="2">
        <v>38261</v>
      </c>
      <c r="B182" s="4">
        <v>397.87549999999999</v>
      </c>
      <c r="C182" s="3">
        <v>1197.8903225806448</v>
      </c>
      <c r="D182" s="3">
        <v>23387.3870967742</v>
      </c>
      <c r="E182" s="3">
        <v>1725.0543225806448</v>
      </c>
      <c r="F182" s="3"/>
      <c r="G182" s="3">
        <v>11143.579677419355</v>
      </c>
      <c r="H182" s="3">
        <v>646.22548387096799</v>
      </c>
      <c r="I182" s="3">
        <v>1359.3153870967744</v>
      </c>
      <c r="J182" s="3">
        <v>13107.92258064516</v>
      </c>
      <c r="K182" s="3">
        <v>11016.112903225809</v>
      </c>
      <c r="L182" s="3">
        <v>1117.9032258064519</v>
      </c>
      <c r="M182" s="3">
        <v>4644.8522580645158</v>
      </c>
      <c r="N182" s="3"/>
      <c r="O182" s="3">
        <v>8312.7096774193542</v>
      </c>
      <c r="P182" s="3">
        <v>3702.4806451612908</v>
      </c>
      <c r="Q182" s="3">
        <v>28477.645161290322</v>
      </c>
      <c r="R182" s="3">
        <v>240.89516129032256</v>
      </c>
    </row>
    <row r="183" spans="1:18">
      <c r="A183" s="2">
        <v>38292</v>
      </c>
      <c r="B183" s="4">
        <v>450.99599999999998</v>
      </c>
      <c r="C183" s="3">
        <v>1253.5793103448277</v>
      </c>
      <c r="D183" s="3">
        <v>24048.421724137927</v>
      </c>
      <c r="E183" s="3">
        <v>1759.2416896551722</v>
      </c>
      <c r="F183" s="3"/>
      <c r="G183" s="3">
        <v>11901.523448275864</v>
      </c>
      <c r="H183" s="3">
        <v>614.18862068965507</v>
      </c>
      <c r="I183" s="3">
        <v>1344.6781034482756</v>
      </c>
      <c r="J183" s="3">
        <v>13718.07827586207</v>
      </c>
      <c r="K183" s="3">
        <v>10971.511724137932</v>
      </c>
      <c r="L183" s="3">
        <v>1170.7558620689654</v>
      </c>
      <c r="M183" s="3">
        <v>4746.5355172413783</v>
      </c>
      <c r="N183" s="3"/>
      <c r="O183" s="3">
        <v>8599.5241379310355</v>
      </c>
      <c r="P183" s="3">
        <v>3789.3382758620678</v>
      </c>
      <c r="Q183" s="3">
        <v>29550</v>
      </c>
      <c r="R183" s="3">
        <v>246.935172413793</v>
      </c>
    </row>
    <row r="184" spans="1:18">
      <c r="A184" s="2">
        <v>38322</v>
      </c>
      <c r="B184" s="4">
        <v>456.32095238095229</v>
      </c>
      <c r="C184" s="3">
        <v>1279.5690322580645</v>
      </c>
      <c r="D184" s="3">
        <v>25554.736774193545</v>
      </c>
      <c r="E184" s="3">
        <v>1799.3984838709673</v>
      </c>
      <c r="F184" s="3"/>
      <c r="G184" s="3">
        <v>12482.998064516132</v>
      </c>
      <c r="H184" s="3">
        <v>528.01129032258075</v>
      </c>
      <c r="I184" s="3">
        <v>1304.4503225806454</v>
      </c>
      <c r="J184" s="3">
        <v>14119.9135483871</v>
      </c>
      <c r="K184" s="3">
        <v>11081.832903225806</v>
      </c>
      <c r="L184" s="3">
        <v>1198.7032258064519</v>
      </c>
      <c r="M184" s="3">
        <v>4746.5625806451608</v>
      </c>
      <c r="N184" s="3"/>
      <c r="O184" s="3">
        <v>8911.2516129032265</v>
      </c>
      <c r="P184" s="3">
        <v>3792.1616129032245</v>
      </c>
      <c r="Q184" s="3">
        <v>30415.806451612902</v>
      </c>
      <c r="R184" s="3">
        <v>249.91419354838709</v>
      </c>
    </row>
    <row r="185" spans="1:18">
      <c r="A185" s="2">
        <v>38353</v>
      </c>
      <c r="B185" s="4">
        <v>465.4665</v>
      </c>
      <c r="C185" s="3">
        <v>1343.1973333333333</v>
      </c>
      <c r="D185" s="3">
        <v>24544.832333333328</v>
      </c>
      <c r="E185" s="3">
        <v>1763.0116</v>
      </c>
      <c r="F185" s="3"/>
      <c r="G185" s="3">
        <v>12756.361000000003</v>
      </c>
      <c r="H185" s="3">
        <v>551.38533333333339</v>
      </c>
      <c r="I185" s="3">
        <v>1239.0696333333333</v>
      </c>
      <c r="J185" s="3">
        <v>13663.793</v>
      </c>
      <c r="K185" s="3">
        <v>11400.812000000004</v>
      </c>
      <c r="L185" s="3">
        <v>1182.951</v>
      </c>
      <c r="M185" s="3">
        <v>4826.3779999999997</v>
      </c>
      <c r="N185" s="3"/>
      <c r="O185" s="3">
        <v>9057.7233333333334</v>
      </c>
      <c r="P185" s="3">
        <v>3860.829333333334</v>
      </c>
      <c r="Q185" s="3">
        <v>31058.5</v>
      </c>
      <c r="R185" s="3">
        <v>253.71566666666661</v>
      </c>
    </row>
    <row r="186" spans="1:18">
      <c r="A186" s="2">
        <v>38384</v>
      </c>
      <c r="B186" s="4">
        <v>513.52850000000001</v>
      </c>
      <c r="C186" s="3">
        <v>1501.1499999999999</v>
      </c>
      <c r="D186" s="3">
        <v>26591.31214285715</v>
      </c>
      <c r="E186" s="3">
        <v>1838.0625000000002</v>
      </c>
      <c r="F186" s="3"/>
      <c r="G186" s="3">
        <v>13605.148214285718</v>
      </c>
      <c r="H186" s="3">
        <v>599.27392857142866</v>
      </c>
      <c r="I186" s="3">
        <v>1275.0080714285718</v>
      </c>
      <c r="J186" s="3">
        <v>13907.903571428575</v>
      </c>
      <c r="K186" s="3">
        <v>11549.243928571426</v>
      </c>
      <c r="L186" s="3">
        <v>1201.3242857142855</v>
      </c>
      <c r="M186" s="3">
        <v>5002.8275000000003</v>
      </c>
      <c r="N186" s="3"/>
      <c r="O186" s="3">
        <v>9466.8678571428591</v>
      </c>
      <c r="P186" s="3">
        <v>3996.4857142857154</v>
      </c>
      <c r="Q186" s="3">
        <v>31921.75</v>
      </c>
      <c r="R186" s="3">
        <v>263.91071428571439</v>
      </c>
    </row>
    <row r="187" spans="1:18">
      <c r="A187" s="2">
        <v>38412</v>
      </c>
      <c r="B187" s="4">
        <v>508.82800000000009</v>
      </c>
      <c r="C187" s="3">
        <v>1454.9199999999996</v>
      </c>
      <c r="D187" s="3">
        <v>27697.318064516134</v>
      </c>
      <c r="E187" s="3">
        <v>1929.5979032258069</v>
      </c>
      <c r="F187" s="3"/>
      <c r="G187" s="3">
        <v>13269.994838709676</v>
      </c>
      <c r="H187" s="3">
        <v>601.34225806451616</v>
      </c>
      <c r="I187" s="3">
        <v>1251.3151290322576</v>
      </c>
      <c r="J187" s="3">
        <v>13759.169032258056</v>
      </c>
      <c r="K187" s="3">
        <v>11824.579354838706</v>
      </c>
      <c r="L187" s="3">
        <v>1194.3777419354835</v>
      </c>
      <c r="M187" s="3">
        <v>4960.383870967742</v>
      </c>
      <c r="N187" s="3"/>
      <c r="O187" s="3">
        <v>9347.1354838709649</v>
      </c>
      <c r="P187" s="3">
        <v>4062.8341935483872</v>
      </c>
      <c r="Q187" s="3">
        <v>31961.903225806451</v>
      </c>
      <c r="R187" s="3">
        <v>263.49741935483871</v>
      </c>
    </row>
    <row r="188" spans="1:18">
      <c r="A188" s="2">
        <v>38443</v>
      </c>
      <c r="B188" s="4">
        <v>505.20523809523814</v>
      </c>
      <c r="C188" s="3">
        <v>1364.3446666666666</v>
      </c>
      <c r="D188" s="3">
        <v>25477.379333333331</v>
      </c>
      <c r="E188" s="3">
        <v>1974.4781999999998</v>
      </c>
      <c r="F188" s="3"/>
      <c r="G188" s="3">
        <v>12288.73233333333</v>
      </c>
      <c r="H188" s="3">
        <v>609.24600000000021</v>
      </c>
      <c r="I188" s="3">
        <v>1202.2217333333333</v>
      </c>
      <c r="J188" s="3">
        <v>13654.253666666662</v>
      </c>
      <c r="K188" s="3">
        <v>11398.689333333337</v>
      </c>
      <c r="L188" s="3">
        <v>1163.5819999999997</v>
      </c>
      <c r="M188" s="3">
        <v>4890.7723333333324</v>
      </c>
      <c r="N188" s="3"/>
      <c r="O188" s="3">
        <v>9190.213333333335</v>
      </c>
      <c r="P188" s="3">
        <v>4030.8726666666657</v>
      </c>
      <c r="Q188" s="3">
        <v>31894.400000000001</v>
      </c>
      <c r="R188" s="3">
        <v>261.74200000000002</v>
      </c>
    </row>
    <row r="189" spans="1:18">
      <c r="A189" s="2">
        <v>38473</v>
      </c>
      <c r="B189" s="4">
        <v>510.02649999999994</v>
      </c>
      <c r="C189" s="3">
        <v>1435.4970967741933</v>
      </c>
      <c r="D189" s="3">
        <v>24801.543548387097</v>
      </c>
      <c r="E189" s="3">
        <v>1962.86529032258</v>
      </c>
      <c r="F189" s="3"/>
      <c r="G189" s="3">
        <v>12711.927096774198</v>
      </c>
      <c r="H189" s="3">
        <v>591.52064516129042</v>
      </c>
      <c r="I189" s="3">
        <v>1107.8224838709675</v>
      </c>
      <c r="J189" s="3">
        <v>13833.921935483871</v>
      </c>
      <c r="K189" s="3">
        <v>11081.362258064519</v>
      </c>
      <c r="L189" s="3">
        <v>1178.2690322580643</v>
      </c>
      <c r="M189" s="3">
        <v>4925.6341935483861</v>
      </c>
      <c r="N189" s="3"/>
      <c r="O189" s="3">
        <v>9283.4903225806447</v>
      </c>
      <c r="P189" s="3">
        <v>4050.2248387096761</v>
      </c>
      <c r="Q189" s="3">
        <v>31450.580645161292</v>
      </c>
      <c r="R189" s="3">
        <v>262.08193548387106</v>
      </c>
    </row>
    <row r="190" spans="1:18">
      <c r="A190" s="2">
        <v>38504</v>
      </c>
      <c r="B190" s="4">
        <v>543.1738095238095</v>
      </c>
      <c r="C190" s="3">
        <v>1453.8690000000001</v>
      </c>
      <c r="D190" s="3">
        <v>25471.284000000003</v>
      </c>
      <c r="E190" s="3">
        <v>2039.2014999999997</v>
      </c>
      <c r="F190" s="3"/>
      <c r="G190" s="3">
        <v>13366.327000000001</v>
      </c>
      <c r="H190" s="3">
        <v>618.88099999999997</v>
      </c>
      <c r="I190" s="3">
        <v>1082.8682666666668</v>
      </c>
      <c r="J190" s="3">
        <v>13989.733333333332</v>
      </c>
      <c r="K190" s="3">
        <v>11405.703000000005</v>
      </c>
      <c r="L190" s="3">
        <v>1201.8313333333333</v>
      </c>
      <c r="M190" s="3">
        <v>5049.3066666666673</v>
      </c>
      <c r="N190" s="3"/>
      <c r="O190" s="3">
        <v>9614.0433333333331</v>
      </c>
      <c r="P190" s="3">
        <v>4192.8473333333332</v>
      </c>
      <c r="Q190" s="3">
        <v>32286</v>
      </c>
      <c r="R190" s="3">
        <v>274.21033333333332</v>
      </c>
    </row>
    <row r="191" spans="1:18">
      <c r="A191" s="2">
        <v>38534</v>
      </c>
      <c r="B191" s="4">
        <v>610.39473684210532</v>
      </c>
      <c r="C191" s="3">
        <v>1441.9299999999998</v>
      </c>
      <c r="D191" s="3">
        <v>25262.129999999997</v>
      </c>
      <c r="E191" s="3">
        <v>2107.332967741936</v>
      </c>
      <c r="F191" s="3"/>
      <c r="G191" s="3">
        <v>14006.248064516125</v>
      </c>
      <c r="H191" s="3">
        <v>680.86387096774206</v>
      </c>
      <c r="I191" s="3">
        <v>1043.350677419355</v>
      </c>
      <c r="J191" s="3">
        <v>14455.965806451615</v>
      </c>
      <c r="K191" s="3">
        <v>11715.964516129032</v>
      </c>
      <c r="L191" s="3">
        <v>1220.7529032258067</v>
      </c>
      <c r="M191" s="3">
        <v>5228.5545161290329</v>
      </c>
      <c r="N191" s="3"/>
      <c r="O191" s="3">
        <v>9940.835483870962</v>
      </c>
      <c r="P191" s="3">
        <v>4360.3451612903227</v>
      </c>
      <c r="Q191" s="3">
        <v>33158.870967741932</v>
      </c>
      <c r="R191" s="3">
        <v>280.81677419354838</v>
      </c>
    </row>
    <row r="192" spans="1:18">
      <c r="A192" s="2">
        <v>38565</v>
      </c>
      <c r="B192" s="4">
        <v>703.51863636363623</v>
      </c>
      <c r="C192" s="3">
        <v>1519.9290322580648</v>
      </c>
      <c r="D192" s="3">
        <v>26954.603870967738</v>
      </c>
      <c r="E192" s="3">
        <v>2128.8989999999999</v>
      </c>
      <c r="F192" s="3"/>
      <c r="G192" s="3">
        <v>14576.278709677419</v>
      </c>
      <c r="H192" s="3">
        <v>737.24967741935473</v>
      </c>
      <c r="I192" s="3">
        <v>1152.1399354838713</v>
      </c>
      <c r="J192" s="3">
        <v>15128.750322580643</v>
      </c>
      <c r="K192" s="3">
        <v>12201.070322580641</v>
      </c>
      <c r="L192" s="3">
        <v>1223.2725806451615</v>
      </c>
      <c r="M192" s="3">
        <v>5305.5745161290324</v>
      </c>
      <c r="N192" s="3"/>
      <c r="O192" s="3">
        <v>10083.790322580646</v>
      </c>
      <c r="P192" s="3">
        <v>4441.725161290321</v>
      </c>
      <c r="Q192" s="3">
        <v>33552.451612903227</v>
      </c>
      <c r="R192" s="3">
        <v>286.00903225806445</v>
      </c>
    </row>
    <row r="193" spans="1:18">
      <c r="A193" s="2">
        <v>38596</v>
      </c>
      <c r="B193" s="4">
        <v>699.10363636363638</v>
      </c>
      <c r="C193" s="3">
        <v>1631.8268965517238</v>
      </c>
      <c r="D193" s="3">
        <v>29727.296206896546</v>
      </c>
      <c r="E193" s="3">
        <v>2115.9669999999996</v>
      </c>
      <c r="F193" s="3"/>
      <c r="G193" s="3">
        <v>15350.361379310349</v>
      </c>
      <c r="H193" s="3">
        <v>821.18206896551715</v>
      </c>
      <c r="I193" s="3">
        <v>1184.9545172413796</v>
      </c>
      <c r="J193" s="3">
        <v>15168.815862068965</v>
      </c>
      <c r="K193" s="3">
        <v>12943.667241379306</v>
      </c>
      <c r="L193" s="3">
        <v>1226.6324137931035</v>
      </c>
      <c r="M193" s="3">
        <v>5387.5199999999995</v>
      </c>
      <c r="N193" s="3"/>
      <c r="O193" s="3">
        <v>10488.831034482761</v>
      </c>
      <c r="P193" s="3">
        <v>4489.4017241379315</v>
      </c>
      <c r="Q193" s="3">
        <v>34271.827586206899</v>
      </c>
      <c r="R193" s="3">
        <v>292.24413793103452</v>
      </c>
    </row>
    <row r="194" spans="1:18">
      <c r="A194" s="2">
        <v>38626</v>
      </c>
      <c r="B194" s="4">
        <v>713.20350000000008</v>
      </c>
      <c r="C194" s="3">
        <v>1622.8261290322575</v>
      </c>
      <c r="D194" s="3">
        <v>29907.59516129033</v>
      </c>
      <c r="E194" s="3">
        <v>2125.6259032258063</v>
      </c>
      <c r="F194" s="3"/>
      <c r="G194" s="3">
        <v>15370.681612903225</v>
      </c>
      <c r="H194" s="3">
        <v>838.72677419354829</v>
      </c>
      <c r="I194" s="3">
        <v>1135.1711612903225</v>
      </c>
      <c r="J194" s="3">
        <v>14668.18258064516</v>
      </c>
      <c r="K194" s="3">
        <v>13374.894838709677</v>
      </c>
      <c r="L194" s="3">
        <v>1193.8648387096778</v>
      </c>
      <c r="M194" s="3">
        <v>5293.3093548387096</v>
      </c>
      <c r="N194" s="3"/>
      <c r="O194" s="3">
        <v>10592.338709677415</v>
      </c>
      <c r="P194" s="3">
        <v>4467.999354838712</v>
      </c>
      <c r="Q194" s="3">
        <v>33195.419354838712</v>
      </c>
      <c r="R194" s="3">
        <v>289.46225806451611</v>
      </c>
    </row>
    <row r="195" spans="1:18">
      <c r="A195" s="2">
        <v>38657</v>
      </c>
      <c r="B195" s="4">
        <v>823.08899999999994</v>
      </c>
      <c r="C195" s="3">
        <v>1610.0437931034476</v>
      </c>
      <c r="D195" s="3">
        <v>31103.64724137932</v>
      </c>
      <c r="E195" s="3">
        <v>2046.1103448275853</v>
      </c>
      <c r="F195" s="3"/>
      <c r="G195" s="3">
        <v>16373.321379310346</v>
      </c>
      <c r="H195" s="3">
        <v>906.84344827586222</v>
      </c>
      <c r="I195" s="3">
        <v>1102.6147586206896</v>
      </c>
      <c r="J195" s="3">
        <v>14784.076896551724</v>
      </c>
      <c r="K195" s="3">
        <v>14385.002413793103</v>
      </c>
      <c r="L195" s="3">
        <v>1240.4472413793103</v>
      </c>
      <c r="M195" s="3">
        <v>5464.8068965517241</v>
      </c>
      <c r="N195" s="3"/>
      <c r="O195" s="3">
        <v>10513.913793103447</v>
      </c>
      <c r="P195" s="3">
        <v>4539.0158620689635</v>
      </c>
      <c r="Q195" s="3">
        <v>33816.689655172413</v>
      </c>
      <c r="R195" s="3">
        <v>298.66931034482758</v>
      </c>
    </row>
    <row r="196" spans="1:18">
      <c r="A196" s="2">
        <v>38687</v>
      </c>
      <c r="B196" s="4">
        <v>907.50150000000008</v>
      </c>
      <c r="C196" s="3">
        <v>1530.8535483870969</v>
      </c>
      <c r="D196" s="3">
        <v>33141.926451612897</v>
      </c>
      <c r="E196" s="3">
        <v>1989.0700967741936</v>
      </c>
      <c r="F196" s="3"/>
      <c r="G196" s="3">
        <v>17613.142580645166</v>
      </c>
      <c r="H196" s="3">
        <v>999.4667741935483</v>
      </c>
      <c r="I196" s="3">
        <v>1125.2087419354843</v>
      </c>
      <c r="J196" s="3">
        <v>15070.64096774194</v>
      </c>
      <c r="K196" s="3">
        <v>15632.273548387095</v>
      </c>
      <c r="L196" s="3">
        <v>1262.6232258064513</v>
      </c>
      <c r="M196" s="3">
        <v>5551.6054838709706</v>
      </c>
      <c r="N196" s="3"/>
      <c r="O196" s="3">
        <v>10614.951612903225</v>
      </c>
      <c r="P196" s="3">
        <v>4701.818064516131</v>
      </c>
      <c r="Q196" s="3">
        <v>35247.290322580644</v>
      </c>
      <c r="R196" s="3">
        <v>307.99419354838722</v>
      </c>
    </row>
    <row r="197" spans="1:18">
      <c r="A197" s="2">
        <v>38718</v>
      </c>
      <c r="B197" s="4">
        <v>1048.4665</v>
      </c>
      <c r="C197" s="3">
        <v>1664.6332258064522</v>
      </c>
      <c r="D197" s="3">
        <v>36213.364838709676</v>
      </c>
      <c r="E197" s="3">
        <v>2060.6022258064527</v>
      </c>
      <c r="F197" s="3"/>
      <c r="G197" s="3">
        <v>18699.573225806449</v>
      </c>
      <c r="H197" s="3">
        <v>1111.9590322580643</v>
      </c>
      <c r="I197" s="3">
        <v>1225.9485161290327</v>
      </c>
      <c r="J197" s="3">
        <v>15527.32032258065</v>
      </c>
      <c r="K197" s="3">
        <v>16144.134838709679</v>
      </c>
      <c r="L197" s="3">
        <v>1277.2641935483873</v>
      </c>
      <c r="M197" s="3">
        <v>5708.891290322581</v>
      </c>
      <c r="N197" s="3"/>
      <c r="O197" s="3">
        <v>10869.561290322581</v>
      </c>
      <c r="P197" s="3">
        <v>4841.4125806451602</v>
      </c>
      <c r="Q197" s="3">
        <v>36227.806451612902</v>
      </c>
      <c r="R197" s="3">
        <v>315.95258064516128</v>
      </c>
    </row>
    <row r="198" spans="1:18">
      <c r="A198" s="2">
        <v>38749</v>
      </c>
      <c r="B198" s="4">
        <v>1081.3045000000002</v>
      </c>
      <c r="C198" s="3">
        <v>1708.1928571428575</v>
      </c>
      <c r="D198" s="3">
        <v>37702.701428571432</v>
      </c>
      <c r="E198" s="3">
        <v>2128.3436428571431</v>
      </c>
      <c r="F198" s="3"/>
      <c r="G198" s="3">
        <v>18640.643928571433</v>
      </c>
      <c r="H198" s="3">
        <v>1265.5103571428572</v>
      </c>
      <c r="I198" s="3">
        <v>1279.3309642857146</v>
      </c>
      <c r="J198" s="3">
        <v>15571.331071428571</v>
      </c>
      <c r="K198" s="3">
        <v>16186.371071428568</v>
      </c>
      <c r="L198" s="3">
        <v>1277.1028571428576</v>
      </c>
      <c r="M198" s="3">
        <v>5806.955357142856</v>
      </c>
      <c r="N198" s="3"/>
      <c r="O198" s="3">
        <v>11443.332142857145</v>
      </c>
      <c r="P198" s="3">
        <v>4977.7067857142856</v>
      </c>
      <c r="Q198" s="3">
        <v>37213.428571428572</v>
      </c>
      <c r="R198" s="3">
        <v>325.85357142857146</v>
      </c>
    </row>
    <row r="199" spans="1:18">
      <c r="A199" s="2">
        <v>38777</v>
      </c>
      <c r="B199" s="4">
        <v>1105.9095454545457</v>
      </c>
      <c r="C199" s="3">
        <v>1795.0341935483877</v>
      </c>
      <c r="D199" s="3">
        <v>37811.491935483878</v>
      </c>
      <c r="E199" s="3">
        <v>2158.9569354838704</v>
      </c>
      <c r="F199" s="3"/>
      <c r="G199" s="3">
        <v>19061.333548387091</v>
      </c>
      <c r="H199" s="3">
        <v>1284.1190322580646</v>
      </c>
      <c r="I199" s="3">
        <v>1280.1613870967742</v>
      </c>
      <c r="J199" s="3">
        <v>15719.18258064516</v>
      </c>
      <c r="K199" s="3">
        <v>16285.091290322576</v>
      </c>
      <c r="L199" s="3">
        <v>1294.0012903225809</v>
      </c>
      <c r="M199" s="3">
        <v>5941.8364516129022</v>
      </c>
      <c r="N199" s="3"/>
      <c r="O199" s="3">
        <v>11832.980645161291</v>
      </c>
      <c r="P199" s="3">
        <v>5110.014193548388</v>
      </c>
      <c r="Q199" s="3">
        <v>37979.741935483871</v>
      </c>
      <c r="R199" s="3">
        <v>332.53290322580642</v>
      </c>
    </row>
    <row r="200" spans="1:18">
      <c r="A200" s="2">
        <v>38808</v>
      </c>
      <c r="B200" s="4">
        <v>1122.537777777778</v>
      </c>
      <c r="C200" s="3">
        <v>1871.0123333333336</v>
      </c>
      <c r="D200" s="3">
        <v>39116.166999999987</v>
      </c>
      <c r="E200" s="3">
        <v>2181.221066666667</v>
      </c>
      <c r="F200" s="3"/>
      <c r="G200" s="3">
        <v>19837.731666666663</v>
      </c>
      <c r="H200" s="3">
        <v>1412.5479999999998</v>
      </c>
      <c r="I200" s="3">
        <v>1373.6059666666667</v>
      </c>
      <c r="J200" s="3">
        <v>16499.583333333336</v>
      </c>
      <c r="K200" s="3">
        <v>17233.114333333331</v>
      </c>
      <c r="L200" s="3">
        <v>1301.1096666666667</v>
      </c>
      <c r="M200" s="3">
        <v>6046.3330000000005</v>
      </c>
      <c r="N200" s="3"/>
      <c r="O200" s="3">
        <v>11802.773333333329</v>
      </c>
      <c r="P200" s="3">
        <v>5182.6003333333319</v>
      </c>
      <c r="Q200" s="3">
        <v>38018.800000000003</v>
      </c>
      <c r="R200" s="3">
        <v>336.65099999999995</v>
      </c>
    </row>
    <row r="201" spans="1:18">
      <c r="A201" s="2">
        <v>38838</v>
      </c>
      <c r="B201" s="4">
        <v>986.68857142857144</v>
      </c>
      <c r="C201" s="3">
        <v>1752.6712903225812</v>
      </c>
      <c r="D201" s="3">
        <v>39199.525161290316</v>
      </c>
      <c r="E201" s="3">
        <v>2182.9754838709673</v>
      </c>
      <c r="F201" s="3"/>
      <c r="G201" s="3">
        <v>20420.74806451613</v>
      </c>
      <c r="H201" s="3">
        <v>1407.2770967741933</v>
      </c>
      <c r="I201" s="3">
        <v>1572.0382258064515</v>
      </c>
      <c r="J201" s="3">
        <v>16491.590322580643</v>
      </c>
      <c r="K201" s="3">
        <v>16440.955161290323</v>
      </c>
      <c r="L201" s="3">
        <v>1289.9529032258065</v>
      </c>
      <c r="M201" s="3">
        <v>5854.3383870967737</v>
      </c>
      <c r="N201" s="3"/>
      <c r="O201" s="3">
        <v>11581.532258064517</v>
      </c>
      <c r="P201" s="3">
        <v>5085.5496774193552</v>
      </c>
      <c r="Q201" s="3">
        <v>37259.93548387097</v>
      </c>
      <c r="R201" s="3">
        <v>328.60677419354846</v>
      </c>
    </row>
    <row r="202" spans="1:18">
      <c r="A202" s="2">
        <v>38869</v>
      </c>
      <c r="B202" s="4">
        <v>763.93299999999988</v>
      </c>
      <c r="C202" s="3">
        <v>1605.8180000000004</v>
      </c>
      <c r="D202" s="3">
        <v>35120.51633333334</v>
      </c>
      <c r="E202" s="3">
        <v>2086.6367333333333</v>
      </c>
      <c r="F202" s="3"/>
      <c r="G202" s="3">
        <v>18252.623333333333</v>
      </c>
      <c r="H202" s="3">
        <v>1233.7476666666662</v>
      </c>
      <c r="I202" s="3">
        <v>1607.5792666666671</v>
      </c>
      <c r="J202" s="3">
        <v>15744.586999999998</v>
      </c>
      <c r="K202" s="3">
        <v>15029.127666666665</v>
      </c>
      <c r="L202" s="3">
        <v>1254.7263333333333</v>
      </c>
      <c r="M202" s="3">
        <v>5670.5330000000004</v>
      </c>
      <c r="N202" s="3"/>
      <c r="O202" s="3">
        <v>11163.499999999996</v>
      </c>
      <c r="P202" s="3">
        <v>4794.7626666666665</v>
      </c>
      <c r="Q202" s="3">
        <v>35718.566666666666</v>
      </c>
      <c r="R202" s="3">
        <v>312.24433333333337</v>
      </c>
    </row>
    <row r="203" spans="1:18">
      <c r="A203" s="2">
        <v>38899</v>
      </c>
      <c r="B203" s="4">
        <v>834.8363157894737</v>
      </c>
      <c r="C203" s="3">
        <v>1677.7590322580645</v>
      </c>
      <c r="D203" s="3">
        <v>36267.675806451618</v>
      </c>
      <c r="E203" s="3">
        <v>2101.0566774193549</v>
      </c>
      <c r="F203" s="3"/>
      <c r="G203" s="3">
        <v>19559.689999999995</v>
      </c>
      <c r="H203" s="3">
        <v>1344.6022580645158</v>
      </c>
      <c r="I203" s="3">
        <v>1684.5430967741941</v>
      </c>
      <c r="J203" s="3">
        <v>16456.565483870963</v>
      </c>
      <c r="K203" s="3">
        <v>15143.246451612906</v>
      </c>
      <c r="L203" s="3">
        <v>1260.2070967741943</v>
      </c>
      <c r="M203" s="3">
        <v>5830.8445161290329</v>
      </c>
      <c r="N203" s="3"/>
      <c r="O203" s="3">
        <v>11528.906451612907</v>
      </c>
      <c r="P203" s="3">
        <v>4910.2532258064521</v>
      </c>
      <c r="Q203" s="3">
        <v>36139.096774193546</v>
      </c>
      <c r="R203" s="3">
        <v>319.32483870967746</v>
      </c>
    </row>
    <row r="204" spans="1:18">
      <c r="A204" s="2">
        <v>38930</v>
      </c>
      <c r="B204" s="4">
        <v>931.41952380952375</v>
      </c>
      <c r="C204" s="3">
        <v>1657.5106451612899</v>
      </c>
      <c r="D204" s="3">
        <v>36962.941935483868</v>
      </c>
      <c r="E204" s="3">
        <v>2155.7302903225809</v>
      </c>
      <c r="F204" s="3"/>
      <c r="G204" s="3">
        <v>20651.536451612898</v>
      </c>
      <c r="H204" s="3">
        <v>1446.5522580645165</v>
      </c>
      <c r="I204" s="3">
        <v>1605.094258064516</v>
      </c>
      <c r="J204" s="3">
        <v>17130.144516129036</v>
      </c>
      <c r="K204" s="3">
        <v>15784.309677419351</v>
      </c>
      <c r="L204" s="3">
        <v>1286.8212903225801</v>
      </c>
      <c r="M204" s="3">
        <v>5876.5032258064521</v>
      </c>
      <c r="N204" s="3"/>
      <c r="O204" s="3">
        <v>11967.599999999999</v>
      </c>
      <c r="P204" s="3">
        <v>5072.0464516129041</v>
      </c>
      <c r="Q204" s="3">
        <v>37183.096774193546</v>
      </c>
      <c r="R204" s="3">
        <v>328.99677419354845</v>
      </c>
    </row>
    <row r="205" spans="1:18">
      <c r="A205" s="2">
        <v>38961</v>
      </c>
      <c r="B205" s="4">
        <v>897.82190476190453</v>
      </c>
      <c r="C205" s="3">
        <v>1643.6962068965513</v>
      </c>
      <c r="D205" s="3">
        <v>36260.388275862075</v>
      </c>
      <c r="E205" s="3">
        <v>2226.4807586206898</v>
      </c>
      <c r="F205" s="3"/>
      <c r="G205" s="3">
        <v>21372.78448275862</v>
      </c>
      <c r="H205" s="3">
        <v>1379.01724137931</v>
      </c>
      <c r="I205" s="3">
        <v>1699.177068965517</v>
      </c>
      <c r="J205" s="3">
        <v>17351.963448275867</v>
      </c>
      <c r="K205" s="3">
        <v>15947.386206896548</v>
      </c>
      <c r="L205" s="3">
        <v>1316.4603448275857</v>
      </c>
      <c r="M205" s="3">
        <v>5896.9706896551716</v>
      </c>
      <c r="N205" s="3"/>
      <c r="O205" s="3">
        <v>12340.696551724137</v>
      </c>
      <c r="P205" s="3">
        <v>5155.537241379312</v>
      </c>
      <c r="Q205" s="3">
        <v>38012.620689655174</v>
      </c>
      <c r="R205" s="3">
        <v>335.74103448275861</v>
      </c>
    </row>
    <row r="206" spans="1:18">
      <c r="A206" s="2">
        <v>38991</v>
      </c>
      <c r="B206" s="4">
        <v>948.5238095238094</v>
      </c>
      <c r="C206" s="3">
        <v>1690.9696774193549</v>
      </c>
      <c r="D206" s="3">
        <v>38564.217096774191</v>
      </c>
      <c r="E206" s="3">
        <v>2346.8707419354846</v>
      </c>
      <c r="F206" s="3"/>
      <c r="G206" s="3">
        <v>22703.200967741926</v>
      </c>
      <c r="H206" s="3">
        <v>1415.5048387096776</v>
      </c>
      <c r="I206" s="3">
        <v>1782.2149354838712</v>
      </c>
      <c r="J206" s="3">
        <v>17993.913548387096</v>
      </c>
      <c r="K206" s="3">
        <v>16518.018387096778</v>
      </c>
      <c r="L206" s="3">
        <v>1362.9867741935479</v>
      </c>
      <c r="M206" s="3">
        <v>6101.2964516129041</v>
      </c>
      <c r="N206" s="3"/>
      <c r="O206" s="3">
        <v>13388.612903225805</v>
      </c>
      <c r="P206" s="3">
        <v>5339.245806451614</v>
      </c>
      <c r="Q206" s="3">
        <v>39242.806451612902</v>
      </c>
      <c r="R206" s="3">
        <v>350.30290322580635</v>
      </c>
    </row>
    <row r="207" spans="1:18">
      <c r="A207" s="2">
        <v>39022</v>
      </c>
      <c r="B207" s="4">
        <v>989.02750000000015</v>
      </c>
      <c r="C207" s="3">
        <v>1892.1619999999996</v>
      </c>
      <c r="D207" s="3">
        <v>41097.425000000003</v>
      </c>
      <c r="E207" s="3">
        <v>2466.7831333333329</v>
      </c>
      <c r="F207" s="3"/>
      <c r="G207" s="3">
        <v>24112.57133333333</v>
      </c>
      <c r="H207" s="3">
        <v>1496.9363333333329</v>
      </c>
      <c r="I207" s="3">
        <v>1952.5839000000003</v>
      </c>
      <c r="J207" s="3">
        <v>18970.597666666672</v>
      </c>
      <c r="K207" s="3">
        <v>16095.439666666663</v>
      </c>
      <c r="L207" s="3">
        <v>1388.7353333333333</v>
      </c>
      <c r="M207" s="3">
        <v>6167.7309999999998</v>
      </c>
      <c r="N207" s="3"/>
      <c r="O207" s="3">
        <v>14030.536666666661</v>
      </c>
      <c r="P207" s="3">
        <v>5411.5016666666679</v>
      </c>
      <c r="Q207" s="3">
        <v>40403.566666666666</v>
      </c>
      <c r="R207" s="3">
        <v>356.93500000000006</v>
      </c>
    </row>
    <row r="208" spans="1:18">
      <c r="A208" s="2">
        <v>39052</v>
      </c>
      <c r="B208" s="4">
        <v>1029.1044444444442</v>
      </c>
      <c r="C208" s="3">
        <v>2018.9803333333332</v>
      </c>
      <c r="D208" s="3">
        <v>43261.067333333332</v>
      </c>
      <c r="E208" s="3">
        <v>2642.0956666666661</v>
      </c>
      <c r="F208" s="3"/>
      <c r="G208" s="3">
        <v>25664.712</v>
      </c>
      <c r="H208" s="3">
        <v>1614.9083333333338</v>
      </c>
      <c r="I208" s="3">
        <v>2291.4421666666672</v>
      </c>
      <c r="J208" s="3">
        <v>19116.339</v>
      </c>
      <c r="K208" s="3">
        <v>16777.935333333338</v>
      </c>
      <c r="L208" s="3">
        <v>1414.8753333333336</v>
      </c>
      <c r="M208" s="3">
        <v>6170.2866666666678</v>
      </c>
      <c r="N208" s="3"/>
      <c r="O208" s="3">
        <v>14108.083333333334</v>
      </c>
      <c r="P208" s="3">
        <v>5441.0460000000003</v>
      </c>
      <c r="Q208" s="3">
        <v>40891.666666666664</v>
      </c>
      <c r="R208" s="3">
        <v>360.28966666666673</v>
      </c>
    </row>
    <row r="209" spans="1:18">
      <c r="A209" s="2">
        <v>39083</v>
      </c>
      <c r="B209" s="4">
        <v>1018.5109523809522</v>
      </c>
      <c r="C209" s="3">
        <v>2058.0841935483868</v>
      </c>
      <c r="D209" s="3">
        <v>43478.210000000006</v>
      </c>
      <c r="E209" s="3">
        <v>2781.924354838709</v>
      </c>
      <c r="F209" s="3"/>
      <c r="G209" s="3">
        <v>26525.694838709675</v>
      </c>
      <c r="H209" s="3">
        <v>1646.4929032258065</v>
      </c>
      <c r="I209" s="3">
        <v>2788.8401935483885</v>
      </c>
      <c r="J209" s="3">
        <v>20166.802903225805</v>
      </c>
      <c r="K209" s="3">
        <v>17257.13483870968</v>
      </c>
      <c r="L209" s="3">
        <v>1423.7674193548387</v>
      </c>
      <c r="M209" s="3">
        <v>6235.5067741935491</v>
      </c>
      <c r="N209" s="3"/>
      <c r="O209" s="3">
        <v>14372.845161290328</v>
      </c>
      <c r="P209" s="3">
        <v>5584.4967741935461</v>
      </c>
      <c r="Q209" s="3">
        <v>41985.612903225803</v>
      </c>
      <c r="R209" s="3">
        <v>370.90903225806443</v>
      </c>
    </row>
    <row r="210" spans="1:18">
      <c r="A210" s="2">
        <v>39114</v>
      </c>
      <c r="B210" s="4">
        <v>1019.6390000000001</v>
      </c>
      <c r="C210" s="3">
        <v>2131.176071428571</v>
      </c>
      <c r="D210" s="3">
        <v>45247.946428571435</v>
      </c>
      <c r="E210" s="3">
        <v>2980.8153928571437</v>
      </c>
      <c r="F210" s="3"/>
      <c r="G210" s="3">
        <v>28129.429285714283</v>
      </c>
      <c r="H210" s="3">
        <v>1700.2171428571432</v>
      </c>
      <c r="I210" s="3">
        <v>2855.4898928571433</v>
      </c>
      <c r="J210" s="3">
        <v>20532.007499999996</v>
      </c>
      <c r="K210" s="3">
        <v>17743.526428571429</v>
      </c>
      <c r="L210" s="3">
        <v>1446.178571428572</v>
      </c>
      <c r="M210" s="3">
        <v>6367.2632142857128</v>
      </c>
      <c r="N210" s="3"/>
      <c r="O210" s="3">
        <v>14757.78571428571</v>
      </c>
      <c r="P210" s="3">
        <v>5688.7064285714287</v>
      </c>
      <c r="Q210" s="3">
        <v>42579.178571428572</v>
      </c>
      <c r="R210" s="3">
        <v>379.1853571428573</v>
      </c>
    </row>
    <row r="211" spans="1:18">
      <c r="A211" s="2">
        <v>39142</v>
      </c>
      <c r="B211" s="4">
        <v>986.26714285714274</v>
      </c>
      <c r="C211" s="3">
        <v>2037.2106451612904</v>
      </c>
      <c r="D211" s="3">
        <v>43978.332580645154</v>
      </c>
      <c r="E211" s="3">
        <v>2897.8387419354844</v>
      </c>
      <c r="F211" s="3"/>
      <c r="G211" s="3">
        <v>27302.412580645159</v>
      </c>
      <c r="H211" s="3">
        <v>1630.5087096774191</v>
      </c>
      <c r="I211" s="3">
        <v>2984.6138387096767</v>
      </c>
      <c r="J211" s="3">
        <v>19345.010322580652</v>
      </c>
      <c r="K211" s="3">
        <v>17140.645806451615</v>
      </c>
      <c r="L211" s="3">
        <v>1406.4506451612906</v>
      </c>
      <c r="M211" s="3">
        <v>6209.565161290323</v>
      </c>
      <c r="N211" s="3"/>
      <c r="O211" s="3">
        <v>14206.4</v>
      </c>
      <c r="P211" s="3">
        <v>5499.7416129032254</v>
      </c>
      <c r="Q211" s="3">
        <v>40791.548387096773</v>
      </c>
      <c r="R211" s="3">
        <v>366.00258064516129</v>
      </c>
    </row>
    <row r="212" spans="1:18">
      <c r="A212" s="2">
        <v>39173</v>
      </c>
      <c r="B212" s="4">
        <v>1003.4578947368424</v>
      </c>
      <c r="C212" s="3">
        <v>2173.4779999999987</v>
      </c>
      <c r="D212" s="3">
        <v>47997.278333333343</v>
      </c>
      <c r="E212" s="3">
        <v>3074.1555666666663</v>
      </c>
      <c r="F212" s="3"/>
      <c r="G212" s="3">
        <v>29482.375333333333</v>
      </c>
      <c r="H212" s="3">
        <v>1729.9816666666659</v>
      </c>
      <c r="I212" s="3">
        <v>3527.8418999999999</v>
      </c>
      <c r="J212" s="3">
        <v>20387.554666666667</v>
      </c>
      <c r="K212" s="3">
        <v>17449.59233333333</v>
      </c>
      <c r="L212" s="3">
        <v>1462.9209999999996</v>
      </c>
      <c r="M212" s="3">
        <v>6429.5243333333337</v>
      </c>
      <c r="N212" s="3"/>
      <c r="O212" s="3">
        <v>14840.983333333332</v>
      </c>
      <c r="P212" s="3">
        <v>5824.0653333333312</v>
      </c>
      <c r="Q212" s="3">
        <v>43041.966666666667</v>
      </c>
      <c r="R212" s="3">
        <v>383.8443333333334</v>
      </c>
    </row>
    <row r="213" spans="1:18">
      <c r="A213" s="2">
        <v>39203</v>
      </c>
      <c r="B213" s="4">
        <v>961.74142857142851</v>
      </c>
      <c r="C213" s="3">
        <v>2167.3883870967738</v>
      </c>
      <c r="D213" s="3">
        <v>51171.928709677413</v>
      </c>
      <c r="E213" s="3">
        <v>3218.6948709677422</v>
      </c>
      <c r="F213" s="3"/>
      <c r="G213" s="3">
        <v>30279.013870967738</v>
      </c>
      <c r="H213" s="3">
        <v>1632.0048387096772</v>
      </c>
      <c r="I213" s="3">
        <v>4027.5472903225809</v>
      </c>
      <c r="J213" s="3">
        <v>20705.287419354838</v>
      </c>
      <c r="K213" s="3">
        <v>17546.66290322581</v>
      </c>
      <c r="L213" s="3">
        <v>1511.6335483870973</v>
      </c>
      <c r="M213" s="3">
        <v>6577.4419354838692</v>
      </c>
      <c r="N213" s="3"/>
      <c r="O213" s="3">
        <v>14859.922580645165</v>
      </c>
      <c r="P213" s="3">
        <v>6054.9058064516121</v>
      </c>
      <c r="Q213" s="3">
        <v>43609.741935483871</v>
      </c>
      <c r="R213" s="3">
        <v>391.93741935483854</v>
      </c>
    </row>
    <row r="214" spans="1:18">
      <c r="A214" s="2">
        <v>39234</v>
      </c>
      <c r="B214" s="4">
        <v>987.55421052631573</v>
      </c>
      <c r="C214" s="3">
        <v>2208.2476666666671</v>
      </c>
      <c r="D214" s="3">
        <v>53614.188666666676</v>
      </c>
      <c r="E214" s="3">
        <v>3367.1539666666667</v>
      </c>
      <c r="F214" s="3"/>
      <c r="G214" s="3">
        <v>31670.591333333334</v>
      </c>
      <c r="H214" s="3">
        <v>1642.5013333333334</v>
      </c>
      <c r="I214" s="3">
        <v>4012.0792333333347</v>
      </c>
      <c r="J214" s="3">
        <v>21196.52066666666</v>
      </c>
      <c r="K214" s="3">
        <v>17998.774333333331</v>
      </c>
      <c r="L214" s="3">
        <v>1515.5529999999994</v>
      </c>
      <c r="M214" s="3">
        <v>6604.2683333333325</v>
      </c>
      <c r="N214" s="3"/>
      <c r="O214" s="3">
        <v>14999.100000000004</v>
      </c>
      <c r="P214" s="3">
        <v>6024.2773333333316</v>
      </c>
      <c r="Q214" s="3">
        <v>42314.26666666667</v>
      </c>
      <c r="R214" s="3">
        <v>393.15533333333343</v>
      </c>
    </row>
    <row r="215" spans="1:18">
      <c r="A215" s="2">
        <v>39264</v>
      </c>
      <c r="B215" s="4">
        <v>1044.2675000000002</v>
      </c>
      <c r="C215" s="3">
        <v>2240.3000000000002</v>
      </c>
      <c r="D215" s="3">
        <v>56127.139677419356</v>
      </c>
      <c r="E215" s="3">
        <v>3387.3871290322572</v>
      </c>
      <c r="F215" s="3"/>
      <c r="G215" s="3">
        <v>31694.180645161301</v>
      </c>
      <c r="H215" s="3">
        <v>1748.9251612903226</v>
      </c>
      <c r="I215" s="3">
        <v>4012.0513225806458</v>
      </c>
      <c r="J215" s="3">
        <v>22805.612258064517</v>
      </c>
      <c r="K215" s="3">
        <v>17983.570645161293</v>
      </c>
      <c r="L215" s="3">
        <v>1519.838709677419</v>
      </c>
      <c r="M215" s="3">
        <v>6560.767741935485</v>
      </c>
      <c r="N215" s="3"/>
      <c r="O215" s="3">
        <v>14905.048387096775</v>
      </c>
      <c r="P215" s="3">
        <v>5971.4570967741929</v>
      </c>
      <c r="Q215" s="3">
        <v>41521.516129032258</v>
      </c>
      <c r="R215" s="3">
        <v>391.13096774193559</v>
      </c>
    </row>
    <row r="216" spans="1:18">
      <c r="A216" s="2">
        <v>39295</v>
      </c>
      <c r="B216" s="4">
        <v>1027.98</v>
      </c>
      <c r="C216" s="3">
        <v>2047.7090322580646</v>
      </c>
      <c r="D216" s="3">
        <v>52058.939032258073</v>
      </c>
      <c r="E216" s="3">
        <v>3200.9646451612907</v>
      </c>
      <c r="F216" s="3"/>
      <c r="G216" s="3">
        <v>29467.004838709676</v>
      </c>
      <c r="H216" s="3">
        <v>1659.0925806451614</v>
      </c>
      <c r="I216" s="3">
        <v>4828.0578064516121</v>
      </c>
      <c r="J216" s="3">
        <v>22214.709677419356</v>
      </c>
      <c r="K216" s="3">
        <v>16423.714838709675</v>
      </c>
      <c r="L216" s="3">
        <v>1454.2003225806454</v>
      </c>
      <c r="M216" s="3">
        <v>6168.1564516129029</v>
      </c>
      <c r="N216" s="3"/>
      <c r="O216" s="3">
        <v>14426.932258064517</v>
      </c>
      <c r="P216" s="3">
        <v>5524.4570967741947</v>
      </c>
      <c r="Q216" s="3">
        <v>39408.354838709674</v>
      </c>
      <c r="R216" s="3">
        <v>368.11967741935479</v>
      </c>
    </row>
    <row r="217" spans="1:18">
      <c r="A217" s="2">
        <v>39326</v>
      </c>
      <c r="B217" s="4">
        <v>1018.0840000000001</v>
      </c>
      <c r="C217" s="3">
        <v>2089.5963333333334</v>
      </c>
      <c r="D217" s="3">
        <v>56324.393000000018</v>
      </c>
      <c r="E217" s="3">
        <v>3213.2617666666656</v>
      </c>
      <c r="F217" s="3"/>
      <c r="G217" s="3">
        <v>30375.509666666661</v>
      </c>
      <c r="H217" s="3">
        <v>1688.9450000000008</v>
      </c>
      <c r="I217" s="3">
        <v>5361.078166666668</v>
      </c>
      <c r="J217" s="3">
        <v>25106.255000000001</v>
      </c>
      <c r="K217" s="3">
        <v>16283.69833333333</v>
      </c>
      <c r="L217" s="3">
        <v>1494.9259999999997</v>
      </c>
      <c r="M217" s="3">
        <v>6343.902</v>
      </c>
      <c r="N217" s="3"/>
      <c r="O217" s="3">
        <v>14237.743333333328</v>
      </c>
      <c r="P217" s="3">
        <v>5601.3169999999982</v>
      </c>
      <c r="Q217" s="3">
        <v>39528.26666666667</v>
      </c>
      <c r="R217" s="3">
        <v>372.49933333333331</v>
      </c>
    </row>
    <row r="218" spans="1:18">
      <c r="A218" s="2">
        <v>39356</v>
      </c>
      <c r="B218" s="4">
        <v>1022.2745454545455</v>
      </c>
      <c r="C218" s="3">
        <v>2273.8056666666671</v>
      </c>
      <c r="D218" s="3">
        <v>62628.934000000008</v>
      </c>
      <c r="E218" s="3">
        <v>3410.7734333333347</v>
      </c>
      <c r="F218" s="3"/>
      <c r="G218" s="3">
        <v>31911.776666666668</v>
      </c>
      <c r="H218" s="3">
        <v>1816.8390000000002</v>
      </c>
      <c r="I218" s="3">
        <v>5747.2964333333339</v>
      </c>
      <c r="J218" s="3">
        <v>29101.807666666668</v>
      </c>
      <c r="K218" s="3">
        <v>16901.33966666667</v>
      </c>
      <c r="L218" s="3">
        <v>1538.698333333333</v>
      </c>
      <c r="M218" s="3">
        <v>6602.8106666666663</v>
      </c>
      <c r="N218" s="3"/>
      <c r="O218" s="3">
        <v>15244.02</v>
      </c>
      <c r="P218" s="3">
        <v>5795.2206666666661</v>
      </c>
      <c r="Q218" s="3">
        <v>40318.966666666667</v>
      </c>
      <c r="R218" s="3">
        <v>384.53600000000012</v>
      </c>
    </row>
    <row r="219" spans="1:18">
      <c r="A219" s="2">
        <v>39387</v>
      </c>
      <c r="B219" s="4">
        <v>1083.1174999999998</v>
      </c>
      <c r="C219" s="3">
        <v>2267.2833333333338</v>
      </c>
      <c r="D219" s="3">
        <v>62847.612999999983</v>
      </c>
      <c r="E219" s="3">
        <v>3220.5328666666669</v>
      </c>
      <c r="F219" s="3"/>
      <c r="G219" s="3">
        <v>29392.989000000001</v>
      </c>
      <c r="H219" s="3">
        <v>1847.9026666666659</v>
      </c>
      <c r="I219" s="3">
        <v>5290.8852000000015</v>
      </c>
      <c r="J219" s="3">
        <v>28304.643333333323</v>
      </c>
      <c r="K219" s="3">
        <v>15519.879333333336</v>
      </c>
      <c r="L219" s="3">
        <v>1462.4480000000003</v>
      </c>
      <c r="M219" s="3">
        <v>6331.0036666666647</v>
      </c>
      <c r="N219" s="3"/>
      <c r="O219" s="3">
        <v>15669.69</v>
      </c>
      <c r="P219" s="3">
        <v>5567.2103333333353</v>
      </c>
      <c r="Q219" s="3">
        <v>38470.9</v>
      </c>
      <c r="R219" s="3">
        <v>366.28466666666668</v>
      </c>
    </row>
    <row r="220" spans="1:18">
      <c r="A220" s="2">
        <v>39417</v>
      </c>
      <c r="B220" s="4">
        <v>1069.7989473684211</v>
      </c>
      <c r="C220" s="3">
        <v>2182.4843333333338</v>
      </c>
      <c r="D220" s="3">
        <v>63519.472333333331</v>
      </c>
      <c r="E220" s="3">
        <v>3109.958000000001</v>
      </c>
      <c r="F220" s="3"/>
      <c r="G220" s="3">
        <v>30031.821999999993</v>
      </c>
      <c r="H220" s="3">
        <v>1902.7569999999998</v>
      </c>
      <c r="I220" s="3">
        <v>5074.0370666666659</v>
      </c>
      <c r="J220" s="3">
        <v>28057.493333333343</v>
      </c>
      <c r="K220" s="3">
        <v>15536.556333333338</v>
      </c>
      <c r="L220" s="3">
        <v>1480.9986666666666</v>
      </c>
      <c r="M220" s="3">
        <v>6443.5593333333345</v>
      </c>
      <c r="N220" s="3"/>
      <c r="O220" s="3">
        <v>15502.639999999996</v>
      </c>
      <c r="P220" s="3">
        <v>5627.9229999999998</v>
      </c>
      <c r="Q220" s="3">
        <v>38714.23333333333</v>
      </c>
      <c r="R220" s="3">
        <v>366.91399999999982</v>
      </c>
    </row>
    <row r="221" spans="1:18">
      <c r="A221" s="2">
        <v>39448</v>
      </c>
      <c r="B221" s="3">
        <v>953.03428571428572</v>
      </c>
      <c r="C221" s="3">
        <v>2047.4829032258067</v>
      </c>
      <c r="D221" s="3">
        <v>59670.910645161297</v>
      </c>
      <c r="E221" s="3">
        <v>2743.097322580647</v>
      </c>
      <c r="F221" s="3"/>
      <c r="G221" s="3">
        <v>27929.762580645165</v>
      </c>
      <c r="H221" s="3">
        <v>1796.9770967741931</v>
      </c>
      <c r="I221" s="3">
        <v>5091.9093548387082</v>
      </c>
      <c r="J221" s="3">
        <v>25679.512258064515</v>
      </c>
      <c r="K221" s="3">
        <v>13984.330967741935</v>
      </c>
      <c r="L221" s="3">
        <v>1376.9193548387098</v>
      </c>
      <c r="M221" s="3">
        <v>6057.5961290322566</v>
      </c>
      <c r="N221" s="3"/>
      <c r="O221" s="3">
        <v>13890.087096774192</v>
      </c>
      <c r="P221" s="3">
        <v>5179.6770967741923</v>
      </c>
      <c r="Q221" s="3">
        <v>36081.096774193546</v>
      </c>
      <c r="R221" s="3">
        <v>335.58709677419347</v>
      </c>
    </row>
    <row r="222" spans="1:18">
      <c r="A222" s="2">
        <v>39479</v>
      </c>
      <c r="B222" s="3">
        <v>928.22793103448294</v>
      </c>
      <c r="C222" s="3">
        <v>2065.0796551724134</v>
      </c>
      <c r="D222" s="3">
        <v>62152.477586206907</v>
      </c>
      <c r="E222" s="3">
        <v>2837.2624482758629</v>
      </c>
      <c r="F222" s="3"/>
      <c r="G222" s="3">
        <v>29090.645517241377</v>
      </c>
      <c r="H222" s="3">
        <v>1663.4634482758624</v>
      </c>
      <c r="I222" s="3">
        <v>4476.4405517241385</v>
      </c>
      <c r="J222" s="3">
        <v>23797.769999999997</v>
      </c>
      <c r="K222" s="3">
        <v>13491.340689655175</v>
      </c>
      <c r="L222" s="3">
        <v>1355.4158620689657</v>
      </c>
      <c r="M222" s="3">
        <v>5899.6993103448285</v>
      </c>
      <c r="N222" s="3"/>
      <c r="O222" s="3">
        <v>13165.468965517241</v>
      </c>
      <c r="P222" s="3">
        <v>4838.5058620689661</v>
      </c>
      <c r="Q222" s="3">
        <v>33811.517241379312</v>
      </c>
      <c r="R222" s="3">
        <v>321.58103448275858</v>
      </c>
    </row>
    <row r="223" spans="1:18">
      <c r="A223" s="2">
        <v>39508</v>
      </c>
      <c r="B223" s="3">
        <v>899.01193548387096</v>
      </c>
      <c r="C223" s="3">
        <v>2098.5287096774186</v>
      </c>
      <c r="D223" s="3">
        <v>61399.940322580675</v>
      </c>
      <c r="E223" s="3">
        <v>2828.1860322580646</v>
      </c>
      <c r="F223" s="3"/>
      <c r="G223" s="3">
        <v>29323.418387096775</v>
      </c>
      <c r="H223" s="3">
        <v>1624.9377419354842</v>
      </c>
      <c r="I223" s="3">
        <v>3941.909387096774</v>
      </c>
      <c r="J223" s="3">
        <v>22509.529999999992</v>
      </c>
      <c r="K223" s="3">
        <v>12650.964193548385</v>
      </c>
      <c r="L223" s="3">
        <v>1315.5519354838707</v>
      </c>
      <c r="M223" s="3">
        <v>5666.0512903225826</v>
      </c>
      <c r="N223" s="3"/>
      <c r="O223" s="3">
        <v>13034.903225806458</v>
      </c>
      <c r="P223" s="3">
        <v>4635.8348387096776</v>
      </c>
      <c r="Q223" s="3">
        <v>31787.419354838708</v>
      </c>
      <c r="R223" s="3">
        <v>305.64387096774192</v>
      </c>
    </row>
    <row r="224" spans="1:18">
      <c r="A224" s="2">
        <v>39539</v>
      </c>
      <c r="B224" s="3">
        <v>938.14</v>
      </c>
      <c r="C224" s="3">
        <v>2137.9920000000002</v>
      </c>
      <c r="D224" s="3">
        <v>64272.140999999989</v>
      </c>
      <c r="E224" s="3">
        <v>2985.9226999999996</v>
      </c>
      <c r="F224" s="3"/>
      <c r="G224" s="3">
        <v>31452.71000000001</v>
      </c>
      <c r="H224" s="3">
        <v>1665.3556666666664</v>
      </c>
      <c r="I224" s="3">
        <v>3399.0827666666664</v>
      </c>
      <c r="J224" s="3">
        <v>24603.135000000006</v>
      </c>
      <c r="K224" s="3">
        <v>13410.659666666665</v>
      </c>
      <c r="L224" s="3">
        <v>1371.1039999999998</v>
      </c>
      <c r="M224" s="3">
        <v>5994.6436666666659</v>
      </c>
      <c r="N224" s="3"/>
      <c r="O224" s="3">
        <v>13678.103333333333</v>
      </c>
      <c r="P224" s="3">
        <v>4902.7213333333348</v>
      </c>
      <c r="Q224" s="3">
        <v>33477.666666666664</v>
      </c>
      <c r="R224" s="3">
        <v>317.46399999999994</v>
      </c>
    </row>
    <row r="225" spans="1:18">
      <c r="A225" s="2">
        <v>39569</v>
      </c>
      <c r="B225" s="3">
        <v>1011.0664516129029</v>
      </c>
      <c r="C225" s="3">
        <v>2159.8470967741932</v>
      </c>
      <c r="D225" s="3">
        <v>71077.766451612901</v>
      </c>
      <c r="E225" s="3">
        <v>2986.0619354838714</v>
      </c>
      <c r="F225" s="3"/>
      <c r="G225" s="3">
        <v>31147.900645161288</v>
      </c>
      <c r="H225" s="3">
        <v>1843.2074193548385</v>
      </c>
      <c r="I225" s="3">
        <v>3569.7489677419362</v>
      </c>
      <c r="J225" s="3">
        <v>25269.68096774193</v>
      </c>
      <c r="K225" s="3">
        <v>14006.977096774193</v>
      </c>
      <c r="L225" s="3">
        <v>1401.638709677419</v>
      </c>
      <c r="M225" s="3">
        <v>6184.6329032258072</v>
      </c>
      <c r="N225" s="3"/>
      <c r="O225" s="3">
        <v>13895.8</v>
      </c>
      <c r="P225" s="3">
        <v>5016.7361290322569</v>
      </c>
      <c r="Q225" s="3">
        <v>33694.516129032258</v>
      </c>
      <c r="R225" s="3">
        <v>325.15516129032261</v>
      </c>
    </row>
    <row r="226" spans="1:18">
      <c r="A226" s="2">
        <v>39600</v>
      </c>
      <c r="B226" s="3">
        <v>980.84900000000027</v>
      </c>
      <c r="C226" s="3">
        <v>2105.9423333333339</v>
      </c>
      <c r="D226" s="3">
        <v>67211.878000000012</v>
      </c>
      <c r="E226" s="3">
        <v>3039.5816999999979</v>
      </c>
      <c r="F226" s="3"/>
      <c r="G226" s="3">
        <v>30295.726666666651</v>
      </c>
      <c r="H226" s="3">
        <v>1822.9956666666667</v>
      </c>
      <c r="I226" s="3">
        <v>3007.8429666666666</v>
      </c>
      <c r="J226" s="3">
        <v>23205.671333333325</v>
      </c>
      <c r="K226" s="3">
        <v>14067.146000000001</v>
      </c>
      <c r="L226" s="3">
        <v>1340.0229999999999</v>
      </c>
      <c r="M226" s="3">
        <v>5770.5980000000009</v>
      </c>
      <c r="N226" s="3"/>
      <c r="O226" s="3">
        <v>12708.98</v>
      </c>
      <c r="P226" s="3">
        <v>4657.9433333333345</v>
      </c>
      <c r="Q226" s="3">
        <v>30812.833333333332</v>
      </c>
      <c r="R226" s="3">
        <v>302.86166666666662</v>
      </c>
    </row>
    <row r="227" spans="1:18">
      <c r="A227" s="2">
        <v>39630</v>
      </c>
      <c r="B227" s="3">
        <v>924.67967741935456</v>
      </c>
      <c r="C227" s="3">
        <v>1941.3025806451615</v>
      </c>
      <c r="D227" s="3">
        <v>59609.077419354842</v>
      </c>
      <c r="E227" s="3">
        <v>2836.9611290322578</v>
      </c>
      <c r="F227" s="3"/>
      <c r="G227" s="3">
        <v>27844.024838709673</v>
      </c>
      <c r="H227" s="3">
        <v>1609.3248387096771</v>
      </c>
      <c r="I227" s="3">
        <v>2799.6746451612894</v>
      </c>
      <c r="J227" s="3">
        <v>22073.468387096767</v>
      </c>
      <c r="K227" s="3">
        <v>13140.379677419358</v>
      </c>
      <c r="L227" s="3">
        <v>1256.9593548387097</v>
      </c>
      <c r="M227" s="3">
        <v>5368.9187096774185</v>
      </c>
      <c r="N227" s="3"/>
      <c r="O227" s="3">
        <v>11691.11612903226</v>
      </c>
      <c r="P227" s="3">
        <v>4280.3787096774195</v>
      </c>
      <c r="Q227" s="3">
        <v>28296.677419354837</v>
      </c>
      <c r="R227" s="3">
        <v>279.02903225806449</v>
      </c>
    </row>
    <row r="228" spans="1:18">
      <c r="A228" s="2">
        <v>39661</v>
      </c>
      <c r="B228" s="3">
        <v>949.49064516129056</v>
      </c>
      <c r="C228" s="3">
        <v>1774.3064516129036</v>
      </c>
      <c r="D228" s="3">
        <v>55630.867419354814</v>
      </c>
      <c r="E228" s="3">
        <v>2915.5514516129037</v>
      </c>
      <c r="F228" s="3"/>
      <c r="G228" s="3">
        <v>26815.579032258058</v>
      </c>
      <c r="H228" s="3">
        <v>1400.2358064516127</v>
      </c>
      <c r="I228" s="3">
        <v>2507.9802580645173</v>
      </c>
      <c r="J228" s="3">
        <v>21442.861935483874</v>
      </c>
      <c r="K228" s="3">
        <v>12994.161935483869</v>
      </c>
      <c r="L228" s="3">
        <v>1282.9238709677425</v>
      </c>
      <c r="M228" s="3">
        <v>5474.2245161290311</v>
      </c>
      <c r="N228" s="3"/>
      <c r="O228" s="3">
        <v>11623.112903225801</v>
      </c>
      <c r="P228" s="3">
        <v>4415.9119354838704</v>
      </c>
      <c r="Q228" s="3">
        <v>28559.290322580644</v>
      </c>
      <c r="R228" s="3">
        <v>285.15870967741932</v>
      </c>
    </row>
    <row r="229" spans="1:18">
      <c r="A229" s="2">
        <v>39692</v>
      </c>
      <c r="B229" s="3">
        <v>994.14233333333323</v>
      </c>
      <c r="C229" s="3">
        <v>1650.1066666666666</v>
      </c>
      <c r="D229" s="3">
        <v>50980.748666666666</v>
      </c>
      <c r="E229" s="3">
        <v>2766.8390000000004</v>
      </c>
      <c r="F229" s="3"/>
      <c r="G229" s="3">
        <v>25459.108000000007</v>
      </c>
      <c r="H229" s="3">
        <v>1123.1640000000002</v>
      </c>
      <c r="I229" s="3">
        <v>2169.5674666666664</v>
      </c>
      <c r="J229" s="3">
        <v>19356.890333333333</v>
      </c>
      <c r="K229" s="3">
        <v>12108.598333333333</v>
      </c>
      <c r="L229" s="3">
        <v>1225.4736666666665</v>
      </c>
      <c r="M229" s="3">
        <v>5240.3889999999992</v>
      </c>
      <c r="N229" s="3"/>
      <c r="O229" s="3">
        <v>11291.136666666667</v>
      </c>
      <c r="P229" s="3">
        <v>4229.53</v>
      </c>
      <c r="Q229" s="3">
        <v>27557.7</v>
      </c>
      <c r="R229" s="3">
        <v>272.60066666666677</v>
      </c>
    </row>
    <row r="230" spans="1:18">
      <c r="A230" s="2">
        <v>39722</v>
      </c>
      <c r="B230" s="3">
        <v>816.26400000000024</v>
      </c>
      <c r="C230" s="3">
        <v>1175.8496666666667</v>
      </c>
      <c r="D230" s="3">
        <v>37626.05266666667</v>
      </c>
      <c r="E230" s="3">
        <v>2406.3717666666662</v>
      </c>
      <c r="F230" s="3"/>
      <c r="G230" s="3">
        <v>20305.268333333333</v>
      </c>
      <c r="H230" s="3">
        <v>682.63566666666657</v>
      </c>
      <c r="I230" s="3">
        <v>1979.7614666666664</v>
      </c>
      <c r="J230" s="3">
        <v>14995.361333333331</v>
      </c>
      <c r="K230" s="3">
        <v>8967.5993333333336</v>
      </c>
      <c r="L230" s="3">
        <v>960.49099999999987</v>
      </c>
      <c r="M230" s="3">
        <v>4240.8109999999988</v>
      </c>
      <c r="N230" s="3"/>
      <c r="O230" s="3">
        <v>9569.130000000001</v>
      </c>
      <c r="P230" s="3">
        <v>3446.6163333333325</v>
      </c>
      <c r="Q230" s="3">
        <v>21846.226666666669</v>
      </c>
      <c r="R230" s="3">
        <v>220.28966666666662</v>
      </c>
    </row>
    <row r="231" spans="1:18">
      <c r="A231" s="2">
        <v>39753</v>
      </c>
      <c r="B231" s="3">
        <v>774.28566666666688</v>
      </c>
      <c r="C231" s="3">
        <v>997.89233333333368</v>
      </c>
      <c r="D231" s="3">
        <v>35692.597999999998</v>
      </c>
      <c r="E231" s="3">
        <v>2492.9658333333336</v>
      </c>
      <c r="F231" s="3"/>
      <c r="G231" s="3">
        <v>19684.315333333328</v>
      </c>
      <c r="H231" s="3">
        <v>638.47766666666678</v>
      </c>
      <c r="I231" s="3">
        <v>1870.9089333333338</v>
      </c>
      <c r="J231" s="3">
        <v>13602.021333333332</v>
      </c>
      <c r="K231" s="3">
        <v>8471.491</v>
      </c>
      <c r="L231" s="3">
        <v>886.80166666666685</v>
      </c>
      <c r="M231" s="3">
        <v>4218.9173333333338</v>
      </c>
      <c r="N231" s="3"/>
      <c r="O231" s="3">
        <v>8829.8833333333332</v>
      </c>
      <c r="P231" s="3">
        <v>3284.2459999999992</v>
      </c>
      <c r="Q231" s="3">
        <v>20586.966666666667</v>
      </c>
      <c r="R231" s="3">
        <v>206.97333333333336</v>
      </c>
    </row>
    <row r="232" spans="1:18">
      <c r="A232" s="2">
        <v>39783</v>
      </c>
      <c r="B232" s="3">
        <v>845.37233333333313</v>
      </c>
      <c r="C232" s="3">
        <v>1057.1720000000003</v>
      </c>
      <c r="D232" s="3">
        <v>37591.123666666674</v>
      </c>
      <c r="E232" s="3">
        <v>2336.1749666666669</v>
      </c>
      <c r="F232" s="3"/>
      <c r="G232" s="3">
        <v>21593.836333333333</v>
      </c>
      <c r="H232" s="3">
        <v>611.99999999999989</v>
      </c>
      <c r="I232" s="3">
        <v>1951.2556333333337</v>
      </c>
      <c r="J232" s="3">
        <v>14560.119000000002</v>
      </c>
      <c r="K232" s="3">
        <v>8478.8196666666663</v>
      </c>
      <c r="L232" s="3">
        <v>877.71333333333325</v>
      </c>
      <c r="M232" s="3">
        <v>4257.8523333333324</v>
      </c>
      <c r="N232" s="3"/>
      <c r="O232" s="3">
        <v>9025.8466666666664</v>
      </c>
      <c r="P232" s="3">
        <v>3178.9136666666682</v>
      </c>
      <c r="Q232" s="3">
        <v>19208.5</v>
      </c>
      <c r="R232" s="3">
        <v>196.53533333333328</v>
      </c>
    </row>
    <row r="233" spans="1:18">
      <c r="A233" s="2">
        <v>39814</v>
      </c>
      <c r="B233" s="3">
        <v>856.24419354838699</v>
      </c>
      <c r="C233" s="3">
        <v>1112.3877419354833</v>
      </c>
      <c r="D233" s="3">
        <v>39560.941612903218</v>
      </c>
      <c r="E233" s="3">
        <v>2489.9388064516129</v>
      </c>
      <c r="F233" s="3"/>
      <c r="G233" s="3">
        <v>20838.005806451616</v>
      </c>
      <c r="H233" s="3">
        <v>607.9916129032257</v>
      </c>
      <c r="I233" s="3">
        <v>1934.8586774193548</v>
      </c>
      <c r="J233" s="3">
        <v>13683.916129032257</v>
      </c>
      <c r="K233" s="3">
        <v>8393.2835483870967</v>
      </c>
      <c r="L233" s="3">
        <v>867.71612903225832</v>
      </c>
      <c r="M233" s="3">
        <v>4287.8151612903221</v>
      </c>
      <c r="N233" s="3"/>
      <c r="O233" s="3">
        <v>8842.0387096774193</v>
      </c>
      <c r="P233" s="3">
        <v>3106.945806451612</v>
      </c>
      <c r="Q233" s="3">
        <v>18890.16129032258</v>
      </c>
      <c r="R233" s="3">
        <v>196.1016129032258</v>
      </c>
    </row>
    <row r="234" spans="1:18">
      <c r="A234" s="2">
        <v>39845</v>
      </c>
      <c r="B234" s="3">
        <v>861.17535714285714</v>
      </c>
      <c r="C234" s="3">
        <v>1080.5857142857144</v>
      </c>
      <c r="D234" s="3">
        <v>40154.913928571434</v>
      </c>
      <c r="E234" s="3">
        <v>2594.2137142857141</v>
      </c>
      <c r="F234" s="3"/>
      <c r="G234" s="3">
        <v>19124.381071428568</v>
      </c>
      <c r="H234" s="3">
        <v>663.20749999999987</v>
      </c>
      <c r="I234" s="3">
        <v>2203.7143928571431</v>
      </c>
      <c r="J234" s="3">
        <v>13187.166071428572</v>
      </c>
      <c r="K234" s="3">
        <v>7723.3600000000006</v>
      </c>
      <c r="L234" s="3">
        <v>807.78964285714312</v>
      </c>
      <c r="M234" s="3">
        <v>4078.721785714285</v>
      </c>
      <c r="N234" s="3"/>
      <c r="O234" s="3">
        <v>8071.6571428571433</v>
      </c>
      <c r="P234" s="3">
        <v>2916.0600000000004</v>
      </c>
      <c r="Q234" s="3">
        <v>17011.821428571428</v>
      </c>
      <c r="R234" s="3">
        <v>186.26642857142858</v>
      </c>
    </row>
    <row r="235" spans="1:18">
      <c r="A235" s="2">
        <v>39873</v>
      </c>
      <c r="B235" s="3">
        <v>856.76322580645149</v>
      </c>
      <c r="C235" s="3">
        <v>1051.04</v>
      </c>
      <c r="D235" s="3">
        <v>39453.443548387106</v>
      </c>
      <c r="E235" s="3">
        <v>2464.6093548387098</v>
      </c>
      <c r="F235" s="3"/>
      <c r="G235" s="3">
        <v>18875.65870967742</v>
      </c>
      <c r="H235" s="3">
        <v>752.68322580645167</v>
      </c>
      <c r="I235" s="3">
        <v>2227.7028387096775</v>
      </c>
      <c r="J235" s="3">
        <v>12809.716129032258</v>
      </c>
      <c r="K235" s="3">
        <v>7780.6845161290294</v>
      </c>
      <c r="L235" s="3">
        <v>756.15161290322555</v>
      </c>
      <c r="M235" s="3">
        <v>3761.5274193548398</v>
      </c>
      <c r="N235" s="3"/>
      <c r="O235" s="3">
        <v>7521.5774193548395</v>
      </c>
      <c r="P235" s="3">
        <v>2722.6829032258056</v>
      </c>
      <c r="Q235" s="3">
        <v>14584.838709677419</v>
      </c>
      <c r="R235" s="3">
        <v>169.91967741935488</v>
      </c>
    </row>
    <row r="236" spans="1:18">
      <c r="A236" s="2">
        <v>39904</v>
      </c>
      <c r="B236" s="3">
        <v>893.02966666666691</v>
      </c>
      <c r="C236" s="3">
        <v>1212.232666666667</v>
      </c>
      <c r="D236" s="3">
        <v>45309.506000000016</v>
      </c>
      <c r="E236" s="3">
        <v>2624.4624999999996</v>
      </c>
      <c r="F236" s="3"/>
      <c r="G236" s="3">
        <v>21438.961000000003</v>
      </c>
      <c r="H236" s="3">
        <v>894.50900000000001</v>
      </c>
      <c r="I236" s="3">
        <v>2458.3777999999993</v>
      </c>
      <c r="J236" s="3">
        <v>15033.460333333331</v>
      </c>
      <c r="K236" s="3">
        <v>8775.9986666666628</v>
      </c>
      <c r="L236" s="3">
        <v>851.25099999999986</v>
      </c>
      <c r="M236" s="3">
        <v>4047.2793333333339</v>
      </c>
      <c r="N236" s="3"/>
      <c r="O236" s="3">
        <v>8677.6533333333336</v>
      </c>
      <c r="P236" s="3">
        <v>3011.5973333333341</v>
      </c>
      <c r="Q236" s="3">
        <v>17770.133333333335</v>
      </c>
      <c r="R236" s="3">
        <v>190.79833333333323</v>
      </c>
    </row>
    <row r="237" spans="1:18">
      <c r="A237" s="2">
        <v>39934</v>
      </c>
      <c r="B237" s="3">
        <v>996.40774193548384</v>
      </c>
      <c r="C237" s="3">
        <v>1484.927419354839</v>
      </c>
      <c r="D237" s="3">
        <v>50582.823225806453</v>
      </c>
      <c r="E237" s="3">
        <v>2953.0547419354843</v>
      </c>
      <c r="F237" s="3"/>
      <c r="G237" s="3">
        <v>23738.729999999992</v>
      </c>
      <c r="H237" s="3">
        <v>1026.0141935483871</v>
      </c>
      <c r="I237" s="3">
        <v>2606.8307419354833</v>
      </c>
      <c r="J237" s="3">
        <v>17052.836129032265</v>
      </c>
      <c r="K237" s="3">
        <v>9266.4177419354837</v>
      </c>
      <c r="L237" s="3">
        <v>900.86161290322593</v>
      </c>
      <c r="M237" s="3">
        <v>4379.4719354838699</v>
      </c>
      <c r="N237" s="3"/>
      <c r="O237" s="3">
        <v>9242.8290322580651</v>
      </c>
      <c r="P237" s="3">
        <v>3236.5880645161287</v>
      </c>
      <c r="Q237" s="3">
        <v>19910.258064516129</v>
      </c>
      <c r="R237" s="3">
        <v>206.27645161290326</v>
      </c>
    </row>
    <row r="238" spans="1:18">
      <c r="A238" s="2">
        <v>39965</v>
      </c>
      <c r="B238" s="3">
        <v>1074.6590000000001</v>
      </c>
      <c r="C238" s="3">
        <v>1602.6810000000003</v>
      </c>
      <c r="D238" s="3">
        <v>52206.946333333355</v>
      </c>
      <c r="E238" s="3">
        <v>3160.8394333333331</v>
      </c>
      <c r="F238" s="3"/>
      <c r="G238" s="3">
        <v>24627.655666666669</v>
      </c>
      <c r="H238" s="3">
        <v>1064.0523333333335</v>
      </c>
      <c r="I238" s="3">
        <v>2829.3629999999994</v>
      </c>
      <c r="J238" s="3">
        <v>18390.491333333332</v>
      </c>
      <c r="K238" s="3">
        <v>9832.0570000000025</v>
      </c>
      <c r="L238" s="3">
        <v>927.57966666666641</v>
      </c>
      <c r="M238" s="3">
        <v>4353.9436666666652</v>
      </c>
      <c r="N238" s="3"/>
      <c r="O238" s="3">
        <v>9574.5966666666682</v>
      </c>
      <c r="P238" s="3">
        <v>3245.8386666666661</v>
      </c>
      <c r="Q238" s="3">
        <v>19636.364333333331</v>
      </c>
      <c r="R238" s="3">
        <v>208.85333333333332</v>
      </c>
    </row>
    <row r="239" spans="1:18">
      <c r="A239" s="2">
        <v>39995</v>
      </c>
      <c r="B239" s="3">
        <v>1114.2822580645163</v>
      </c>
      <c r="C239" s="3">
        <v>1600.8635483870967</v>
      </c>
      <c r="D239" s="3">
        <v>51872.346774193553</v>
      </c>
      <c r="E239" s="3">
        <v>3172.4660967741943</v>
      </c>
      <c r="F239" s="3"/>
      <c r="G239" s="3">
        <v>25220.439354838716</v>
      </c>
      <c r="H239" s="3">
        <v>965.69451612903231</v>
      </c>
      <c r="I239" s="3">
        <v>3205.0688064516139</v>
      </c>
      <c r="J239" s="3">
        <v>18827.769677419343</v>
      </c>
      <c r="K239" s="3">
        <v>9660.8516129032269</v>
      </c>
      <c r="L239" s="3">
        <v>931.44741935483853</v>
      </c>
      <c r="M239" s="3">
        <v>4363.5841935483868</v>
      </c>
      <c r="N239" s="3"/>
      <c r="O239" s="3">
        <v>9986.4129032258043</v>
      </c>
      <c r="P239" s="3">
        <v>3201.6316129032257</v>
      </c>
      <c r="Q239" s="3">
        <v>19245.386774193543</v>
      </c>
      <c r="R239" s="3">
        <v>209.82290322580647</v>
      </c>
    </row>
    <row r="240" spans="1:18">
      <c r="A240" s="2">
        <v>40026</v>
      </c>
      <c r="B240" s="3">
        <v>1186.7777419354834</v>
      </c>
      <c r="C240" s="3">
        <v>1775.9748387096774</v>
      </c>
      <c r="D240" s="3">
        <v>56652.711935483887</v>
      </c>
      <c r="E240" s="3">
        <v>3262.0267741935486</v>
      </c>
      <c r="F240" s="3"/>
      <c r="G240" s="3">
        <v>27996.77258064516</v>
      </c>
      <c r="H240" s="3">
        <v>1088.1893548387097</v>
      </c>
      <c r="I240" s="3">
        <v>3086.0568387096764</v>
      </c>
      <c r="J240" s="3">
        <v>20460.164516129033</v>
      </c>
      <c r="K240" s="3">
        <v>10429.501612903225</v>
      </c>
      <c r="L240" s="3">
        <v>1010.2722580645161</v>
      </c>
      <c r="M240" s="3">
        <v>4762.8654838709672</v>
      </c>
      <c r="N240" s="3"/>
      <c r="O240" s="3">
        <v>11025.429032258065</v>
      </c>
      <c r="P240" s="3">
        <v>3543.2493548387092</v>
      </c>
      <c r="Q240" s="3">
        <v>21642.849677419363</v>
      </c>
      <c r="R240" s="3">
        <v>231.00741935483873</v>
      </c>
    </row>
    <row r="241" spans="1:18">
      <c r="A241" s="2">
        <v>40057</v>
      </c>
      <c r="B241" s="3">
        <v>1245.0696428571428</v>
      </c>
      <c r="C241" s="3">
        <v>1925.7700000000002</v>
      </c>
      <c r="D241" s="3">
        <v>58946.37857142857</v>
      </c>
      <c r="E241" s="3">
        <v>3258.8737857142855</v>
      </c>
      <c r="F241" s="3"/>
      <c r="G241" s="3">
        <v>29028.817857142858</v>
      </c>
      <c r="H241" s="3">
        <v>1163.1885714285715</v>
      </c>
      <c r="I241" s="3">
        <v>2890.6650000000004</v>
      </c>
      <c r="J241" s="3">
        <v>20902.126428571431</v>
      </c>
      <c r="K241" s="3">
        <v>10309.320714285715</v>
      </c>
      <c r="L241" s="3">
        <v>1041.3935714285712</v>
      </c>
      <c r="M241" s="3">
        <v>5022.1242857142852</v>
      </c>
      <c r="N241" s="3"/>
      <c r="O241" s="3">
        <v>11524.339285714284</v>
      </c>
      <c r="P241" s="3">
        <v>3723.7807142857141</v>
      </c>
      <c r="Q241" s="3">
        <v>22892.806071428575</v>
      </c>
      <c r="R241" s="3">
        <v>239.69642857142853</v>
      </c>
    </row>
    <row r="242" spans="1:18">
      <c r="A242" s="2">
        <v>40087</v>
      </c>
      <c r="B242" s="3">
        <v>1311.604193548387</v>
      </c>
      <c r="C242" s="3">
        <v>2176.9764516129035</v>
      </c>
      <c r="D242" s="3">
        <v>63948.676451612919</v>
      </c>
      <c r="E242" s="3">
        <v>3410.337</v>
      </c>
      <c r="F242" s="3"/>
      <c r="G242" s="3">
        <v>29958.398064516132</v>
      </c>
      <c r="H242" s="3">
        <v>1295.6893548387097</v>
      </c>
      <c r="I242" s="3">
        <v>2947.2332580645157</v>
      </c>
      <c r="J242" s="3">
        <v>21650.708709677419</v>
      </c>
      <c r="K242" s="3">
        <v>10065.156774193547</v>
      </c>
      <c r="L242" s="3">
        <v>1066.2177419354839</v>
      </c>
      <c r="M242" s="3">
        <v>5153.4603225806459</v>
      </c>
      <c r="N242" s="3"/>
      <c r="O242" s="3">
        <v>11662.667741935482</v>
      </c>
      <c r="P242" s="3">
        <v>3772.2067741935489</v>
      </c>
      <c r="Q242" s="3">
        <v>23446.840000000004</v>
      </c>
      <c r="R242" s="3">
        <v>242.32612903225811</v>
      </c>
    </row>
    <row r="243" spans="1:18">
      <c r="A243" s="2">
        <v>40118</v>
      </c>
      <c r="B243" s="3">
        <v>1298.5979310344826</v>
      </c>
      <c r="C243" s="3">
        <v>2225.79724137931</v>
      </c>
      <c r="D243" s="3">
        <v>65611.607241379301</v>
      </c>
      <c r="E243" s="3">
        <v>3305.4290689655168</v>
      </c>
      <c r="F243" s="3"/>
      <c r="G243" s="3">
        <v>30480.436206896557</v>
      </c>
      <c r="H243" s="3">
        <v>1298.8810344827587</v>
      </c>
      <c r="I243" s="3">
        <v>3198.127</v>
      </c>
      <c r="J243" s="3">
        <v>22178.410000000003</v>
      </c>
      <c r="K243" s="3">
        <v>9645.1865517241349</v>
      </c>
      <c r="L243" s="3">
        <v>1086.4831034482763</v>
      </c>
      <c r="M243" s="3">
        <v>5233.0782758620708</v>
      </c>
      <c r="N243" s="3"/>
      <c r="O243" s="3">
        <v>11735.213793103447</v>
      </c>
      <c r="P243" s="3">
        <v>3745.5796551724138</v>
      </c>
      <c r="Q243" s="3">
        <v>22713.559655172412</v>
      </c>
      <c r="R243" s="3">
        <v>243.96000000000004</v>
      </c>
    </row>
    <row r="244" spans="1:18">
      <c r="A244" s="2">
        <v>40148</v>
      </c>
      <c r="B244" s="3">
        <v>1363.7822580645159</v>
      </c>
      <c r="C244" s="3">
        <v>2221.5458064516129</v>
      </c>
      <c r="D244" s="3">
        <v>68010.550645161304</v>
      </c>
      <c r="E244" s="3">
        <v>3452.8586774193559</v>
      </c>
      <c r="F244" s="3"/>
      <c r="G244" s="3">
        <v>32098.150645161288</v>
      </c>
      <c r="H244" s="3">
        <v>1342.8212903225808</v>
      </c>
      <c r="I244" s="3">
        <v>3216.2438064516141</v>
      </c>
      <c r="J244" s="3">
        <v>21746.99967741935</v>
      </c>
      <c r="K244" s="3">
        <v>10193.808709677418</v>
      </c>
      <c r="L244" s="3">
        <v>1110.8861290322582</v>
      </c>
      <c r="M244" s="3">
        <v>5311.9754838709678</v>
      </c>
      <c r="N244" s="3"/>
      <c r="O244" s="3">
        <v>11837.78387096774</v>
      </c>
      <c r="P244" s="3">
        <v>3850.5958064516126</v>
      </c>
      <c r="Q244" s="3">
        <v>22782.865806451617</v>
      </c>
      <c r="R244" s="3">
        <v>248.49096774193541</v>
      </c>
    </row>
    <row r="245" spans="1:18">
      <c r="A245" s="2">
        <v>40179</v>
      </c>
      <c r="B245" s="3">
        <v>1370.4406451612899</v>
      </c>
      <c r="C245" s="3">
        <v>2340.3909677419351</v>
      </c>
      <c r="D245" s="3">
        <v>68280.522903225807</v>
      </c>
      <c r="E245" s="3">
        <v>3739.2711290322591</v>
      </c>
      <c r="F245" s="3"/>
      <c r="G245" s="3">
        <v>31899.900967741942</v>
      </c>
      <c r="H245" s="3">
        <v>1411.9277419354839</v>
      </c>
      <c r="I245" s="3">
        <v>3167.1805806451625</v>
      </c>
      <c r="J245" s="3">
        <v>21399.728387096766</v>
      </c>
      <c r="K245" s="3">
        <v>10649.887096774191</v>
      </c>
      <c r="L245" s="3">
        <v>1120.0858064516126</v>
      </c>
      <c r="M245" s="3">
        <v>5401.0922580645147</v>
      </c>
      <c r="N245" s="3"/>
      <c r="O245" s="3">
        <v>11711.570967741938</v>
      </c>
      <c r="P245" s="3">
        <v>3917.1970967741941</v>
      </c>
      <c r="Q245" s="3">
        <v>23091.650645161295</v>
      </c>
      <c r="R245" s="3">
        <v>254.14290322580646</v>
      </c>
    </row>
    <row r="246" spans="1:18">
      <c r="A246" s="2">
        <v>40210</v>
      </c>
      <c r="B246" s="3">
        <v>1361.5064285714282</v>
      </c>
      <c r="C246" s="3">
        <v>2268.7992857142854</v>
      </c>
      <c r="D246" s="3">
        <v>65857.967857142867</v>
      </c>
      <c r="E246" s="3">
        <v>3797.7283571428561</v>
      </c>
      <c r="F246" s="3"/>
      <c r="G246" s="3">
        <v>31307.721071428579</v>
      </c>
      <c r="H246" s="3">
        <v>1348.2603571428572</v>
      </c>
      <c r="I246" s="3">
        <v>2998.2629999999999</v>
      </c>
      <c r="J246" s="3">
        <v>20207.297142857144</v>
      </c>
      <c r="K246" s="3">
        <v>10146.04357142857</v>
      </c>
      <c r="L246" s="3">
        <v>1088.5810714285712</v>
      </c>
      <c r="M246" s="3">
        <v>5231.0914285714271</v>
      </c>
      <c r="N246" s="3"/>
      <c r="O246" s="3">
        <v>10411.571428571429</v>
      </c>
      <c r="P246" s="3">
        <v>3679.4382142857139</v>
      </c>
      <c r="Q246" s="3">
        <v>21322.12178571428</v>
      </c>
      <c r="R246" s="3">
        <v>244.49500000000006</v>
      </c>
    </row>
    <row r="247" spans="1:18">
      <c r="A247" s="2">
        <v>40238</v>
      </c>
      <c r="B247" s="3">
        <v>1413.0358064516126</v>
      </c>
      <c r="C247" s="3">
        <v>2359.0080645161293</v>
      </c>
      <c r="D247" s="3">
        <v>69032.828387096772</v>
      </c>
      <c r="E247" s="3">
        <v>3779.9412258064522</v>
      </c>
      <c r="F247" s="3"/>
      <c r="G247" s="3">
        <v>32775.974516129034</v>
      </c>
      <c r="H247" s="3">
        <v>1412.1616129032257</v>
      </c>
      <c r="I247" s="3">
        <v>3053.2625806451601</v>
      </c>
      <c r="J247" s="3">
        <v>21093.496774193551</v>
      </c>
      <c r="K247" s="3">
        <v>10692.907419354837</v>
      </c>
      <c r="L247" s="3">
        <v>1152.4993548387097</v>
      </c>
      <c r="M247" s="3">
        <v>5627.119999999999</v>
      </c>
      <c r="N247" s="3"/>
      <c r="O247" s="3">
        <v>10971.161290322578</v>
      </c>
      <c r="P247" s="3">
        <v>3926.2535483870956</v>
      </c>
      <c r="Q247" s="3">
        <v>22545.733225806445</v>
      </c>
      <c r="R247" s="3">
        <v>259.05548387096775</v>
      </c>
    </row>
    <row r="248" spans="1:18">
      <c r="A248" s="2">
        <v>40269</v>
      </c>
      <c r="B248" s="3">
        <v>1466.8660000000004</v>
      </c>
      <c r="C248" s="3">
        <v>2429.5080000000007</v>
      </c>
      <c r="D248" s="3">
        <v>69939.536333333337</v>
      </c>
      <c r="E248" s="3">
        <v>3825.4602999999997</v>
      </c>
      <c r="F248" s="3"/>
      <c r="G248" s="3">
        <v>33565.448999999993</v>
      </c>
      <c r="H248" s="3">
        <v>1480.3960000000002</v>
      </c>
      <c r="I248" s="3">
        <v>3070.449133333334</v>
      </c>
      <c r="J248" s="3">
        <v>21639.123000000007</v>
      </c>
      <c r="K248" s="3">
        <v>11129.136666666664</v>
      </c>
      <c r="L248" s="3">
        <v>1196.1833333333332</v>
      </c>
      <c r="M248" s="3">
        <v>5729.0456666666669</v>
      </c>
      <c r="N248" s="3"/>
      <c r="O248" s="3">
        <v>11078.170000000004</v>
      </c>
      <c r="P248" s="3">
        <v>3986.2603333333332</v>
      </c>
      <c r="Q248" s="3">
        <v>22888.919333333328</v>
      </c>
      <c r="R248" s="3">
        <v>267.31033333333329</v>
      </c>
    </row>
    <row r="249" spans="1:18">
      <c r="A249" s="2">
        <v>40299</v>
      </c>
      <c r="B249" s="3">
        <v>1433.2400000000002</v>
      </c>
      <c r="C249" s="3">
        <v>2209.1558064516139</v>
      </c>
      <c r="D249" s="3">
        <v>62798.439032258073</v>
      </c>
      <c r="E249" s="3">
        <v>3822.5973225806461</v>
      </c>
      <c r="F249" s="3"/>
      <c r="G249" s="3">
        <v>31618.370322580649</v>
      </c>
      <c r="H249" s="3">
        <v>1327.6438709677416</v>
      </c>
      <c r="I249" s="3">
        <v>2680.5738064516127</v>
      </c>
      <c r="J249" s="3">
        <v>19981.504516129033</v>
      </c>
      <c r="K249" s="3">
        <v>10255.091935483868</v>
      </c>
      <c r="L249" s="3">
        <v>1122.9477419354839</v>
      </c>
      <c r="M249" s="3">
        <v>5237.3374193548389</v>
      </c>
      <c r="N249" s="3"/>
      <c r="O249" s="3">
        <v>9543.6322580645174</v>
      </c>
      <c r="P249" s="3">
        <v>3555.7341935483869</v>
      </c>
      <c r="Q249" s="3">
        <v>19879.928709677413</v>
      </c>
      <c r="R249" s="3">
        <v>246.15967741935484</v>
      </c>
    </row>
    <row r="250" spans="1:18">
      <c r="A250" s="2">
        <v>40330</v>
      </c>
      <c r="B250" s="3">
        <v>1456.8576666666665</v>
      </c>
      <c r="C250" s="3">
        <v>2265.8116666666665</v>
      </c>
      <c r="D250" s="3">
        <v>63400.028333333343</v>
      </c>
      <c r="E250" s="3">
        <v>4007.4651666666668</v>
      </c>
      <c r="F250" s="3"/>
      <c r="G250" s="3">
        <v>32018.530666666669</v>
      </c>
      <c r="H250" s="3">
        <v>1347.1686666666669</v>
      </c>
      <c r="I250" s="3">
        <v>2545.8499666666667</v>
      </c>
      <c r="J250" s="3">
        <v>20116.847333333339</v>
      </c>
      <c r="K250" s="3">
        <v>9799.0360000000001</v>
      </c>
      <c r="L250" s="3">
        <v>1084.5146666666665</v>
      </c>
      <c r="M250" s="3">
        <v>5141.3903333333328</v>
      </c>
      <c r="N250" s="3"/>
      <c r="O250" s="3">
        <v>9459.6266666666688</v>
      </c>
      <c r="P250" s="3">
        <v>3557.0376666666662</v>
      </c>
      <c r="Q250" s="3">
        <v>19768.099666666662</v>
      </c>
      <c r="R250" s="3">
        <v>249.43066666666664</v>
      </c>
    </row>
    <row r="251" spans="1:18">
      <c r="A251" s="2">
        <v>40360</v>
      </c>
      <c r="B251" s="3">
        <v>1520.88935483871</v>
      </c>
      <c r="C251" s="3">
        <v>2308.230322580645</v>
      </c>
      <c r="D251" s="3">
        <v>64036.806451612894</v>
      </c>
      <c r="E251" s="3">
        <v>4220.3787096774195</v>
      </c>
      <c r="F251" s="3"/>
      <c r="G251" s="3">
        <v>32092.950967741941</v>
      </c>
      <c r="H251" s="3">
        <v>1345.2729032258064</v>
      </c>
      <c r="I251" s="3">
        <v>2490.0752903225803</v>
      </c>
      <c r="J251" s="3">
        <v>20426.343870967747</v>
      </c>
      <c r="K251" s="3">
        <v>9445.0290322580622</v>
      </c>
      <c r="L251" s="3">
        <v>1075.3616129032255</v>
      </c>
      <c r="M251" s="3">
        <v>5149.2758064516138</v>
      </c>
      <c r="N251" s="3"/>
      <c r="O251" s="3">
        <v>10063.306451612905</v>
      </c>
      <c r="P251" s="3">
        <v>3533.1541935483874</v>
      </c>
      <c r="Q251" s="3">
        <v>20262.871612903236</v>
      </c>
      <c r="R251" s="3">
        <v>249.59096774193551</v>
      </c>
    </row>
    <row r="252" spans="1:18">
      <c r="A252" s="2">
        <v>40391</v>
      </c>
      <c r="B252" s="3">
        <v>1592.8003225806451</v>
      </c>
      <c r="C252" s="3">
        <v>2391.182903225807</v>
      </c>
      <c r="D252" s="3">
        <v>66627.319999999978</v>
      </c>
      <c r="E252" s="3">
        <v>4467.7540967741934</v>
      </c>
      <c r="F252" s="3"/>
      <c r="G252" s="3">
        <v>32217.017741935488</v>
      </c>
      <c r="H252" s="3">
        <v>1381.5074193548387</v>
      </c>
      <c r="I252" s="3">
        <v>2634.5347419354835</v>
      </c>
      <c r="J252" s="3">
        <v>21099.326774193549</v>
      </c>
      <c r="K252" s="3">
        <v>9276.4680645161316</v>
      </c>
      <c r="L252" s="3">
        <v>1086.9725806451613</v>
      </c>
      <c r="M252" s="3">
        <v>5269.0122580645157</v>
      </c>
      <c r="N252" s="3"/>
      <c r="O252" s="3">
        <v>10367.68064516129</v>
      </c>
      <c r="P252" s="3">
        <v>3610.8025806451606</v>
      </c>
      <c r="Q252" s="3">
        <v>20463.366451612903</v>
      </c>
      <c r="R252" s="3">
        <v>255.36709677419347</v>
      </c>
    </row>
    <row r="253" spans="1:18">
      <c r="A253" s="2">
        <v>40422</v>
      </c>
      <c r="B253" s="3">
        <v>1707.7372413793105</v>
      </c>
      <c r="C253" s="3">
        <v>2491.6620689655169</v>
      </c>
      <c r="D253" s="3">
        <v>67625.372758620695</v>
      </c>
      <c r="E253" s="3">
        <v>4731.3940689655165</v>
      </c>
      <c r="F253" s="3"/>
      <c r="G253" s="3">
        <v>32921.879999999997</v>
      </c>
      <c r="H253" s="3">
        <v>1423.2800000000004</v>
      </c>
      <c r="I253" s="3">
        <v>2634.1055379310351</v>
      </c>
      <c r="J253" s="3">
        <v>21663.484482758624</v>
      </c>
      <c r="K253" s="3">
        <v>9372.0634482758633</v>
      </c>
      <c r="L253" s="3">
        <v>1121.9075862068962</v>
      </c>
      <c r="M253" s="3">
        <v>5513.5513793103446</v>
      </c>
      <c r="N253" s="3"/>
      <c r="O253" s="3">
        <v>10635.068965517241</v>
      </c>
      <c r="P253" s="3">
        <v>3724.0441379310341</v>
      </c>
      <c r="Q253" s="3">
        <v>20618.572068965506</v>
      </c>
      <c r="R253" s="3">
        <v>262.65344827586205</v>
      </c>
    </row>
    <row r="254" spans="1:18">
      <c r="A254" s="2">
        <v>40452</v>
      </c>
      <c r="B254" s="3">
        <v>1846.8696774193552</v>
      </c>
      <c r="C254" s="3">
        <v>2778.4974193548396</v>
      </c>
      <c r="D254" s="3">
        <v>70627.989677419348</v>
      </c>
      <c r="E254" s="3">
        <v>4782.3962580645166</v>
      </c>
      <c r="F254" s="3"/>
      <c r="G254" s="3">
        <v>34744.062258064514</v>
      </c>
      <c r="H254" s="3">
        <v>1492.5025806451615</v>
      </c>
      <c r="I254" s="3">
        <v>2870.8853967741929</v>
      </c>
      <c r="J254" s="3">
        <v>23216.987096774184</v>
      </c>
      <c r="K254" s="3">
        <v>9449.5412903225842</v>
      </c>
      <c r="L254" s="3">
        <v>1171.3258064516128</v>
      </c>
      <c r="M254" s="3">
        <v>5682.949032258065</v>
      </c>
      <c r="N254" s="3"/>
      <c r="O254" s="3">
        <v>10760.445161290325</v>
      </c>
      <c r="P254" s="3">
        <v>3798.625161290322</v>
      </c>
      <c r="Q254" s="3">
        <v>21043.727741935483</v>
      </c>
      <c r="R254" s="3">
        <v>264.25322580645161</v>
      </c>
    </row>
    <row r="255" spans="1:18">
      <c r="A255" s="2">
        <v>40483</v>
      </c>
      <c r="B255" s="3">
        <v>1830.4623333333332</v>
      </c>
      <c r="C255" s="3">
        <v>3260.5546666666683</v>
      </c>
      <c r="D255" s="3">
        <v>70457.503333333341</v>
      </c>
      <c r="E255" s="3">
        <v>4969.4207333333343</v>
      </c>
      <c r="F255" s="3"/>
      <c r="G255" s="3">
        <v>36373.421666666669</v>
      </c>
      <c r="H255" s="3">
        <v>1552.5346666666669</v>
      </c>
      <c r="I255" s="3">
        <v>2972.3742099999999</v>
      </c>
      <c r="J255" s="3">
        <v>23829.086000000007</v>
      </c>
      <c r="K255" s="3">
        <v>9801.4760000000006</v>
      </c>
      <c r="L255" s="3">
        <v>1200.1130000000001</v>
      </c>
      <c r="M255" s="3">
        <v>5743.4440000000013</v>
      </c>
      <c r="N255" s="3"/>
      <c r="O255" s="3">
        <v>10126.533333333333</v>
      </c>
      <c r="P255" s="3">
        <v>3822.5836666666669</v>
      </c>
      <c r="Q255" s="3">
        <v>20652.878666666675</v>
      </c>
      <c r="R255" s="3">
        <v>268.67966666666666</v>
      </c>
    </row>
    <row r="256" spans="1:18">
      <c r="A256" s="2">
        <v>40513</v>
      </c>
      <c r="B256" s="3">
        <v>1833.2729032258062</v>
      </c>
      <c r="C256" s="3">
        <v>3432.0190322580643</v>
      </c>
      <c r="D256" s="3">
        <v>68594.489999999976</v>
      </c>
      <c r="E256" s="3">
        <v>4946.4432258064526</v>
      </c>
      <c r="F256" s="3"/>
      <c r="G256" s="3">
        <v>37871.798387096766</v>
      </c>
      <c r="H256" s="3">
        <v>1664.0254838709673</v>
      </c>
      <c r="I256" s="3">
        <v>2847.7419032258076</v>
      </c>
      <c r="J256" s="3">
        <v>23037.375161290322</v>
      </c>
      <c r="K256" s="3">
        <v>10253.729354838708</v>
      </c>
      <c r="L256" s="3">
        <v>1241.9970967741933</v>
      </c>
      <c r="M256" s="3">
        <v>5875.2090322580671</v>
      </c>
      <c r="N256" s="3"/>
      <c r="O256" s="3">
        <v>10014.699999999997</v>
      </c>
      <c r="P256" s="3">
        <v>3847.3409677419363</v>
      </c>
      <c r="Q256" s="3">
        <v>20369.750645161286</v>
      </c>
      <c r="R256" s="3">
        <v>276.57258064516134</v>
      </c>
    </row>
    <row r="257" spans="1:18">
      <c r="A257" s="2">
        <v>40544</v>
      </c>
      <c r="B257" s="3">
        <v>1779.9254838709678</v>
      </c>
      <c r="C257" s="3">
        <v>3588.5964516129025</v>
      </c>
      <c r="D257" s="3">
        <v>69589.839677419382</v>
      </c>
      <c r="E257" s="3">
        <v>4880.753225806453</v>
      </c>
      <c r="F257" s="3"/>
      <c r="G257" s="3">
        <v>37904.587096774194</v>
      </c>
      <c r="H257" s="3">
        <v>1725.1045161290324</v>
      </c>
      <c r="I257" s="3">
        <v>2772.6549838709684</v>
      </c>
      <c r="J257" s="3">
        <v>23811.549677419353</v>
      </c>
      <c r="K257" s="3">
        <v>10423.18548387097</v>
      </c>
      <c r="L257" s="3">
        <v>1280.9596774193546</v>
      </c>
      <c r="M257" s="3">
        <v>5956.760645161291</v>
      </c>
      <c r="N257" s="3"/>
      <c r="O257" s="3">
        <v>10287.051612903228</v>
      </c>
      <c r="P257" s="3">
        <v>3952.3170967741944</v>
      </c>
      <c r="Q257" s="3">
        <v>21309.977741935483</v>
      </c>
      <c r="R257" s="3">
        <v>281.35935483870969</v>
      </c>
    </row>
    <row r="258" spans="1:18">
      <c r="A258" s="2">
        <v>40575</v>
      </c>
      <c r="B258" s="3">
        <v>1697.0633333333333</v>
      </c>
      <c r="C258" s="3">
        <v>3520.7729629629634</v>
      </c>
      <c r="D258" s="3">
        <v>66496.682962962965</v>
      </c>
      <c r="E258" s="3">
        <v>4503.4014074074057</v>
      </c>
      <c r="F258" s="3"/>
      <c r="G258" s="3">
        <v>37180.935185185197</v>
      </c>
      <c r="H258" s="3">
        <v>1725.4562962962964</v>
      </c>
      <c r="I258" s="3">
        <v>2852.062325925926</v>
      </c>
      <c r="J258" s="3">
        <v>23297.679629629623</v>
      </c>
      <c r="K258" s="3">
        <v>10627.385925925926</v>
      </c>
      <c r="L258" s="3">
        <v>1323.34037037037</v>
      </c>
      <c r="M258" s="3">
        <v>6026.185185185187</v>
      </c>
      <c r="N258" s="3"/>
      <c r="O258" s="3">
        <v>10877.203703703706</v>
      </c>
      <c r="P258" s="3">
        <v>4089.2500000000005</v>
      </c>
      <c r="Q258" s="3">
        <v>22615.667407407407</v>
      </c>
      <c r="R258" s="3">
        <v>287.06111111111113</v>
      </c>
    </row>
    <row r="259" spans="1:18">
      <c r="A259" s="2">
        <v>40603</v>
      </c>
      <c r="B259" s="3">
        <v>1732.0880645161292</v>
      </c>
      <c r="C259" s="3">
        <v>3369.4961290322581</v>
      </c>
      <c r="D259" s="3">
        <v>67297.116129032249</v>
      </c>
      <c r="E259" s="3">
        <v>4458.3348387096776</v>
      </c>
      <c r="F259" s="3"/>
      <c r="G259" s="3">
        <v>36401.755161290326</v>
      </c>
      <c r="H259" s="3">
        <v>1763.8116129032255</v>
      </c>
      <c r="I259" s="3">
        <v>2941.4507451612899</v>
      </c>
      <c r="J259" s="3">
        <v>23089.379032258072</v>
      </c>
      <c r="K259" s="3">
        <v>9849.7583870967737</v>
      </c>
      <c r="L259" s="3">
        <v>1304.5174193548391</v>
      </c>
      <c r="M259" s="3">
        <v>5857.575806451614</v>
      </c>
      <c r="N259" s="3"/>
      <c r="O259" s="3">
        <v>10527.177419354839</v>
      </c>
      <c r="P259" s="3">
        <v>3939.3735483870969</v>
      </c>
      <c r="Q259" s="3">
        <v>21828.014838709674</v>
      </c>
      <c r="R259" s="3">
        <v>275.6051612903226</v>
      </c>
    </row>
    <row r="260" spans="1:18">
      <c r="A260" s="2">
        <v>40634</v>
      </c>
      <c r="B260" s="3">
        <v>1693.9443333333336</v>
      </c>
      <c r="C260" s="3">
        <v>3422.2580000000003</v>
      </c>
      <c r="D260" s="3">
        <v>67492.51866666667</v>
      </c>
      <c r="E260" s="3">
        <v>4719.8749333333335</v>
      </c>
      <c r="F260" s="3"/>
      <c r="G260" s="3">
        <v>37172.90400000001</v>
      </c>
      <c r="H260" s="3">
        <v>1800.3649999999993</v>
      </c>
      <c r="I260" s="3">
        <v>2996.2045700000008</v>
      </c>
      <c r="J260" s="3">
        <v>24033.355000000007</v>
      </c>
      <c r="K260" s="3">
        <v>9669.7459999999974</v>
      </c>
      <c r="L260" s="3">
        <v>1332.2123333333336</v>
      </c>
      <c r="M260" s="3">
        <v>6015.9219999999968</v>
      </c>
      <c r="N260" s="3"/>
      <c r="O260" s="3">
        <v>10699.99666666667</v>
      </c>
      <c r="P260" s="3">
        <v>4025.4026666666673</v>
      </c>
      <c r="Q260" s="3">
        <v>21995.485666666664</v>
      </c>
      <c r="R260" s="3">
        <v>279.90933333333334</v>
      </c>
    </row>
    <row r="261" spans="1:18">
      <c r="A261" s="2">
        <v>40664</v>
      </c>
      <c r="B261" s="3">
        <v>1702.050967741935</v>
      </c>
      <c r="C261" s="3">
        <v>3341.4648387096781</v>
      </c>
      <c r="D261" s="3">
        <v>63783.88483870968</v>
      </c>
      <c r="E261" s="3">
        <v>4828.6008709677426</v>
      </c>
      <c r="F261" s="3"/>
      <c r="G261" s="3">
        <v>35483.856129032261</v>
      </c>
      <c r="H261" s="3">
        <v>1644.574516129032</v>
      </c>
      <c r="I261" s="3">
        <v>2832.1970580645152</v>
      </c>
      <c r="J261" s="3">
        <v>23191.691612903229</v>
      </c>
      <c r="K261" s="3">
        <v>9693.5874193548334</v>
      </c>
      <c r="L261" s="3">
        <v>1338.1906451612899</v>
      </c>
      <c r="M261" s="3">
        <v>5948.9590322580652</v>
      </c>
      <c r="N261" s="3"/>
      <c r="O261" s="3">
        <v>10416.758064516129</v>
      </c>
      <c r="P261" s="3">
        <v>4003.6909677419362</v>
      </c>
      <c r="Q261" s="3">
        <v>21490.736129032255</v>
      </c>
      <c r="R261" s="3">
        <v>279.90516129032255</v>
      </c>
    </row>
    <row r="262" spans="1:18">
      <c r="A262" s="2">
        <v>40695</v>
      </c>
      <c r="B262" s="3">
        <v>1727.2263333333335</v>
      </c>
      <c r="C262" s="3">
        <v>3244.2906666666668</v>
      </c>
      <c r="D262" s="3">
        <v>62257.003666666671</v>
      </c>
      <c r="E262" s="3">
        <v>4730.1873666666661</v>
      </c>
      <c r="F262" s="3"/>
      <c r="G262" s="3">
        <v>35297.209666666669</v>
      </c>
      <c r="H262" s="3">
        <v>1652.7649999999994</v>
      </c>
      <c r="I262" s="3">
        <v>2708.4903866666664</v>
      </c>
      <c r="J262" s="3">
        <v>22353.812666666669</v>
      </c>
      <c r="K262" s="3">
        <v>9532.907666666666</v>
      </c>
      <c r="L262" s="3">
        <v>1284.751</v>
      </c>
      <c r="M262" s="3">
        <v>5783.162666666668</v>
      </c>
      <c r="N262" s="3"/>
      <c r="O262" s="3">
        <v>10078.83666666667</v>
      </c>
      <c r="P262" s="3">
        <v>3846.056</v>
      </c>
      <c r="Q262" s="3">
        <v>20072.037333333337</v>
      </c>
      <c r="R262" s="3">
        <v>269.01800000000003</v>
      </c>
    </row>
    <row r="263" spans="1:18">
      <c r="A263" s="2">
        <v>40725</v>
      </c>
      <c r="B263" s="3">
        <v>1647.5938709677416</v>
      </c>
      <c r="C263" s="3">
        <v>3367.0535483870976</v>
      </c>
      <c r="D263" s="3">
        <v>60517.051935483862</v>
      </c>
      <c r="E263" s="3">
        <v>4665.4023548387086</v>
      </c>
      <c r="F263" s="3"/>
      <c r="G263" s="3">
        <v>36125.735161290329</v>
      </c>
      <c r="H263" s="3">
        <v>1713.1235483870964</v>
      </c>
      <c r="I263" s="3">
        <v>2772.3998419354848</v>
      </c>
      <c r="J263" s="3">
        <v>22315.304193548385</v>
      </c>
      <c r="K263" s="3">
        <v>9993.5116129032249</v>
      </c>
      <c r="L263" s="3">
        <v>1326.3606451612898</v>
      </c>
      <c r="M263" s="3">
        <v>5911.4341935483881</v>
      </c>
      <c r="N263" s="3"/>
      <c r="O263" s="3">
        <v>9873.9806451612912</v>
      </c>
      <c r="P263" s="3">
        <v>3822.5280645161292</v>
      </c>
      <c r="Q263" s="3">
        <v>19088.687419354843</v>
      </c>
      <c r="R263" s="3">
        <v>270.20064516129037</v>
      </c>
    </row>
    <row r="264" spans="1:18">
      <c r="A264" s="2">
        <v>40756</v>
      </c>
      <c r="B264" s="3">
        <v>1604.8806451612907</v>
      </c>
      <c r="C264" s="3">
        <v>2963.3870967741927</v>
      </c>
      <c r="D264" s="3">
        <v>53638.547096774186</v>
      </c>
      <c r="E264" s="3">
        <v>4170.9179677419361</v>
      </c>
      <c r="F264" s="3"/>
      <c r="G264" s="3">
        <v>33833.076774193549</v>
      </c>
      <c r="H264" s="3">
        <v>1508.5903225806453</v>
      </c>
      <c r="I264" s="3">
        <v>2592.2518548387102</v>
      </c>
      <c r="J264" s="3">
        <v>20218.467741935481</v>
      </c>
      <c r="K264" s="3">
        <v>9039.9651612903235</v>
      </c>
      <c r="L264" s="3">
        <v>1181.2603225806449</v>
      </c>
      <c r="M264" s="3">
        <v>5244.3306451612916</v>
      </c>
      <c r="N264" s="3"/>
      <c r="O264" s="3">
        <v>8497.6838709677413</v>
      </c>
      <c r="P264" s="3">
        <v>3188.2803225806442</v>
      </c>
      <c r="Q264" s="3">
        <v>15523.482903225809</v>
      </c>
      <c r="R264" s="3">
        <v>233.84903225806454</v>
      </c>
    </row>
    <row r="265" spans="1:18">
      <c r="A265" s="2">
        <v>40787</v>
      </c>
      <c r="B265" s="3">
        <v>1633.8162068965521</v>
      </c>
      <c r="C265" s="3">
        <v>2701.6106896551732</v>
      </c>
      <c r="D265" s="3">
        <v>55595.302758620688</v>
      </c>
      <c r="E265" s="3">
        <v>4046.8369310344824</v>
      </c>
      <c r="F265" s="3"/>
      <c r="G265" s="3">
        <v>34227.839655172414</v>
      </c>
      <c r="H265" s="3">
        <v>1474.1058620689657</v>
      </c>
      <c r="I265" s="3">
        <v>2469.3501379310342</v>
      </c>
      <c r="J265" s="3">
        <v>19100.863103448282</v>
      </c>
      <c r="K265" s="3">
        <v>8724.0786206896573</v>
      </c>
      <c r="L265" s="3">
        <v>1174.1475862068964</v>
      </c>
      <c r="M265" s="3">
        <v>5236.0006896551731</v>
      </c>
      <c r="N265" s="3"/>
      <c r="O265" s="3">
        <v>8217.7896551724134</v>
      </c>
      <c r="P265" s="3">
        <v>2991.2703448275865</v>
      </c>
      <c r="Q265" s="3">
        <v>14389.2124137931</v>
      </c>
      <c r="R265" s="3">
        <v>226.1803448275862</v>
      </c>
    </row>
    <row r="266" spans="1:18">
      <c r="A266" s="2">
        <v>40817</v>
      </c>
      <c r="B266" s="3">
        <v>1609.6338709677418</v>
      </c>
      <c r="C266" s="3">
        <v>2645.8429032258068</v>
      </c>
      <c r="D266" s="3">
        <v>54643.838064516109</v>
      </c>
      <c r="E266" s="3">
        <v>4029.3445483870973</v>
      </c>
      <c r="F266" s="3"/>
      <c r="G266" s="3">
        <v>34572.166774193545</v>
      </c>
      <c r="H266" s="3">
        <v>1415.0632258064511</v>
      </c>
      <c r="I266" s="3">
        <v>2390.1730129032262</v>
      </c>
      <c r="J266" s="3">
        <v>18289.802903225802</v>
      </c>
      <c r="K266" s="3">
        <v>8736.8819354838724</v>
      </c>
      <c r="L266" s="3">
        <v>1207.1335483870967</v>
      </c>
      <c r="M266" s="3">
        <v>5411.5890322580635</v>
      </c>
      <c r="N266" s="3"/>
      <c r="O266" s="3">
        <v>8843.3612903225803</v>
      </c>
      <c r="P266" s="3">
        <v>3153.1264516129031</v>
      </c>
      <c r="Q266" s="3">
        <v>15877.08838709677</v>
      </c>
      <c r="R266" s="3">
        <v>236.36806451612907</v>
      </c>
    </row>
    <row r="267" spans="1:18">
      <c r="A267" s="2">
        <v>40848</v>
      </c>
      <c r="B267" s="3">
        <v>1559.3048275862066</v>
      </c>
      <c r="C267" s="3">
        <v>2603.4624137931037</v>
      </c>
      <c r="D267" s="3">
        <v>57119.617931034481</v>
      </c>
      <c r="E267" s="3">
        <v>4218.2284137931038</v>
      </c>
      <c r="F267" s="3"/>
      <c r="G267" s="3">
        <v>36291.669310344827</v>
      </c>
      <c r="H267" s="3">
        <v>1464.1668965517242</v>
      </c>
      <c r="I267" s="3">
        <v>2452.6965310344826</v>
      </c>
      <c r="J267" s="3">
        <v>18810.875517241373</v>
      </c>
      <c r="K267" s="3">
        <v>8481.9806896551727</v>
      </c>
      <c r="L267" s="3">
        <v>1222.2779310344831</v>
      </c>
      <c r="M267" s="3">
        <v>5397.5341379310348</v>
      </c>
      <c r="N267" s="3"/>
      <c r="O267" s="3">
        <v>8271.1689655172413</v>
      </c>
      <c r="P267" s="3">
        <v>3029.5293103448266</v>
      </c>
      <c r="Q267" s="3">
        <v>15017.121724137936</v>
      </c>
      <c r="R267" s="3">
        <v>233.28068965517247</v>
      </c>
    </row>
    <row r="268" spans="1:18">
      <c r="A268" s="2">
        <v>40878</v>
      </c>
      <c r="B268" s="3">
        <v>1577.1712903225812</v>
      </c>
      <c r="C268" s="3">
        <v>2499.7538709677424</v>
      </c>
      <c r="D268" s="3">
        <v>57384.634516129059</v>
      </c>
      <c r="E268" s="3">
        <v>4160.3888064516132</v>
      </c>
      <c r="F268" s="3"/>
      <c r="G268" s="3">
        <v>36748.743225806458</v>
      </c>
      <c r="H268" s="3">
        <v>1412.2412903225804</v>
      </c>
      <c r="I268" s="3">
        <v>2254.3582580645161</v>
      </c>
      <c r="J268" s="3">
        <v>18596.419677419355</v>
      </c>
      <c r="K268" s="3">
        <v>8497.7587096774205</v>
      </c>
      <c r="L268" s="3">
        <v>1245.2138709677417</v>
      </c>
      <c r="M268" s="3">
        <v>5489.1100000000015</v>
      </c>
      <c r="N268" s="3"/>
      <c r="O268" s="3">
        <v>8469.3354838709674</v>
      </c>
      <c r="P268" s="3">
        <v>3097.2880645161285</v>
      </c>
      <c r="Q268" s="3">
        <v>15081.189032258064</v>
      </c>
      <c r="R268" s="3">
        <v>239.29354838709676</v>
      </c>
    </row>
    <row r="269" spans="1:18">
      <c r="A269" s="2">
        <v>40909</v>
      </c>
      <c r="B269" s="3">
        <v>1600.8093548387099</v>
      </c>
      <c r="C269" s="3">
        <v>2783.8819354838702</v>
      </c>
      <c r="D269" s="3">
        <v>60639.583225806433</v>
      </c>
      <c r="E269" s="3">
        <v>4220.3829032258081</v>
      </c>
      <c r="F269" s="3"/>
      <c r="G269" s="3">
        <v>37111.066129032253</v>
      </c>
      <c r="H269" s="3">
        <v>1472.793225806452</v>
      </c>
      <c r="I269" s="3">
        <v>2259.3084709677428</v>
      </c>
      <c r="J269" s="3">
        <v>19491.089032258064</v>
      </c>
      <c r="K269" s="3">
        <v>8595.7990322580627</v>
      </c>
      <c r="L269" s="3">
        <v>1297.1954838709682</v>
      </c>
      <c r="M269" s="3">
        <v>5684.6648387096775</v>
      </c>
      <c r="N269" s="3"/>
      <c r="O269" s="3">
        <v>8513.935483870966</v>
      </c>
      <c r="P269" s="3">
        <v>3245.8554838709665</v>
      </c>
      <c r="Q269" s="3">
        <v>15359.965483870967</v>
      </c>
      <c r="R269" s="3">
        <v>251.85612903225802</v>
      </c>
    </row>
    <row r="270" spans="1:18">
      <c r="A270" s="2">
        <v>40940</v>
      </c>
      <c r="B270" s="3">
        <v>1681.8189655172414</v>
      </c>
      <c r="C270" s="3">
        <v>2769.1331034482764</v>
      </c>
      <c r="D270" s="3">
        <v>65493.747931034479</v>
      </c>
      <c r="E270" s="3">
        <v>4454.5827931034491</v>
      </c>
      <c r="F270" s="3"/>
      <c r="G270" s="3">
        <v>38003.382413793093</v>
      </c>
      <c r="H270" s="3">
        <v>1562.073103448276</v>
      </c>
      <c r="I270" s="3">
        <v>2367.0390137931035</v>
      </c>
      <c r="J270" s="3">
        <v>21123.329999999994</v>
      </c>
      <c r="K270" s="3">
        <v>9231.3851724137949</v>
      </c>
      <c r="L270" s="3">
        <v>1353.1034482758619</v>
      </c>
      <c r="M270" s="3">
        <v>5894.744827586208</v>
      </c>
      <c r="N270" s="3"/>
      <c r="O270" s="3">
        <v>8710.0379310344852</v>
      </c>
      <c r="P270" s="3">
        <v>3422.1693103448279</v>
      </c>
      <c r="Q270" s="3">
        <v>16457.248275862068</v>
      </c>
      <c r="R270" s="3">
        <v>263.93206896551726</v>
      </c>
    </row>
    <row r="271" spans="1:18">
      <c r="A271" s="2">
        <v>40969</v>
      </c>
      <c r="B271" s="3">
        <v>1727.6577419354842</v>
      </c>
      <c r="C271" s="3">
        <v>2706.6725806451614</v>
      </c>
      <c r="D271" s="3">
        <v>66643.747419354826</v>
      </c>
      <c r="E271" s="3">
        <v>4581.880580645161</v>
      </c>
      <c r="F271" s="3"/>
      <c r="G271" s="3">
        <v>38276.172580645158</v>
      </c>
      <c r="H271" s="3">
        <v>1575.9696774193553</v>
      </c>
      <c r="I271" s="3">
        <v>2387.6439838709675</v>
      </c>
      <c r="J271" s="3">
        <v>21035.855483870964</v>
      </c>
      <c r="K271" s="3">
        <v>9971.9670967741913</v>
      </c>
      <c r="L271" s="3">
        <v>1388.8809677419351</v>
      </c>
      <c r="M271" s="3">
        <v>5879.5283870967751</v>
      </c>
      <c r="N271" s="3"/>
      <c r="O271" s="3">
        <v>8326.8064516128998</v>
      </c>
      <c r="P271" s="3">
        <v>3494.3045161290315</v>
      </c>
      <c r="Q271" s="3">
        <v>16630.829354838708</v>
      </c>
      <c r="R271" s="3">
        <v>266.60806451612899</v>
      </c>
    </row>
    <row r="272" spans="1:18">
      <c r="A272" s="2">
        <v>41000</v>
      </c>
      <c r="B272" s="3">
        <v>1752.4456666666663</v>
      </c>
      <c r="C272" s="3">
        <v>2439.1070000000004</v>
      </c>
      <c r="D272" s="3">
        <v>62658.389333333325</v>
      </c>
      <c r="E272" s="3">
        <v>4584.661533333332</v>
      </c>
      <c r="F272" s="3"/>
      <c r="G272" s="3">
        <v>39315.838666666656</v>
      </c>
      <c r="H272" s="3">
        <v>1493.1776666666665</v>
      </c>
      <c r="I272" s="3">
        <v>2348.2747333333323</v>
      </c>
      <c r="J272" s="3">
        <v>20686.962333333326</v>
      </c>
      <c r="K272" s="3">
        <v>9632.3410000000022</v>
      </c>
      <c r="L272" s="3">
        <v>1387.8529999999998</v>
      </c>
      <c r="M272" s="3">
        <v>5728.3739999999971</v>
      </c>
      <c r="N272" s="3"/>
      <c r="O272" s="3">
        <v>7341.7666666666673</v>
      </c>
      <c r="P272" s="3">
        <v>3257.2763333333342</v>
      </c>
      <c r="Q272" s="3">
        <v>14783.003666666675</v>
      </c>
      <c r="R272" s="3">
        <v>257.65533333333332</v>
      </c>
    </row>
    <row r="273" spans="1:18">
      <c r="A273" s="2">
        <v>41030</v>
      </c>
      <c r="B273" s="3">
        <v>1749.7335483870963</v>
      </c>
      <c r="C273" s="3">
        <v>2256.4858064516134</v>
      </c>
      <c r="D273" s="3">
        <v>57332.203870967714</v>
      </c>
      <c r="E273" s="3">
        <v>4373.7824193548386</v>
      </c>
      <c r="F273" s="3"/>
      <c r="G273" s="3">
        <v>38287.606451612897</v>
      </c>
      <c r="H273" s="3">
        <v>1341.5703225806453</v>
      </c>
      <c r="I273" s="3">
        <v>2386.9115161290329</v>
      </c>
      <c r="J273" s="3">
        <v>19679.36032258064</v>
      </c>
      <c r="K273" s="3">
        <v>8887.2380645161284</v>
      </c>
      <c r="L273" s="3">
        <v>1338.6090322580646</v>
      </c>
      <c r="M273" s="3">
        <v>5467.9451612903222</v>
      </c>
      <c r="N273" s="3"/>
      <c r="O273" s="3">
        <v>6684.5161290322585</v>
      </c>
      <c r="P273" s="3">
        <v>3089.1712903225803</v>
      </c>
      <c r="Q273" s="3">
        <v>13522.835483870969</v>
      </c>
      <c r="R273" s="3">
        <v>246.8122580645161</v>
      </c>
    </row>
    <row r="274" spans="1:18">
      <c r="A274" s="2">
        <v>41061</v>
      </c>
      <c r="B274" s="3">
        <v>1652.9726666666672</v>
      </c>
      <c r="C274" s="3">
        <v>2257.775666666666</v>
      </c>
      <c r="D274" s="3">
        <v>54685.618666666647</v>
      </c>
      <c r="E274" s="3">
        <v>4319.366133333333</v>
      </c>
      <c r="F274" s="3"/>
      <c r="G274" s="3">
        <v>38125.762666666669</v>
      </c>
      <c r="H274" s="3">
        <v>1345.5193333333334</v>
      </c>
      <c r="I274" s="3">
        <v>2286.06396</v>
      </c>
      <c r="J274" s="3">
        <v>18925.55433333333</v>
      </c>
      <c r="K274" s="3">
        <v>8631.360333333334</v>
      </c>
      <c r="L274" s="3">
        <v>1323.9483333333333</v>
      </c>
      <c r="M274" s="3">
        <v>5453.1833333333334</v>
      </c>
      <c r="N274" s="3"/>
      <c r="O274" s="3">
        <v>6596.0066666666662</v>
      </c>
      <c r="P274" s="3">
        <v>3057.722999999999</v>
      </c>
      <c r="Q274" s="3">
        <v>13328.279666666665</v>
      </c>
      <c r="R274" s="3">
        <v>243.10766666666669</v>
      </c>
    </row>
    <row r="275" spans="1:18">
      <c r="A275" s="2">
        <v>41091</v>
      </c>
      <c r="B275" s="3">
        <v>1663.7925806451613</v>
      </c>
      <c r="C275" s="3">
        <v>2406.3812903225808</v>
      </c>
      <c r="D275" s="3">
        <v>54762.992903225815</v>
      </c>
      <c r="E275" s="3">
        <v>4355.2127741935492</v>
      </c>
      <c r="F275" s="3"/>
      <c r="G275" s="3">
        <v>40589.206451612903</v>
      </c>
      <c r="H275" s="3">
        <v>1410.9954838709682</v>
      </c>
      <c r="I275" s="3">
        <v>2172.6752548387099</v>
      </c>
      <c r="J275" s="3">
        <v>19397.369354838713</v>
      </c>
      <c r="K275" s="3">
        <v>8763.4806451612894</v>
      </c>
      <c r="L275" s="3">
        <v>1361.6664516129031</v>
      </c>
      <c r="M275" s="3">
        <v>5638.3529032258075</v>
      </c>
      <c r="N275" s="3"/>
      <c r="O275" s="3">
        <v>6631.7161290322574</v>
      </c>
      <c r="P275" s="3">
        <v>3201.102903225807</v>
      </c>
      <c r="Q275" s="3">
        <v>13616.881290322577</v>
      </c>
      <c r="R275" s="3">
        <v>256.4296774193549</v>
      </c>
    </row>
    <row r="276" spans="1:18">
      <c r="A276" s="2">
        <v>41122</v>
      </c>
      <c r="B276" s="3">
        <v>1665.2716666666663</v>
      </c>
      <c r="C276" s="3">
        <v>2431.6236666666659</v>
      </c>
      <c r="D276" s="3">
        <v>58260.665666666668</v>
      </c>
      <c r="E276" s="3">
        <v>4189.1640333333335</v>
      </c>
      <c r="F276" s="3"/>
      <c r="G276" s="3">
        <v>40484.84399999999</v>
      </c>
      <c r="H276" s="3">
        <v>1441.0663333333332</v>
      </c>
      <c r="I276" s="3">
        <v>2117.7016166666663</v>
      </c>
      <c r="J276" s="3">
        <v>19941.436333333335</v>
      </c>
      <c r="K276" s="3">
        <v>8934.8090000000011</v>
      </c>
      <c r="L276" s="3">
        <v>1403.7756666666669</v>
      </c>
      <c r="M276" s="3">
        <v>5799.4679999999998</v>
      </c>
      <c r="N276" s="3"/>
      <c r="O276" s="3">
        <v>7170.4599999999982</v>
      </c>
      <c r="P276" s="3">
        <v>3426.8180000000007</v>
      </c>
      <c r="Q276" s="3">
        <v>14682.163333333332</v>
      </c>
      <c r="R276" s="3">
        <v>268.31866666666667</v>
      </c>
    </row>
    <row r="277" spans="1:18">
      <c r="A277" s="2">
        <v>41153</v>
      </c>
      <c r="B277" s="3">
        <v>1688.1206666666665</v>
      </c>
      <c r="C277" s="3">
        <v>2460.7679999999991</v>
      </c>
      <c r="D277" s="3">
        <v>59845.897666666686</v>
      </c>
      <c r="E277" s="3">
        <v>4191.4173000000001</v>
      </c>
      <c r="F277" s="3"/>
      <c r="G277" s="3">
        <v>40299.063666666647</v>
      </c>
      <c r="H277" s="3">
        <v>1477.201</v>
      </c>
      <c r="I277" s="3">
        <v>2074.2303500000003</v>
      </c>
      <c r="J277" s="3">
        <v>20250.491666666665</v>
      </c>
      <c r="K277" s="3">
        <v>8962.8273333333327</v>
      </c>
      <c r="L277" s="3">
        <v>1441.7909999999999</v>
      </c>
      <c r="M277" s="3">
        <v>5804.7316666666684</v>
      </c>
      <c r="N277" s="3"/>
      <c r="O277" s="3">
        <v>7903.41</v>
      </c>
      <c r="P277" s="3">
        <v>3487.1870000000013</v>
      </c>
      <c r="Q277" s="3">
        <v>15839.380000000005</v>
      </c>
      <c r="R277" s="3">
        <v>272.0569999999999</v>
      </c>
    </row>
    <row r="278" spans="1:18">
      <c r="A278" s="2">
        <v>41183</v>
      </c>
      <c r="B278" s="3">
        <v>1747.854333333333</v>
      </c>
      <c r="C278" s="3">
        <v>2419.8093333333336</v>
      </c>
      <c r="D278" s="3">
        <v>58625.19466666667</v>
      </c>
      <c r="E278" s="3">
        <v>4264.0591999999997</v>
      </c>
      <c r="F278" s="3"/>
      <c r="G278" s="3">
        <v>41865.418333333335</v>
      </c>
      <c r="H278" s="3">
        <v>1458.3326666666665</v>
      </c>
      <c r="I278" s="3">
        <v>2097.9173566666668</v>
      </c>
      <c r="J278" s="3">
        <v>21273.051999999992</v>
      </c>
      <c r="K278" s="3">
        <v>8826.6353333333318</v>
      </c>
      <c r="L278" s="3">
        <v>1435.8463333333336</v>
      </c>
      <c r="M278" s="3">
        <v>5835.3096666666661</v>
      </c>
      <c r="N278" s="3"/>
      <c r="O278" s="3">
        <v>7829.6566666666658</v>
      </c>
      <c r="P278" s="3">
        <v>3438.5606666666667</v>
      </c>
      <c r="Q278" s="3">
        <v>15673.823666666669</v>
      </c>
      <c r="R278" s="3">
        <v>271.7116666666667</v>
      </c>
    </row>
    <row r="279" spans="1:18">
      <c r="A279" s="2">
        <v>41214</v>
      </c>
      <c r="B279" s="3">
        <v>1744.7996666666666</v>
      </c>
      <c r="C279" s="3">
        <v>2350.1646666666657</v>
      </c>
      <c r="D279" s="3">
        <v>57192.822666666674</v>
      </c>
      <c r="E279" s="3">
        <v>4196.9548333333341</v>
      </c>
      <c r="F279" s="3"/>
      <c r="G279" s="3">
        <v>41369.18233333333</v>
      </c>
      <c r="H279" s="3">
        <v>1406.047</v>
      </c>
      <c r="I279" s="3">
        <v>2046.5607733333336</v>
      </c>
      <c r="J279" s="3">
        <v>21648.047666666673</v>
      </c>
      <c r="K279" s="3">
        <v>9067.4473333333335</v>
      </c>
      <c r="L279" s="3">
        <v>1393.3983333333338</v>
      </c>
      <c r="M279" s="3">
        <v>5781.7123333333338</v>
      </c>
      <c r="N279" s="3"/>
      <c r="O279" s="3">
        <v>7782.4966666666687</v>
      </c>
      <c r="P279" s="3">
        <v>3457.5063333333337</v>
      </c>
      <c r="Q279" s="3">
        <v>15413.132666666668</v>
      </c>
      <c r="R279" s="3">
        <v>271.03233333333327</v>
      </c>
    </row>
    <row r="280" spans="1:18">
      <c r="A280" s="2">
        <v>41244</v>
      </c>
      <c r="B280" s="3">
        <v>1808.344838709678</v>
      </c>
      <c r="C280" s="3">
        <v>2671.5841935483872</v>
      </c>
      <c r="D280" s="3">
        <v>59693.867741935508</v>
      </c>
      <c r="E280" s="3">
        <v>4235.1643225806456</v>
      </c>
      <c r="F280" s="3"/>
      <c r="G280" s="3">
        <v>43148.606451612897</v>
      </c>
      <c r="H280" s="3">
        <v>1458.7119354838712</v>
      </c>
      <c r="I280" s="3">
        <v>2121.8097064516128</v>
      </c>
      <c r="J280" s="3">
        <v>22412.926774193544</v>
      </c>
      <c r="K280" s="3">
        <v>9835.5099999999984</v>
      </c>
      <c r="L280" s="3">
        <v>1420.4254838709683</v>
      </c>
      <c r="M280" s="3">
        <v>5921.8280645161267</v>
      </c>
      <c r="N280" s="3"/>
      <c r="O280" s="3">
        <v>8069.4258064516134</v>
      </c>
      <c r="P280" s="3">
        <v>3628.5370967741928</v>
      </c>
      <c r="Q280" s="3">
        <v>16035.928387096779</v>
      </c>
      <c r="R280" s="3">
        <v>279.34677419354841</v>
      </c>
    </row>
    <row r="281" spans="1:18">
      <c r="A281" s="2">
        <v>41275</v>
      </c>
      <c r="B281" s="3">
        <v>1848.0312903225808</v>
      </c>
      <c r="C281" s="3">
        <v>3170.773225806452</v>
      </c>
      <c r="D281" s="3">
        <v>61568.41225806452</v>
      </c>
      <c r="E281" s="3">
        <v>4463.8036129032253</v>
      </c>
      <c r="F281" s="3"/>
      <c r="G281" s="3">
        <v>45022.704516129044</v>
      </c>
      <c r="H281" s="3">
        <v>1518.2819354838705</v>
      </c>
      <c r="I281" s="3">
        <v>2299.5156096774199</v>
      </c>
      <c r="J281" s="3">
        <v>23437.657741935494</v>
      </c>
      <c r="K281" s="3">
        <v>10739.116451612903</v>
      </c>
      <c r="L281" s="3">
        <v>1479.2061290322579</v>
      </c>
      <c r="M281" s="3">
        <v>6153.5332258064536</v>
      </c>
      <c r="N281" s="3"/>
      <c r="O281" s="3">
        <v>8570.0903225806451</v>
      </c>
      <c r="P281" s="3">
        <v>3732.2583870967746</v>
      </c>
      <c r="Q281" s="3">
        <v>17384.45612903226</v>
      </c>
      <c r="R281" s="3">
        <v>287.37999999999988</v>
      </c>
    </row>
    <row r="282" spans="1:18">
      <c r="A282" s="2">
        <v>41306</v>
      </c>
      <c r="B282" s="3">
        <v>1862.7253571428571</v>
      </c>
      <c r="C282" s="3">
        <v>3273.9417857142862</v>
      </c>
      <c r="D282" s="3">
        <v>58060.575000000004</v>
      </c>
      <c r="E282" s="3">
        <v>4570.8925714285706</v>
      </c>
      <c r="F282" s="3"/>
      <c r="G282" s="3">
        <v>44597.00499999999</v>
      </c>
      <c r="H282" s="3">
        <v>1515.4449999999997</v>
      </c>
      <c r="I282" s="3">
        <v>2395.1226214285716</v>
      </c>
      <c r="J282" s="3">
        <v>23196.256428571418</v>
      </c>
      <c r="K282" s="3">
        <v>11298.362499999999</v>
      </c>
      <c r="L282" s="3">
        <v>1513.8103571428571</v>
      </c>
      <c r="M282" s="3">
        <v>6317.0475000000015</v>
      </c>
      <c r="N282" s="3"/>
      <c r="O282" s="3">
        <v>8152.0071428571418</v>
      </c>
      <c r="P282" s="3">
        <v>3684.5775000000008</v>
      </c>
      <c r="Q282" s="3">
        <v>16498.700357142858</v>
      </c>
      <c r="R282" s="3">
        <v>287.20607142857142</v>
      </c>
    </row>
    <row r="283" spans="1:18">
      <c r="A283" s="2">
        <v>41334</v>
      </c>
      <c r="B283" s="3">
        <v>1789.4441935483876</v>
      </c>
      <c r="C283" s="3">
        <v>3361.2751612903226</v>
      </c>
      <c r="D283" s="3">
        <v>56770.112580645167</v>
      </c>
      <c r="E283" s="3">
        <v>4476.4736774193543</v>
      </c>
      <c r="F283" s="3"/>
      <c r="G283" s="3">
        <v>43487.019677419376</v>
      </c>
      <c r="H283" s="3">
        <v>1467.334193548387</v>
      </c>
      <c r="I283" s="3">
        <v>2298.9641096774199</v>
      </c>
      <c r="J283" s="3">
        <v>22532.248064516127</v>
      </c>
      <c r="K283" s="3">
        <v>12249.147741935487</v>
      </c>
      <c r="L283" s="3">
        <v>1551.5512903225808</v>
      </c>
      <c r="M283" s="3">
        <v>6433.4216129032247</v>
      </c>
      <c r="N283" s="3"/>
      <c r="O283" s="3">
        <v>8330.9580645161295</v>
      </c>
      <c r="P283" s="3">
        <v>3781.6470967741925</v>
      </c>
      <c r="Q283" s="3">
        <v>15829.339999999995</v>
      </c>
      <c r="R283" s="3">
        <v>294.19645161290327</v>
      </c>
    </row>
    <row r="284" spans="1:18">
      <c r="A284" s="2">
        <v>41365</v>
      </c>
      <c r="B284" s="3">
        <v>1725.6143333333337</v>
      </c>
      <c r="C284" s="3">
        <v>3493.3033333333337</v>
      </c>
      <c r="D284" s="3">
        <v>54703.096666666672</v>
      </c>
      <c r="E284" s="3">
        <v>4306.2167333333337</v>
      </c>
      <c r="F284" s="3"/>
      <c r="G284" s="3">
        <v>43123.606333333337</v>
      </c>
      <c r="H284" s="3">
        <v>1382.3806666666665</v>
      </c>
      <c r="I284" s="3">
        <v>2210.9332999999997</v>
      </c>
      <c r="J284" s="3">
        <v>22082.60933333333</v>
      </c>
      <c r="K284" s="3">
        <v>13287.606666666668</v>
      </c>
      <c r="L284" s="3">
        <v>1570.4896666666666</v>
      </c>
      <c r="M284" s="3">
        <v>6356.2430000000013</v>
      </c>
      <c r="N284" s="3"/>
      <c r="O284" s="3">
        <v>8045.0533333333324</v>
      </c>
      <c r="P284" s="3">
        <v>3729.267666666668</v>
      </c>
      <c r="Q284" s="3">
        <v>15846.532666666668</v>
      </c>
      <c r="R284" s="3">
        <v>291.11700000000002</v>
      </c>
    </row>
    <row r="285" spans="1:18">
      <c r="A285" s="2">
        <v>41395</v>
      </c>
      <c r="B285" s="3">
        <v>1686.9235483870968</v>
      </c>
      <c r="C285" s="3">
        <v>3689.954516129033</v>
      </c>
      <c r="D285" s="3">
        <v>55466.607419354841</v>
      </c>
      <c r="E285" s="3">
        <v>4264.4006129032277</v>
      </c>
      <c r="F285" s="3"/>
      <c r="G285" s="3">
        <v>41499.670645161292</v>
      </c>
      <c r="H285" s="3">
        <v>1401.1200000000001</v>
      </c>
      <c r="I285" s="3">
        <v>2259.5063096774197</v>
      </c>
      <c r="J285" s="3">
        <v>22930.315483870978</v>
      </c>
      <c r="K285" s="3">
        <v>14473.320000000003</v>
      </c>
      <c r="L285" s="3">
        <v>1640.5329032258066</v>
      </c>
      <c r="M285" s="3">
        <v>6639.2848387096765</v>
      </c>
      <c r="N285" s="3"/>
      <c r="O285" s="3">
        <v>8476.3032258064522</v>
      </c>
      <c r="P285" s="3">
        <v>3961.8658064516121</v>
      </c>
      <c r="Q285" s="3">
        <v>17208.492258064514</v>
      </c>
      <c r="R285" s="3">
        <v>304.49096774193544</v>
      </c>
    </row>
    <row r="286" spans="1:18">
      <c r="A286" s="2">
        <v>41426</v>
      </c>
      <c r="B286" s="3">
        <v>1634.8893103448274</v>
      </c>
      <c r="C286" s="3">
        <v>3219.4713793103442</v>
      </c>
      <c r="D286" s="3">
        <v>49743.994137931026</v>
      </c>
      <c r="E286" s="3">
        <v>4002.4699310344831</v>
      </c>
      <c r="F286" s="3"/>
      <c r="G286" s="3">
        <v>39610.667931034484</v>
      </c>
      <c r="H286" s="3">
        <v>1318.3931034482757</v>
      </c>
      <c r="I286" s="3">
        <v>2142.4377034482759</v>
      </c>
      <c r="J286" s="3">
        <v>21130.025172413796</v>
      </c>
      <c r="K286" s="3">
        <v>13136.107931034483</v>
      </c>
      <c r="L286" s="3">
        <v>1619.5962068965514</v>
      </c>
      <c r="M286" s="3">
        <v>6311.8286206896564</v>
      </c>
      <c r="N286" s="3"/>
      <c r="O286" s="3">
        <v>8034.8931034482775</v>
      </c>
      <c r="P286" s="3">
        <v>3798.563793103448</v>
      </c>
      <c r="Q286" s="3">
        <v>16097.424137931037</v>
      </c>
      <c r="R286" s="3">
        <v>290.14999999999998</v>
      </c>
    </row>
    <row r="287" spans="1:18">
      <c r="A287" s="2">
        <v>41456</v>
      </c>
      <c r="B287" s="3">
        <v>1643.155185185185</v>
      </c>
      <c r="C287" s="3">
        <v>3276.7229629629633</v>
      </c>
      <c r="D287" s="3">
        <v>47043.483333333344</v>
      </c>
      <c r="E287" s="3">
        <v>3821.8412222222223</v>
      </c>
      <c r="F287" s="3"/>
      <c r="G287" s="3">
        <v>40481.885185185187</v>
      </c>
      <c r="H287" s="3">
        <v>1383.3414814814814</v>
      </c>
      <c r="I287" s="3">
        <v>2013.4857222222217</v>
      </c>
      <c r="J287" s="3">
        <v>21290.154444444441</v>
      </c>
      <c r="K287" s="3">
        <v>14334.381851851851</v>
      </c>
      <c r="L287" s="3">
        <v>1667.4848148148149</v>
      </c>
      <c r="M287" s="3">
        <v>6519.1340740740761</v>
      </c>
      <c r="N287" s="3"/>
      <c r="O287" s="3">
        <v>8031.1481481481505</v>
      </c>
      <c r="P287" s="3">
        <v>3876.44</v>
      </c>
      <c r="Q287" s="3">
        <v>15903.886296296296</v>
      </c>
      <c r="R287" s="3">
        <v>295.77518518518525</v>
      </c>
    </row>
    <row r="288" spans="1:18">
      <c r="A288" s="2">
        <v>41487</v>
      </c>
      <c r="B288" s="3">
        <v>1723.5650000000003</v>
      </c>
      <c r="C288" s="3">
        <v>3739.9946153846158</v>
      </c>
      <c r="D288" s="3">
        <v>50132.846538461541</v>
      </c>
      <c r="E288" s="3">
        <v>3705.1586538461538</v>
      </c>
      <c r="F288" s="3"/>
      <c r="G288" s="3">
        <v>41493.415769230771</v>
      </c>
      <c r="H288" s="3">
        <v>1384.1803846153848</v>
      </c>
      <c r="I288" s="3">
        <v>2070.4435807692312</v>
      </c>
      <c r="J288" s="3">
        <v>22043.066153846157</v>
      </c>
      <c r="K288" s="3">
        <v>13745.331153846155</v>
      </c>
      <c r="L288" s="3">
        <v>1671.6338461538462</v>
      </c>
      <c r="M288" s="3">
        <v>6525.6315384615382</v>
      </c>
      <c r="N288" s="3"/>
      <c r="O288" s="3">
        <v>8612.703846153845</v>
      </c>
      <c r="P288" s="3">
        <v>4051.3211538461537</v>
      </c>
      <c r="Q288" s="3">
        <v>17080.924615384618</v>
      </c>
      <c r="R288" s="3">
        <v>303.79346153846149</v>
      </c>
    </row>
    <row r="289" spans="1:18">
      <c r="A289" s="2">
        <v>41518</v>
      </c>
      <c r="B289" s="3">
        <v>1758.5429629629632</v>
      </c>
      <c r="C289" s="3">
        <v>4509.1333333333323</v>
      </c>
      <c r="D289" s="3">
        <v>53538.714444444435</v>
      </c>
      <c r="E289" s="3">
        <v>3810.3961111111112</v>
      </c>
      <c r="F289" s="3"/>
      <c r="G289" s="3">
        <v>40846.699629629627</v>
      </c>
      <c r="H289" s="3">
        <v>1445.7525925925922</v>
      </c>
      <c r="I289" s="3">
        <v>2183.9993222222229</v>
      </c>
      <c r="J289" s="3">
        <v>22927.741111111114</v>
      </c>
      <c r="K289" s="3">
        <v>14362.178148148148</v>
      </c>
      <c r="L289" s="3">
        <v>1683.0451851851849</v>
      </c>
      <c r="M289" s="3">
        <v>6549.5</v>
      </c>
      <c r="N289" s="3"/>
      <c r="O289" s="3">
        <v>8909.6481481481478</v>
      </c>
      <c r="P289" s="3">
        <v>4113.8481481481494</v>
      </c>
      <c r="Q289" s="3">
        <v>17500.785185185185</v>
      </c>
      <c r="R289" s="3">
        <v>309.68740740740736</v>
      </c>
    </row>
    <row r="290" spans="1:18">
      <c r="A290" s="2">
        <v>41548</v>
      </c>
      <c r="B290" s="3">
        <v>1763.912142857143</v>
      </c>
      <c r="C290" s="3">
        <v>5234.2742857142848</v>
      </c>
      <c r="D290" s="3">
        <v>54094.071071428574</v>
      </c>
      <c r="E290" s="3">
        <v>3855.3796428571436</v>
      </c>
      <c r="F290" s="3"/>
      <c r="G290" s="3">
        <v>40686.672857142854</v>
      </c>
      <c r="H290" s="3">
        <v>1505.7321428571429</v>
      </c>
      <c r="I290" s="3">
        <v>2185.4187928571428</v>
      </c>
      <c r="J290" s="3">
        <v>23101.328571428574</v>
      </c>
      <c r="K290" s="3">
        <v>14325.95571428571</v>
      </c>
      <c r="L290" s="3">
        <v>1720.0635714285711</v>
      </c>
      <c r="M290" s="3">
        <v>6568.8192857142858</v>
      </c>
      <c r="N290" s="3"/>
      <c r="O290" s="3">
        <v>9701.7428571428572</v>
      </c>
      <c r="P290" s="3">
        <v>4228.8167857142853</v>
      </c>
      <c r="Q290" s="3">
        <v>18840.055357142857</v>
      </c>
      <c r="R290" s="3">
        <v>314.9375</v>
      </c>
    </row>
    <row r="291" spans="1:18">
      <c r="A291" s="2">
        <v>41579</v>
      </c>
      <c r="B291" s="3">
        <v>1675.8080000000002</v>
      </c>
      <c r="C291" s="3">
        <v>5427.3063999999986</v>
      </c>
      <c r="D291" s="3">
        <v>52899.7984</v>
      </c>
      <c r="E291" s="3">
        <v>3800.7635999999993</v>
      </c>
      <c r="F291" s="3"/>
      <c r="G291" s="3">
        <v>40770.820800000009</v>
      </c>
      <c r="H291" s="3">
        <v>1496.8979999999997</v>
      </c>
      <c r="I291" s="3">
        <v>2159.5687279999997</v>
      </c>
      <c r="J291" s="3">
        <v>23284.699200000003</v>
      </c>
      <c r="K291" s="3">
        <v>14866.893199999999</v>
      </c>
      <c r="L291" s="3">
        <v>1784.5296000000003</v>
      </c>
      <c r="M291" s="3">
        <v>6695.6675999999998</v>
      </c>
      <c r="N291" s="3"/>
      <c r="O291" s="3">
        <v>9741.0719999999983</v>
      </c>
      <c r="P291" s="3">
        <v>4279.2747999999983</v>
      </c>
      <c r="Q291" s="3">
        <v>18938.107599999999</v>
      </c>
      <c r="R291" s="3">
        <v>322.87040000000002</v>
      </c>
    </row>
    <row r="292" spans="1:18">
      <c r="A292" s="2">
        <v>41609</v>
      </c>
      <c r="B292" s="3">
        <v>1614.7985714285714</v>
      </c>
      <c r="C292" s="3">
        <v>5347.8571428571422</v>
      </c>
      <c r="D292" s="3">
        <v>50945.00642857144</v>
      </c>
      <c r="E292" s="3">
        <v>3697.1046428571422</v>
      </c>
      <c r="F292" s="3"/>
      <c r="G292" s="3">
        <v>42287.892142857148</v>
      </c>
      <c r="H292" s="3">
        <v>1476.9707142857146</v>
      </c>
      <c r="I292" s="3">
        <v>2161.9758107142857</v>
      </c>
      <c r="J292" s="3">
        <v>23355.122499999998</v>
      </c>
      <c r="K292" s="3">
        <v>15709.263928571427</v>
      </c>
      <c r="L292" s="3">
        <v>1810.1407142857145</v>
      </c>
      <c r="M292" s="3">
        <v>6592.8110714285722</v>
      </c>
      <c r="N292" s="3"/>
      <c r="O292" s="3">
        <v>9607.8571428571413</v>
      </c>
      <c r="P292" s="3">
        <v>4174.9642857142853</v>
      </c>
      <c r="Q292" s="3">
        <v>18430.217500000006</v>
      </c>
      <c r="R292" s="3">
        <v>319.40214285714285</v>
      </c>
    </row>
    <row r="293" spans="1:18">
      <c r="A293" s="2">
        <v>41640</v>
      </c>
      <c r="B293" s="3">
        <v>1536.0910714285712</v>
      </c>
      <c r="C293" s="3">
        <v>5608.545357142857</v>
      </c>
      <c r="D293" s="3">
        <v>49283.029285714278</v>
      </c>
      <c r="E293" s="3">
        <v>3624.6139285714285</v>
      </c>
      <c r="F293" s="3"/>
      <c r="G293" s="3">
        <v>41764.3967857143</v>
      </c>
      <c r="H293" s="3">
        <v>1481.6239285714287</v>
      </c>
      <c r="I293" s="3">
        <v>2038.5729428571428</v>
      </c>
      <c r="J293" s="3">
        <v>22737.974285714288</v>
      </c>
      <c r="K293" s="3">
        <v>15714.812857142857</v>
      </c>
      <c r="L293" s="3">
        <v>1825.0589285714284</v>
      </c>
      <c r="M293" s="3">
        <v>6720.699642857142</v>
      </c>
      <c r="N293" s="3"/>
      <c r="O293" s="3">
        <v>10137.42142857143</v>
      </c>
      <c r="P293" s="3">
        <v>4249.9514285714276</v>
      </c>
      <c r="Q293" s="3">
        <v>19539.588928571429</v>
      </c>
      <c r="R293" s="3">
        <v>329.27928571428566</v>
      </c>
    </row>
    <row r="294" spans="1:18">
      <c r="A294" s="2">
        <v>41671</v>
      </c>
      <c r="B294" s="3">
        <v>1504.1141666666665</v>
      </c>
      <c r="C294" s="3">
        <v>5893.7729166666677</v>
      </c>
      <c r="D294" s="3">
        <v>47443.822499999987</v>
      </c>
      <c r="E294" s="3">
        <v>3577.9883333333332</v>
      </c>
      <c r="F294" s="3"/>
      <c r="G294" s="3">
        <v>40072.828333333331</v>
      </c>
      <c r="H294" s="3">
        <v>1476.2141666666666</v>
      </c>
      <c r="I294" s="3">
        <v>2079.3007124999999</v>
      </c>
      <c r="J294" s="3">
        <v>22173.011666666669</v>
      </c>
      <c r="K294" s="3">
        <v>14625.325833333329</v>
      </c>
      <c r="L294" s="3">
        <v>1817.3658333333335</v>
      </c>
      <c r="M294" s="3">
        <v>6685.1887499999984</v>
      </c>
      <c r="N294" s="3"/>
      <c r="O294" s="3">
        <v>10048.375</v>
      </c>
      <c r="P294" s="3">
        <v>4297.1604166666675</v>
      </c>
      <c r="Q294" s="3">
        <v>20030.264999999996</v>
      </c>
      <c r="R294" s="3">
        <v>330.61708333333331</v>
      </c>
    </row>
    <row r="295" spans="1:18">
      <c r="A295" s="2">
        <v>41699</v>
      </c>
      <c r="B295" s="3">
        <v>1599.6285185185186</v>
      </c>
      <c r="C295" s="3">
        <v>5937.0848148148152</v>
      </c>
      <c r="D295" s="3">
        <v>47070.945925925938</v>
      </c>
      <c r="E295" s="3">
        <v>3678.2644444444445</v>
      </c>
      <c r="F295" s="3"/>
      <c r="G295" s="3">
        <v>39165.347777777773</v>
      </c>
      <c r="H295" s="3">
        <v>1320.217037037037</v>
      </c>
      <c r="I295" s="3">
        <v>2037.9519740740741</v>
      </c>
      <c r="J295" s="3">
        <v>21984.149259259266</v>
      </c>
      <c r="K295" s="3">
        <v>14655.853703703706</v>
      </c>
      <c r="L295" s="3">
        <v>1863.0840740740739</v>
      </c>
      <c r="M295" s="3">
        <v>6631.32</v>
      </c>
      <c r="N295" s="3"/>
      <c r="O295" s="3">
        <v>10095.199999999999</v>
      </c>
      <c r="P295" s="3">
        <v>4339.6951851851845</v>
      </c>
      <c r="Q295" s="3">
        <v>20833.318518518518</v>
      </c>
      <c r="R295" s="3">
        <v>330.21148148148143</v>
      </c>
    </row>
    <row r="296" spans="1:18">
      <c r="A296" s="2">
        <v>41730</v>
      </c>
      <c r="B296" s="3">
        <v>1673.2957692307693</v>
      </c>
      <c r="C296" s="3">
        <v>6520.0138461538454</v>
      </c>
      <c r="D296" s="3">
        <v>51541.75153846154</v>
      </c>
      <c r="E296" s="3">
        <v>3849.2280769230761</v>
      </c>
      <c r="F296" s="3"/>
      <c r="G296" s="3">
        <v>40581.904230769229</v>
      </c>
      <c r="H296" s="3">
        <v>1339.4265384615383</v>
      </c>
      <c r="I296" s="3">
        <v>2074.7878115384619</v>
      </c>
      <c r="J296" s="3">
        <v>22614.878846153846</v>
      </c>
      <c r="K296" s="3">
        <v>14470.753461538461</v>
      </c>
      <c r="L296" s="3">
        <v>1862.438846153846</v>
      </c>
      <c r="M296" s="3">
        <v>6648.3815384615382</v>
      </c>
      <c r="N296" s="3"/>
      <c r="O296" s="3">
        <v>10387.034615384611</v>
      </c>
      <c r="P296" s="3">
        <v>4435.9734615384605</v>
      </c>
      <c r="Q296" s="3">
        <v>21648.349615384614</v>
      </c>
      <c r="R296" s="3">
        <v>334.08115384615388</v>
      </c>
    </row>
    <row r="297" spans="1:18">
      <c r="A297" s="2">
        <v>41760</v>
      </c>
      <c r="B297" s="3">
        <v>1670.0134615384618</v>
      </c>
      <c r="C297" s="3">
        <v>7108.9461538461537</v>
      </c>
      <c r="D297" s="3">
        <v>53072.153461538459</v>
      </c>
      <c r="E297" s="3">
        <v>3927.958076923077</v>
      </c>
      <c r="F297" s="3"/>
      <c r="G297" s="3">
        <v>41703.415384615379</v>
      </c>
      <c r="H297" s="3">
        <v>1387.9411538461536</v>
      </c>
      <c r="I297" s="3">
        <v>2028.7051461538463</v>
      </c>
      <c r="J297" s="3">
        <v>22523.509615384617</v>
      </c>
      <c r="K297" s="3">
        <v>14345.914230769229</v>
      </c>
      <c r="L297" s="3">
        <v>1889.3711538461537</v>
      </c>
      <c r="M297" s="3">
        <v>6832.4119230769238</v>
      </c>
      <c r="N297" s="3"/>
      <c r="O297" s="3">
        <v>10545.3</v>
      </c>
      <c r="P297" s="3">
        <v>4482.8449999999993</v>
      </c>
      <c r="Q297" s="3">
        <v>21180.598461538462</v>
      </c>
      <c r="R297" s="3">
        <v>340.13269230769225</v>
      </c>
    </row>
    <row r="298" spans="1:18">
      <c r="A298" s="2">
        <v>41791</v>
      </c>
      <c r="B298" s="3">
        <v>1704.2684615384615</v>
      </c>
      <c r="C298" s="3">
        <v>7809.9050000000007</v>
      </c>
      <c r="D298" s="3">
        <v>53720.746153846158</v>
      </c>
      <c r="E298" s="3">
        <v>3890.7307692307686</v>
      </c>
      <c r="F298" s="3"/>
      <c r="G298" s="3">
        <v>42591.993461538455</v>
      </c>
      <c r="H298" s="3">
        <v>1484.6223076923075</v>
      </c>
      <c r="I298" s="3">
        <v>2042.4070461538458</v>
      </c>
      <c r="J298" s="3">
        <v>23144.120769230765</v>
      </c>
      <c r="K298" s="3">
        <v>15116.139615384613</v>
      </c>
      <c r="L298" s="3">
        <v>1946.9938461538466</v>
      </c>
      <c r="M298" s="3">
        <v>6805.9234615384612</v>
      </c>
      <c r="N298" s="3"/>
      <c r="O298" s="3">
        <v>11022.000000000002</v>
      </c>
      <c r="P298" s="3">
        <v>4522.4799999999996</v>
      </c>
      <c r="Q298" s="3">
        <v>21893.799615384618</v>
      </c>
      <c r="R298" s="3">
        <v>345.68692307692305</v>
      </c>
    </row>
    <row r="299" spans="1:18">
      <c r="A299" s="2">
        <v>41821</v>
      </c>
      <c r="B299" s="3">
        <v>1694.8225925925926</v>
      </c>
      <c r="C299" s="3">
        <v>8361.5481111111094</v>
      </c>
      <c r="D299" s="3">
        <v>55729.613333333342</v>
      </c>
      <c r="E299" s="3">
        <v>3926.8003703703694</v>
      </c>
      <c r="F299" s="3"/>
      <c r="G299" s="3">
        <v>43895.405185185191</v>
      </c>
      <c r="H299" s="3">
        <v>1449.0729629629632</v>
      </c>
      <c r="I299" s="3">
        <v>2084.2700370370371</v>
      </c>
      <c r="J299" s="3">
        <v>23717.11037037037</v>
      </c>
      <c r="K299" s="3">
        <v>15364.255925925927</v>
      </c>
      <c r="L299" s="3">
        <v>1974.1929629629624</v>
      </c>
      <c r="M299" s="3">
        <v>6772.3574074074049</v>
      </c>
      <c r="N299" s="3"/>
      <c r="O299" s="3">
        <v>10750.7</v>
      </c>
      <c r="P299" s="3">
        <v>4362.1607407407409</v>
      </c>
      <c r="Q299" s="3">
        <v>20966.343333333334</v>
      </c>
      <c r="R299" s="3">
        <v>341.55851851851844</v>
      </c>
    </row>
    <row r="300" spans="1:18">
      <c r="A300" s="2">
        <v>41852</v>
      </c>
      <c r="B300" s="3">
        <v>1733.6274074074074</v>
      </c>
      <c r="C300" s="3">
        <v>8777.3658148148152</v>
      </c>
      <c r="D300" s="3">
        <v>57645.633703703708</v>
      </c>
      <c r="E300" s="3">
        <v>3942.3951851851848</v>
      </c>
      <c r="F300" s="3"/>
      <c r="G300" s="3">
        <v>44838.91851851852</v>
      </c>
      <c r="H300" s="3">
        <v>1400.9014814814814</v>
      </c>
      <c r="I300" s="3">
        <v>2216.4629666666669</v>
      </c>
      <c r="J300" s="3">
        <v>24779.931111111116</v>
      </c>
      <c r="K300" s="3">
        <v>15329.435555555556</v>
      </c>
      <c r="L300" s="3">
        <v>1960.2714814814822</v>
      </c>
      <c r="M300" s="3">
        <v>6708.0548148148155</v>
      </c>
      <c r="N300" s="3"/>
      <c r="O300" s="3">
        <v>10416.562962962964</v>
      </c>
      <c r="P300" s="3">
        <v>4242.5251851851845</v>
      </c>
      <c r="Q300" s="3">
        <v>19851.824444444446</v>
      </c>
      <c r="R300" s="3">
        <v>333.47222222222229</v>
      </c>
    </row>
    <row r="301" spans="1:18">
      <c r="A301" s="2">
        <v>41883</v>
      </c>
      <c r="B301" s="3">
        <v>1729.7680769230769</v>
      </c>
      <c r="C301" s="3">
        <v>11307.647615384612</v>
      </c>
      <c r="D301" s="3">
        <v>58258.985384615386</v>
      </c>
      <c r="E301" s="3">
        <v>4015.3653846153848</v>
      </c>
      <c r="F301" s="3"/>
      <c r="G301" s="3">
        <v>45648.255769230767</v>
      </c>
      <c r="H301" s="3">
        <v>1442.9815384615383</v>
      </c>
      <c r="I301" s="3">
        <v>2320.0171846153839</v>
      </c>
      <c r="J301" s="3">
        <v>24391.868461538459</v>
      </c>
      <c r="K301" s="3">
        <v>15972.753076923082</v>
      </c>
      <c r="L301" s="3">
        <v>1994.1392307692308</v>
      </c>
      <c r="M301" s="3">
        <v>6779.2276923076925</v>
      </c>
      <c r="N301" s="3"/>
      <c r="O301" s="3">
        <v>10907.25</v>
      </c>
      <c r="P301" s="3">
        <v>4428.5107692307702</v>
      </c>
      <c r="Q301" s="3">
        <v>20908.223846153844</v>
      </c>
      <c r="R301" s="3">
        <v>344.69538461538463</v>
      </c>
    </row>
    <row r="302" spans="1:18">
      <c r="A302" s="2">
        <v>41913</v>
      </c>
      <c r="B302" s="3">
        <v>1622.9503703703701</v>
      </c>
      <c r="C302" s="3">
        <v>10556.612703703706</v>
      </c>
      <c r="D302" s="3">
        <v>54348.14370370371</v>
      </c>
      <c r="E302" s="3">
        <v>3839.2296296296299</v>
      </c>
      <c r="F302" s="3"/>
      <c r="G302" s="3">
        <v>43870.965925925921</v>
      </c>
      <c r="H302" s="3">
        <v>1392.7085185185188</v>
      </c>
      <c r="I302" s="3">
        <v>2354.9997074074076</v>
      </c>
      <c r="J302" s="3">
        <v>23247.047777777785</v>
      </c>
      <c r="K302" s="3">
        <v>15363.123333333335</v>
      </c>
      <c r="L302" s="3">
        <v>1936.3955555555558</v>
      </c>
      <c r="M302" s="3">
        <v>6406.1222222222214</v>
      </c>
      <c r="N302" s="3"/>
      <c r="O302" s="3">
        <v>10259.977777777776</v>
      </c>
      <c r="P302" s="3">
        <v>4129.7462962962964</v>
      </c>
      <c r="Q302" s="3">
        <v>19345.944074074068</v>
      </c>
      <c r="R302" s="3">
        <v>326.23518518518512</v>
      </c>
    </row>
    <row r="303" spans="1:18">
      <c r="A303" s="2">
        <v>41944</v>
      </c>
      <c r="B303" s="3">
        <v>1600.4476000000004</v>
      </c>
      <c r="C303" s="3">
        <v>10199.310360000001</v>
      </c>
      <c r="D303" s="3">
        <v>53673.520400000009</v>
      </c>
      <c r="E303" s="3">
        <v>3934.4287999999997</v>
      </c>
      <c r="F303" s="3"/>
      <c r="G303" s="3">
        <v>44342.643999999993</v>
      </c>
      <c r="H303" s="3">
        <v>1513.7632000000001</v>
      </c>
      <c r="I303" s="3">
        <v>2494.0800239999999</v>
      </c>
      <c r="J303" s="3">
        <v>23785.704399999995</v>
      </c>
      <c r="K303" s="3">
        <v>17143.8436</v>
      </c>
      <c r="L303" s="3">
        <v>2045.6220000000001</v>
      </c>
      <c r="M303" s="3">
        <v>6644.9575999999997</v>
      </c>
      <c r="N303" s="3"/>
      <c r="O303" s="3">
        <v>10385.240000000002</v>
      </c>
      <c r="P303" s="3">
        <v>4263.322799999999</v>
      </c>
      <c r="Q303" s="3">
        <v>19439.7444</v>
      </c>
      <c r="R303" s="3">
        <v>339.57799999999997</v>
      </c>
    </row>
    <row r="304" spans="1:18">
      <c r="A304" s="2">
        <v>41974</v>
      </c>
      <c r="B304" s="3">
        <v>1477.2371428571435</v>
      </c>
      <c r="C304" s="3">
        <v>8579.3585714285709</v>
      </c>
      <c r="D304" s="3">
        <v>50066.924285714274</v>
      </c>
      <c r="E304" s="3">
        <v>3852.5321428571428</v>
      </c>
      <c r="F304" s="3"/>
      <c r="G304" s="3">
        <v>42501.667499999996</v>
      </c>
      <c r="H304" s="3">
        <v>1464.6453571428576</v>
      </c>
      <c r="I304" s="3">
        <v>3006.2038964285703</v>
      </c>
      <c r="J304" s="3">
        <v>23388.396785714289</v>
      </c>
      <c r="K304" s="3">
        <v>17571.887142857147</v>
      </c>
      <c r="L304" s="3">
        <v>2057.2010714285711</v>
      </c>
      <c r="M304" s="3">
        <v>6550.8396428571423</v>
      </c>
      <c r="N304" s="3"/>
      <c r="O304" s="3">
        <v>10445.324999999999</v>
      </c>
      <c r="P304" s="3">
        <v>4266.4121428571425</v>
      </c>
      <c r="Q304" s="3">
        <v>19239.043571428574</v>
      </c>
      <c r="R304" s="3">
        <v>341.15714285714301</v>
      </c>
    </row>
    <row r="305" spans="1:18">
      <c r="A305" s="2">
        <v>42005</v>
      </c>
      <c r="B305" s="3">
        <v>1417.0523076923075</v>
      </c>
      <c r="C305" s="3">
        <v>8538.5091538461529</v>
      </c>
      <c r="D305" s="3">
        <v>48496.42846153846</v>
      </c>
      <c r="E305" s="3">
        <v>3801.786153846153</v>
      </c>
      <c r="F305" s="3">
        <v>421.28476190476187</v>
      </c>
      <c r="G305" s="3">
        <v>41966.032307692309</v>
      </c>
      <c r="H305" s="3">
        <v>1559.1907692307691</v>
      </c>
      <c r="I305" s="3">
        <v>3292.1215653846157</v>
      </c>
      <c r="J305" s="3">
        <v>24182.48961538462</v>
      </c>
      <c r="K305" s="3">
        <v>17282.202692307692</v>
      </c>
      <c r="L305" s="3">
        <v>2031.3900000000003</v>
      </c>
      <c r="M305" s="3">
        <v>6612.1053846153845</v>
      </c>
      <c r="N305" s="3">
        <v>10138.389523809523</v>
      </c>
      <c r="O305" s="3">
        <v>10195.107692307693</v>
      </c>
      <c r="P305" s="3">
        <v>4378.2061538461548</v>
      </c>
      <c r="Q305" s="3">
        <v>19357.843076923069</v>
      </c>
      <c r="R305" s="3">
        <v>351.45384615384614</v>
      </c>
    </row>
    <row r="306" spans="1:18">
      <c r="A306" s="2">
        <v>42036</v>
      </c>
      <c r="B306" s="3">
        <v>1395.0808000000002</v>
      </c>
      <c r="C306" s="3">
        <v>9283.0223999999998</v>
      </c>
      <c r="D306" s="3">
        <v>50111.711200000012</v>
      </c>
      <c r="E306" s="3">
        <v>3958.0196000000001</v>
      </c>
      <c r="F306" s="3">
        <v>422.34011625000005</v>
      </c>
      <c r="G306" s="3">
        <v>42937.322800000002</v>
      </c>
      <c r="H306" s="3">
        <v>1756.0416000000002</v>
      </c>
      <c r="I306" s="3">
        <v>3203.2015880000008</v>
      </c>
      <c r="J306" s="3">
        <v>24690.217200000006</v>
      </c>
      <c r="K306" s="3">
        <v>18041.202399999995</v>
      </c>
      <c r="L306" s="3">
        <v>2080.8383999999996</v>
      </c>
      <c r="M306" s="3">
        <v>6876.358000000002</v>
      </c>
      <c r="N306" s="3">
        <v>10977.139500000001</v>
      </c>
      <c r="O306" s="3">
        <v>10732.883999999998</v>
      </c>
      <c r="P306" s="3">
        <v>4768.2839999999987</v>
      </c>
      <c r="Q306" s="3">
        <v>21312.419600000001</v>
      </c>
      <c r="R306" s="3">
        <v>378.17719999999991</v>
      </c>
    </row>
    <row r="307" spans="1:18">
      <c r="A307" s="2">
        <v>42064</v>
      </c>
      <c r="B307" s="3">
        <v>1294.2051851851854</v>
      </c>
      <c r="C307" s="3">
        <v>10497.970592592595</v>
      </c>
      <c r="D307" s="3">
        <v>50412.498518518514</v>
      </c>
      <c r="E307" s="3">
        <v>3894.4577777777781</v>
      </c>
      <c r="F307" s="3">
        <v>419.78432745454541</v>
      </c>
      <c r="G307" s="3">
        <v>43723.222592592603</v>
      </c>
      <c r="H307" s="3">
        <v>1660.4707407407407</v>
      </c>
      <c r="I307" s="3">
        <v>3477.0193999999997</v>
      </c>
      <c r="J307" s="3">
        <v>24311.875185185181</v>
      </c>
      <c r="K307" s="3">
        <v>19193.167777777773</v>
      </c>
      <c r="L307" s="3">
        <v>2079.9285185185181</v>
      </c>
      <c r="M307" s="3">
        <v>6886.512962962961</v>
      </c>
      <c r="N307" s="3">
        <v>11784.850454545454</v>
      </c>
      <c r="O307" s="3">
        <v>11213.599999999999</v>
      </c>
      <c r="P307" s="3">
        <v>5002.3648148148159</v>
      </c>
      <c r="Q307" s="3">
        <v>22748.328888888889</v>
      </c>
      <c r="R307" s="3">
        <v>396.30703703703716</v>
      </c>
    </row>
    <row r="308" spans="1:18">
      <c r="A308" s="2">
        <v>42095</v>
      </c>
      <c r="B308" s="3">
        <v>1358.6465384615383</v>
      </c>
      <c r="C308" s="3">
        <v>11731.317653846154</v>
      </c>
      <c r="D308" s="3">
        <v>54411.07076923077</v>
      </c>
      <c r="E308" s="3">
        <v>4026.5442307692301</v>
      </c>
      <c r="F308" s="3">
        <v>427.20847563636363</v>
      </c>
      <c r="G308" s="3">
        <v>45000.850000000006</v>
      </c>
      <c r="H308" s="3">
        <v>1676.2461538461537</v>
      </c>
      <c r="I308" s="3">
        <v>4167.4623846153836</v>
      </c>
      <c r="J308" s="3">
        <v>27141.084230769229</v>
      </c>
      <c r="K308" s="3">
        <v>19776.960384615388</v>
      </c>
      <c r="L308" s="3">
        <v>2093.3450000000003</v>
      </c>
      <c r="M308" s="3">
        <v>6996.2792307692334</v>
      </c>
      <c r="N308" s="3">
        <v>11957.297272727272</v>
      </c>
      <c r="O308" s="3">
        <v>11579.211538461539</v>
      </c>
      <c r="P308" s="3">
        <v>5164.4438461538457</v>
      </c>
      <c r="Q308" s="3">
        <v>23471.159999999996</v>
      </c>
      <c r="R308" s="3">
        <v>405.85461538461539</v>
      </c>
    </row>
    <row r="309" spans="1:18">
      <c r="A309" s="2">
        <v>42125</v>
      </c>
      <c r="B309" s="3">
        <v>1360.2084615384617</v>
      </c>
      <c r="C309" s="3">
        <v>11810.611692307693</v>
      </c>
      <c r="D309" s="3">
        <v>55774.836538461539</v>
      </c>
      <c r="E309" s="3">
        <v>4076.1523076923086</v>
      </c>
      <c r="F309" s="3">
        <v>426.24146699999994</v>
      </c>
      <c r="G309" s="3">
        <v>44979.771538461551</v>
      </c>
      <c r="H309" s="3">
        <v>1675.7884615384621</v>
      </c>
      <c r="I309" s="3">
        <v>4462.4676730769243</v>
      </c>
      <c r="J309" s="3">
        <v>27713.173076923067</v>
      </c>
      <c r="K309" s="3">
        <v>19907.75230769231</v>
      </c>
      <c r="L309" s="3">
        <v>2113.288461538461</v>
      </c>
      <c r="M309" s="3">
        <v>6987.6546153846139</v>
      </c>
      <c r="N309" s="3">
        <v>11602.484285714288</v>
      </c>
      <c r="O309" s="3">
        <v>11367.946153846153</v>
      </c>
      <c r="P309" s="3">
        <v>5057.3915384615384</v>
      </c>
      <c r="Q309" s="3">
        <v>23359.240000000005</v>
      </c>
      <c r="R309" s="3">
        <v>399.89115384615383</v>
      </c>
    </row>
    <row r="310" spans="1:18">
      <c r="A310" s="2">
        <v>42156</v>
      </c>
      <c r="B310" s="3">
        <v>1320.2834615384613</v>
      </c>
      <c r="C310" s="3">
        <v>11347.399615384616</v>
      </c>
      <c r="D310" s="3">
        <v>53490.571538461532</v>
      </c>
      <c r="E310" s="3">
        <v>3931.8288461538459</v>
      </c>
      <c r="F310" s="3">
        <v>428.71523640909089</v>
      </c>
      <c r="G310" s="3">
        <v>44889.083076923082</v>
      </c>
      <c r="H310" s="3">
        <v>1650.7830769230766</v>
      </c>
      <c r="I310" s="3">
        <v>4772.9796499999993</v>
      </c>
      <c r="J310" s="3">
        <v>27006.297307692301</v>
      </c>
      <c r="K310" s="3">
        <v>20408.956153846157</v>
      </c>
      <c r="L310" s="3">
        <v>2099.3330769230765</v>
      </c>
      <c r="M310" s="3">
        <v>6780.1311538461559</v>
      </c>
      <c r="N310" s="3">
        <v>11236.295909090912</v>
      </c>
      <c r="O310" s="3">
        <v>11087.469230769229</v>
      </c>
      <c r="P310" s="3">
        <v>4927.3403846153842</v>
      </c>
      <c r="Q310" s="3">
        <v>23015.648461538458</v>
      </c>
      <c r="R310" s="3">
        <v>390.42384615384617</v>
      </c>
    </row>
    <row r="311" spans="1:18">
      <c r="A311" s="2">
        <v>42186</v>
      </c>
      <c r="B311" s="3">
        <v>1310.607777777778</v>
      </c>
      <c r="C311" s="3">
        <v>11672.801629629628</v>
      </c>
      <c r="D311" s="3">
        <v>51584.728630325924</v>
      </c>
      <c r="E311" s="3">
        <v>3852.1296296296291</v>
      </c>
      <c r="F311" s="3">
        <v>424.72157473913057</v>
      </c>
      <c r="G311" s="3">
        <v>44839.994814814818</v>
      </c>
      <c r="H311" s="3">
        <v>1627.5511111111109</v>
      </c>
      <c r="I311" s="3">
        <v>3855.655892592592</v>
      </c>
      <c r="J311" s="3">
        <v>25128.422592592589</v>
      </c>
      <c r="K311" s="3">
        <v>20383.808888888889</v>
      </c>
      <c r="L311" s="3">
        <v>2092.8751851851853</v>
      </c>
      <c r="M311" s="3">
        <v>6647.6277777777768</v>
      </c>
      <c r="N311" s="3">
        <v>11288.05043478261</v>
      </c>
      <c r="O311" s="3">
        <v>11121.933333333334</v>
      </c>
      <c r="P311" s="3">
        <v>4958.7525925925929</v>
      </c>
      <c r="Q311" s="3">
        <v>23042.835185185188</v>
      </c>
      <c r="R311" s="3">
        <v>392.35481481481486</v>
      </c>
    </row>
    <row r="312" spans="1:18">
      <c r="A312" s="2">
        <v>42217</v>
      </c>
      <c r="B312" s="3">
        <v>1247.8061538461538</v>
      </c>
      <c r="C312" s="3">
        <v>11008.730192307694</v>
      </c>
      <c r="D312" s="3">
        <v>47741.04448275383</v>
      </c>
      <c r="E312" s="3">
        <v>3796.4211538461541</v>
      </c>
      <c r="F312" s="3">
        <v>416.63365923809516</v>
      </c>
      <c r="G312" s="3">
        <v>43759.223461538451</v>
      </c>
      <c r="H312" s="3">
        <v>1688.408461538462</v>
      </c>
      <c r="I312" s="3">
        <v>3599.52778076923</v>
      </c>
      <c r="J312" s="3">
        <v>23264.977307692308</v>
      </c>
      <c r="K312" s="3">
        <v>19950.088461538464</v>
      </c>
      <c r="L312" s="3">
        <v>2041.1500000000003</v>
      </c>
      <c r="M312" s="3">
        <v>6452.623076923077</v>
      </c>
      <c r="N312" s="3">
        <v>10817.977619047617</v>
      </c>
      <c r="O312" s="3">
        <v>10744.603846153846</v>
      </c>
      <c r="P312" s="3">
        <v>4889.6053846153864</v>
      </c>
      <c r="Q312" s="3">
        <v>22835.487692307695</v>
      </c>
      <c r="R312" s="3">
        <v>380.06730769230774</v>
      </c>
    </row>
    <row r="313" spans="1:18">
      <c r="A313" s="2">
        <v>42248</v>
      </c>
      <c r="B313" s="3">
        <v>1234.5096000000001</v>
      </c>
      <c r="C313" s="3">
        <v>10475.779359999999</v>
      </c>
      <c r="D313" s="3">
        <v>46370.731722887998</v>
      </c>
      <c r="E313" s="3">
        <v>3757.4904000000006</v>
      </c>
      <c r="F313" s="3">
        <v>410.76435454545458</v>
      </c>
      <c r="G313" s="3">
        <v>42942.200400000002</v>
      </c>
      <c r="H313" s="3">
        <v>1690.9116000000004</v>
      </c>
      <c r="I313" s="3">
        <v>3133.5398920000007</v>
      </c>
      <c r="J313" s="3">
        <v>21347.586399999997</v>
      </c>
      <c r="K313" s="3">
        <v>17971.098400000006</v>
      </c>
      <c r="L313" s="3">
        <v>1943.7587999999994</v>
      </c>
      <c r="M313" s="3">
        <v>6087.4543999999996</v>
      </c>
      <c r="N313" s="3">
        <v>9953.2618181818179</v>
      </c>
      <c r="O313" s="3">
        <v>9758.340000000002</v>
      </c>
      <c r="P313" s="3">
        <v>4527.7400000000007</v>
      </c>
      <c r="Q313" s="3">
        <v>21540.290400000002</v>
      </c>
      <c r="R313" s="3">
        <v>353.40800000000013</v>
      </c>
    </row>
    <row r="314" spans="1:18">
      <c r="A314" s="2">
        <v>42278</v>
      </c>
      <c r="B314" s="3">
        <v>1248.4496153846155</v>
      </c>
      <c r="C314" s="3">
        <v>11125.715769230768</v>
      </c>
      <c r="D314" s="3">
        <v>47440.817592257699</v>
      </c>
      <c r="E314" s="3">
        <v>3813.8342307692301</v>
      </c>
      <c r="F314" s="3">
        <v>407.76874009090898</v>
      </c>
      <c r="G314" s="3">
        <v>44206.613076923073</v>
      </c>
      <c r="H314" s="3">
        <v>1700.6796153846149</v>
      </c>
      <c r="I314" s="3">
        <v>3274.0677576923076</v>
      </c>
      <c r="J314" s="3">
        <v>22577.150384615376</v>
      </c>
      <c r="K314" s="3">
        <v>18368.299615384611</v>
      </c>
      <c r="L314" s="3">
        <v>2023.8611538461539</v>
      </c>
      <c r="M314" s="3">
        <v>6341.0046153846133</v>
      </c>
      <c r="N314" s="3">
        <v>10222.309545454546</v>
      </c>
      <c r="O314" s="3">
        <v>10174.899999999998</v>
      </c>
      <c r="P314" s="3">
        <v>4712.7134615384612</v>
      </c>
      <c r="Q314" s="3">
        <v>22198.886538461535</v>
      </c>
      <c r="R314" s="3">
        <v>363.89346153846151</v>
      </c>
    </row>
    <row r="315" spans="1:18">
      <c r="A315" s="2">
        <v>42309</v>
      </c>
      <c r="B315" s="3">
        <v>1162.7903846153845</v>
      </c>
      <c r="C315" s="3">
        <v>13210.338076923075</v>
      </c>
      <c r="D315" s="3">
        <v>47001.121971357694</v>
      </c>
      <c r="E315" s="3">
        <v>3796.3392307692307</v>
      </c>
      <c r="F315" s="3">
        <v>406.06435652380952</v>
      </c>
      <c r="G315" s="3">
        <v>44482.361538461533</v>
      </c>
      <c r="H315" s="3">
        <v>1776.5103846153847</v>
      </c>
      <c r="I315" s="3">
        <v>3554.0484615384612</v>
      </c>
      <c r="J315" s="3">
        <v>22516.39</v>
      </c>
      <c r="K315" s="3">
        <v>19551.001923076921</v>
      </c>
      <c r="L315" s="3">
        <v>2080.08</v>
      </c>
      <c r="M315" s="3">
        <v>6307.2307692307704</v>
      </c>
      <c r="N315" s="3">
        <v>10986.275714285715</v>
      </c>
      <c r="O315" s="3">
        <v>10315.323076923076</v>
      </c>
      <c r="P315" s="3">
        <v>4909.49</v>
      </c>
      <c r="Q315" s="3">
        <v>22277.226538461542</v>
      </c>
      <c r="R315" s="3">
        <v>378.47615384615386</v>
      </c>
    </row>
    <row r="316" spans="1:18">
      <c r="A316" s="2">
        <v>42339</v>
      </c>
      <c r="B316" s="3">
        <v>1112.5059259259262</v>
      </c>
      <c r="C316" s="3">
        <v>12281.794518518516</v>
      </c>
      <c r="D316" s="3">
        <v>44576.738336785187</v>
      </c>
      <c r="E316" s="3">
        <v>3614.5903703703702</v>
      </c>
      <c r="F316" s="3">
        <v>403.79219978260875</v>
      </c>
      <c r="G316" s="3">
        <v>43007.483703703714</v>
      </c>
      <c r="H316" s="3">
        <v>1742.5548148148146</v>
      </c>
      <c r="I316" s="3">
        <v>3545.3875407407404</v>
      </c>
      <c r="J316" s="3">
        <v>21916.878888888892</v>
      </c>
      <c r="K316" s="3">
        <v>19172.790370370371</v>
      </c>
      <c r="L316" s="3">
        <v>2052.6422222222222</v>
      </c>
      <c r="M316" s="3">
        <v>6163.5566666666673</v>
      </c>
      <c r="N316" s="3">
        <v>10680.80739130435</v>
      </c>
      <c r="O316" s="3">
        <v>9769.2777777777774</v>
      </c>
      <c r="P316" s="3">
        <v>4661.5011111111098</v>
      </c>
      <c r="Q316" s="3">
        <v>21501.352222222224</v>
      </c>
      <c r="R316" s="3">
        <v>365.28703703703701</v>
      </c>
    </row>
    <row r="317" spans="1:18">
      <c r="A317" s="2">
        <v>42370</v>
      </c>
      <c r="B317" s="3">
        <v>1127.5025000000001</v>
      </c>
      <c r="C317" s="3">
        <v>10727.946964285717</v>
      </c>
      <c r="D317" s="3">
        <v>39633.619287407142</v>
      </c>
      <c r="E317" s="3">
        <v>3563.7403571428563</v>
      </c>
      <c r="F317" s="3">
        <v>401.53834242857141</v>
      </c>
      <c r="G317" s="3">
        <v>41610.716071428571</v>
      </c>
      <c r="H317" s="3">
        <v>1709.8757142857141</v>
      </c>
      <c r="I317" s="3">
        <v>3004.4968714285715</v>
      </c>
      <c r="J317" s="3">
        <v>19872.941071428573</v>
      </c>
      <c r="K317" s="3">
        <v>17446.297857142858</v>
      </c>
      <c r="L317" s="3">
        <v>1924.7014285714286</v>
      </c>
      <c r="M317" s="3">
        <v>5947.3682142857151</v>
      </c>
      <c r="N317" s="3">
        <v>9870.7071428571453</v>
      </c>
      <c r="O317" s="3">
        <v>8828.6142857142841</v>
      </c>
      <c r="P317" s="3">
        <v>4357.1732142857154</v>
      </c>
      <c r="Q317" s="3">
        <v>19466.16</v>
      </c>
      <c r="R317" s="3">
        <v>341.22285714285721</v>
      </c>
    </row>
    <row r="318" spans="1:18">
      <c r="A318" s="2">
        <v>42401</v>
      </c>
      <c r="B318" s="3">
        <v>1214.1811538461538</v>
      </c>
      <c r="C318" s="3">
        <v>11827.475730769229</v>
      </c>
      <c r="D318" s="3">
        <v>40990.139615499997</v>
      </c>
      <c r="E318" s="3">
        <v>3693.0961538461538</v>
      </c>
      <c r="F318" s="3">
        <v>399.64778299999983</v>
      </c>
      <c r="G318" s="3">
        <v>43179.280384615384</v>
      </c>
      <c r="H318" s="3">
        <v>1775.0842307692308</v>
      </c>
      <c r="I318" s="3">
        <v>2795.4897961538454</v>
      </c>
      <c r="J318" s="3">
        <v>19147.211538461543</v>
      </c>
      <c r="K318" s="3">
        <v>16251.829230769226</v>
      </c>
      <c r="L318" s="3">
        <v>1903.1380769230771</v>
      </c>
      <c r="M318" s="3">
        <v>5887.2576923076931</v>
      </c>
      <c r="N318" s="3">
        <v>9295.7727272727243</v>
      </c>
      <c r="O318" s="3">
        <v>8249.3653846153884</v>
      </c>
      <c r="P318" s="3">
        <v>4186.0342307692299</v>
      </c>
      <c r="Q318" s="3">
        <v>17081.512307692308</v>
      </c>
      <c r="R318" s="3">
        <v>324.45461538461529</v>
      </c>
    </row>
    <row r="319" spans="1:18">
      <c r="A319" s="2">
        <v>42430</v>
      </c>
      <c r="B319" s="3">
        <v>1302.5375862068963</v>
      </c>
      <c r="C319" s="3">
        <v>12941.299551724132</v>
      </c>
      <c r="D319" s="3">
        <v>49289.965250962079</v>
      </c>
      <c r="E319" s="3">
        <v>3870.238068965516</v>
      </c>
      <c r="F319" s="3">
        <v>393.2241637391304</v>
      </c>
      <c r="G319" s="3">
        <v>45102.731034482757</v>
      </c>
      <c r="H319" s="3">
        <v>1876.4865517241381</v>
      </c>
      <c r="I319" s="3">
        <v>2903.5029172413792</v>
      </c>
      <c r="J319" s="3">
        <v>20301.980344827589</v>
      </c>
      <c r="K319" s="3">
        <v>16900.04</v>
      </c>
      <c r="L319" s="3">
        <v>2022.3727586206899</v>
      </c>
      <c r="M319" s="3">
        <v>6155.0231034482777</v>
      </c>
      <c r="N319" s="3">
        <v>9859.1386956521746</v>
      </c>
      <c r="O319" s="3">
        <v>8882.065517241379</v>
      </c>
      <c r="P319" s="3">
        <v>4425.0724137931029</v>
      </c>
      <c r="Q319" s="3">
        <v>18422.987586206902</v>
      </c>
      <c r="R319" s="3">
        <v>339.6541379310346</v>
      </c>
    </row>
    <row r="320" spans="1:18">
      <c r="A320" s="2">
        <v>42461</v>
      </c>
      <c r="B320" s="3">
        <v>1350.6048000000001</v>
      </c>
      <c r="C320" s="3">
        <v>13158.177240000001</v>
      </c>
      <c r="D320" s="3">
        <v>51906.469390579994</v>
      </c>
      <c r="E320" s="3">
        <v>3955.284000000001</v>
      </c>
      <c r="F320" s="3">
        <v>393.2513238095238</v>
      </c>
      <c r="G320" s="3">
        <v>45450.870800000004</v>
      </c>
      <c r="H320" s="3">
        <v>1912.3396000000002</v>
      </c>
      <c r="I320" s="3">
        <v>3005.7124359999998</v>
      </c>
      <c r="J320" s="3">
        <v>20955.229199999998</v>
      </c>
      <c r="K320" s="3">
        <v>16557.664000000001</v>
      </c>
      <c r="L320" s="3">
        <v>2075.1572000000001</v>
      </c>
      <c r="M320" s="3">
        <v>6268.5792000000019</v>
      </c>
      <c r="N320" s="3">
        <v>10023.216666666665</v>
      </c>
      <c r="O320" s="3">
        <v>8835.1039999999994</v>
      </c>
      <c r="P320" s="3">
        <v>4441.5951999999997</v>
      </c>
      <c r="Q320" s="3">
        <v>18100.825599999996</v>
      </c>
      <c r="R320" s="3">
        <v>340.5976</v>
      </c>
    </row>
    <row r="321" spans="1:18">
      <c r="A321" s="2">
        <v>42491</v>
      </c>
      <c r="B321" s="3">
        <v>1320.5433333333335</v>
      </c>
      <c r="C321" s="3">
        <v>13023.284370370373</v>
      </c>
      <c r="D321" s="3">
        <v>51001.093772959277</v>
      </c>
      <c r="E321" s="3">
        <v>3977.5862962962965</v>
      </c>
      <c r="F321" s="3">
        <v>390.7669493636364</v>
      </c>
      <c r="G321" s="3">
        <v>45548.901111111103</v>
      </c>
      <c r="H321" s="3">
        <v>1910.2825925925927</v>
      </c>
      <c r="I321" s="3">
        <v>2863.7278074074065</v>
      </c>
      <c r="J321" s="3">
        <v>20223.91777777778</v>
      </c>
      <c r="K321" s="3">
        <v>16549.596296296295</v>
      </c>
      <c r="L321" s="3">
        <v>2066.5207407407402</v>
      </c>
      <c r="M321" s="3">
        <v>6175.6848148148156</v>
      </c>
      <c r="N321" s="3">
        <v>10007.927272727271</v>
      </c>
      <c r="O321" s="3">
        <v>8827.4592592592599</v>
      </c>
      <c r="P321" s="3">
        <v>4375.3959259259245</v>
      </c>
      <c r="Q321" s="3">
        <v>17904.358148148149</v>
      </c>
      <c r="R321" s="3">
        <v>338.70592592592595</v>
      </c>
    </row>
    <row r="322" spans="1:18">
      <c r="A322" s="2">
        <v>42522</v>
      </c>
      <c r="B322" s="3">
        <v>1313.6188888888889</v>
      </c>
      <c r="C322" s="3">
        <v>13406.87162962963</v>
      </c>
      <c r="D322" s="3">
        <v>50142.518295729635</v>
      </c>
      <c r="E322" s="3">
        <v>3969.0103703703699</v>
      </c>
      <c r="F322" s="3">
        <v>392.9465269545455</v>
      </c>
      <c r="G322" s="3">
        <v>45448.246296296304</v>
      </c>
      <c r="H322" s="3">
        <v>1895.477037037037</v>
      </c>
      <c r="I322" s="3">
        <v>2903.0357629629634</v>
      </c>
      <c r="J322" s="3">
        <v>20675.498148148152</v>
      </c>
      <c r="K322" s="3">
        <v>16072.271851851849</v>
      </c>
      <c r="L322" s="3">
        <v>2083.2803703703703</v>
      </c>
      <c r="M322" s="3">
        <v>6168.572222222223</v>
      </c>
      <c r="N322" s="3">
        <v>9859.1486363636359</v>
      </c>
      <c r="O322" s="3">
        <v>8459.6629629629624</v>
      </c>
      <c r="P322" s="3">
        <v>4293.2262962962959</v>
      </c>
      <c r="Q322" s="3">
        <v>16946.484074074073</v>
      </c>
      <c r="R322" s="3">
        <v>332.87481481481478</v>
      </c>
    </row>
    <row r="323" spans="1:18">
      <c r="A323" s="2">
        <v>42552</v>
      </c>
      <c r="B323" s="3">
        <v>1319.6614814814811</v>
      </c>
      <c r="C323" s="3">
        <v>15391.720851851853</v>
      </c>
      <c r="D323" s="3">
        <v>54924.369785437026</v>
      </c>
      <c r="E323" s="3">
        <v>4080.6051851851848</v>
      </c>
      <c r="F323" s="3">
        <v>396.7979631904762</v>
      </c>
      <c r="G323" s="3">
        <v>46542.489629629628</v>
      </c>
      <c r="H323" s="3">
        <v>1920.6007407407405</v>
      </c>
      <c r="I323" s="3">
        <v>3009.4090222222226</v>
      </c>
      <c r="J323" s="3">
        <v>21422.88444444444</v>
      </c>
      <c r="K323" s="3">
        <v>16149.279629629631</v>
      </c>
      <c r="L323" s="3">
        <v>2145.4503703703699</v>
      </c>
      <c r="M323" s="3">
        <v>6653.4748148148146</v>
      </c>
      <c r="N323" s="3">
        <v>9960.5209523809517</v>
      </c>
      <c r="O323" s="3">
        <v>8413.1518518518551</v>
      </c>
      <c r="P323" s="3">
        <v>4318.607037037038</v>
      </c>
      <c r="Q323" s="3">
        <v>16463.272592592595</v>
      </c>
      <c r="R323" s="3">
        <v>335.24629629629629</v>
      </c>
    </row>
    <row r="324" spans="1:18">
      <c r="A324" s="2">
        <v>42583</v>
      </c>
      <c r="B324" s="3">
        <v>1339.2718518518514</v>
      </c>
      <c r="C324" s="3">
        <v>15510.718888888889</v>
      </c>
      <c r="D324" s="3">
        <v>58018.594280211102</v>
      </c>
      <c r="E324" s="3">
        <v>4140.8966666666665</v>
      </c>
      <c r="F324" s="3">
        <v>398.82617552173923</v>
      </c>
      <c r="G324" s="3">
        <v>47730.058888888903</v>
      </c>
      <c r="H324" s="3">
        <v>1964.2818518518513</v>
      </c>
      <c r="I324" s="3">
        <v>3050.2317333333331</v>
      </c>
      <c r="J324" s="3">
        <v>22647.988518518516</v>
      </c>
      <c r="K324" s="3">
        <v>16581.835925925927</v>
      </c>
      <c r="L324" s="3">
        <v>2177.8488888888892</v>
      </c>
      <c r="M324" s="3">
        <v>6826.7314814814808</v>
      </c>
      <c r="N324" s="3">
        <v>10530.252608695651</v>
      </c>
      <c r="O324" s="3">
        <v>8573.3222222222212</v>
      </c>
      <c r="P324" s="3">
        <v>4427.2625925925931</v>
      </c>
      <c r="Q324" s="3">
        <v>16670.715555555555</v>
      </c>
      <c r="R324" s="3">
        <v>342.35037037037046</v>
      </c>
    </row>
    <row r="325" spans="1:18">
      <c r="A325" s="2">
        <v>42614</v>
      </c>
      <c r="B325" s="3">
        <v>1371.2614814814815</v>
      </c>
      <c r="C325" s="3">
        <v>16147.768481481478</v>
      </c>
      <c r="D325" s="3">
        <v>58460.696369259247</v>
      </c>
      <c r="E325" s="3">
        <v>4084.1792592592592</v>
      </c>
      <c r="F325" s="3">
        <v>403.88780945454545</v>
      </c>
      <c r="G325" s="3">
        <v>47030.946296296308</v>
      </c>
      <c r="H325" s="3">
        <v>2006.4314814814818</v>
      </c>
      <c r="I325" s="3">
        <v>3036.9192259259257</v>
      </c>
      <c r="J325" s="3">
        <v>23563.964814814823</v>
      </c>
      <c r="K325" s="3">
        <v>16748.083333333339</v>
      </c>
      <c r="L325" s="3">
        <v>2156.701481481482</v>
      </c>
      <c r="M325" s="3">
        <v>6813.7288888888888</v>
      </c>
      <c r="N325" s="3">
        <v>10504.490909090908</v>
      </c>
      <c r="O325" s="3">
        <v>8828.3222222222212</v>
      </c>
      <c r="P325" s="3">
        <v>4452.4107407407409</v>
      </c>
      <c r="Q325" s="3">
        <v>16680.315185185187</v>
      </c>
      <c r="R325" s="3">
        <v>343.99925925925925</v>
      </c>
    </row>
    <row r="326" spans="1:18">
      <c r="A326" s="2">
        <v>42644</v>
      </c>
      <c r="B326" s="3">
        <v>1352.6515384615388</v>
      </c>
      <c r="C326" s="3">
        <v>17582.718769230767</v>
      </c>
      <c r="D326" s="3">
        <v>62316.465225826942</v>
      </c>
      <c r="E326" s="3">
        <v>4174.9273076923073</v>
      </c>
      <c r="F326" s="3">
        <v>404.57769857142841</v>
      </c>
      <c r="G326" s="3">
        <v>47969.653461538452</v>
      </c>
      <c r="H326" s="3">
        <v>1976.4773076923075</v>
      </c>
      <c r="I326" s="3">
        <v>3064.1444038461536</v>
      </c>
      <c r="J326" s="3">
        <v>23409.731153846158</v>
      </c>
      <c r="K326" s="3">
        <v>17021.061538461538</v>
      </c>
      <c r="L326" s="3">
        <v>2143.3076923076933</v>
      </c>
      <c r="M326" s="3">
        <v>7008.046923076924</v>
      </c>
      <c r="N326" s="3">
        <v>10618.770952380954</v>
      </c>
      <c r="O326" s="3">
        <v>8900.0153846153826</v>
      </c>
      <c r="P326" s="3">
        <v>4496.2588461538462</v>
      </c>
      <c r="Q326" s="3">
        <v>16804.738461538465</v>
      </c>
      <c r="R326" s="3">
        <v>341.63692307692304</v>
      </c>
    </row>
    <row r="327" spans="1:18">
      <c r="A327" s="2">
        <v>42675</v>
      </c>
      <c r="B327" s="3">
        <v>1317.408076923077</v>
      </c>
      <c r="C327" s="3">
        <v>16766.541076923077</v>
      </c>
      <c r="D327" s="3">
        <v>61449.088762765394</v>
      </c>
      <c r="E327" s="3">
        <v>4209.8707692307689</v>
      </c>
      <c r="F327" s="3">
        <v>412.13339409090912</v>
      </c>
      <c r="G327" s="3">
        <v>45738.843461538469</v>
      </c>
      <c r="H327" s="3">
        <v>2033.7507692307695</v>
      </c>
      <c r="I327" s="3">
        <v>3195.2877038461543</v>
      </c>
      <c r="J327" s="3">
        <v>22609.883461538462</v>
      </c>
      <c r="K327" s="3">
        <v>17681.430769230767</v>
      </c>
      <c r="L327" s="3">
        <v>2165.9346153846154</v>
      </c>
      <c r="M327" s="3">
        <v>6796.674615384617</v>
      </c>
      <c r="N327" s="3">
        <v>10595.53</v>
      </c>
      <c r="O327" s="3">
        <v>8730.4384615384606</v>
      </c>
      <c r="P327" s="3">
        <v>4500.6053846153864</v>
      </c>
      <c r="Q327" s="3">
        <v>16569.952307692307</v>
      </c>
      <c r="R327" s="3">
        <v>337.89423076923083</v>
      </c>
    </row>
    <row r="328" spans="1:18">
      <c r="A328" s="2">
        <v>42705</v>
      </c>
      <c r="B328" s="3">
        <v>1330.542692307693</v>
      </c>
      <c r="C328" s="3">
        <v>16756.796423076925</v>
      </c>
      <c r="D328" s="3">
        <v>59193.058698534616</v>
      </c>
      <c r="E328" s="3">
        <v>4177.7200000000012</v>
      </c>
      <c r="F328" s="3">
        <v>415.13482468181815</v>
      </c>
      <c r="G328" s="3">
        <v>45520.013461538467</v>
      </c>
      <c r="H328" s="3">
        <v>2193.9550000000004</v>
      </c>
      <c r="I328" s="3">
        <v>3159.167873076924</v>
      </c>
      <c r="J328" s="3">
        <v>22179.36615384616</v>
      </c>
      <c r="K328" s="3">
        <v>19079.443076923075</v>
      </c>
      <c r="L328" s="3">
        <v>2246.7823076923078</v>
      </c>
      <c r="M328" s="3">
        <v>6966.2223076923101</v>
      </c>
      <c r="N328" s="3">
        <v>11225.580909090906</v>
      </c>
      <c r="O328" s="3">
        <v>9182.4076923076955</v>
      </c>
      <c r="P328" s="3">
        <v>4763.8353846153841</v>
      </c>
      <c r="Q328" s="3">
        <v>18604.201153846159</v>
      </c>
      <c r="R328" s="3">
        <v>354.86730769230775</v>
      </c>
    </row>
    <row r="329" spans="1:18">
      <c r="A329" s="2">
        <v>42736</v>
      </c>
      <c r="B329" s="3">
        <v>1365.1833333333332</v>
      </c>
      <c r="C329" s="3">
        <v>18686.757296296299</v>
      </c>
      <c r="D329" s="3">
        <v>63560.898101096311</v>
      </c>
      <c r="E329" s="3">
        <v>4221.6400000000003</v>
      </c>
      <c r="F329" s="3">
        <v>413.78576809090919</v>
      </c>
      <c r="G329" s="3">
        <v>46512.287777777798</v>
      </c>
      <c r="H329" s="3">
        <v>2209.7140740740742</v>
      </c>
      <c r="I329" s="3">
        <v>3136.5935333333327</v>
      </c>
      <c r="J329" s="3">
        <v>22810.567407407409</v>
      </c>
      <c r="K329" s="3">
        <v>19215.978888888887</v>
      </c>
      <c r="L329" s="3">
        <v>2273.045925925926</v>
      </c>
      <c r="M329" s="3">
        <v>7209.4411111111103</v>
      </c>
      <c r="N329" s="3">
        <v>11620.112272727272</v>
      </c>
      <c r="O329" s="3">
        <v>9437.0962962962967</v>
      </c>
      <c r="P329" s="3">
        <v>4866.1037037037031</v>
      </c>
      <c r="Q329" s="3">
        <v>19395.781111111111</v>
      </c>
      <c r="R329" s="3">
        <v>364.0022222222222</v>
      </c>
    </row>
    <row r="330" spans="1:18">
      <c r="A330" s="2">
        <v>42767</v>
      </c>
      <c r="B330" s="3">
        <v>1345.5692000000001</v>
      </c>
      <c r="C330" s="3">
        <v>19451.536560000008</v>
      </c>
      <c r="D330" s="3">
        <v>66502.528857087993</v>
      </c>
      <c r="E330" s="3">
        <v>4318.9744000000001</v>
      </c>
      <c r="F330" s="3">
        <v>412.66767405000002</v>
      </c>
      <c r="G330" s="3">
        <v>47226.464399999997</v>
      </c>
      <c r="H330" s="3">
        <v>2149.2283999999995</v>
      </c>
      <c r="I330" s="3">
        <v>3204.7616079999993</v>
      </c>
      <c r="J330" s="3">
        <v>23729.714400000001</v>
      </c>
      <c r="K330" s="3">
        <v>19192.982799999998</v>
      </c>
      <c r="L330" s="3">
        <v>2332.1055999999999</v>
      </c>
      <c r="M330" s="3">
        <v>7243.9612000000016</v>
      </c>
      <c r="N330" s="3">
        <v>11745.424999999999</v>
      </c>
      <c r="O330" s="3">
        <v>9459.7879999999986</v>
      </c>
      <c r="P330" s="3">
        <v>4846.7188000000006</v>
      </c>
      <c r="Q330" s="3">
        <v>18912.981200000002</v>
      </c>
      <c r="R330" s="3">
        <v>368.24600000000004</v>
      </c>
    </row>
    <row r="331" spans="1:18">
      <c r="A331" s="2">
        <v>42795</v>
      </c>
      <c r="B331" s="3">
        <v>1341.9460714285713</v>
      </c>
      <c r="C331" s="3">
        <v>19474.489285714284</v>
      </c>
      <c r="D331" s="3">
        <v>64978.054299253548</v>
      </c>
      <c r="E331" s="3">
        <v>4609.2703571428556</v>
      </c>
      <c r="F331" s="3">
        <v>415.33000552173917</v>
      </c>
      <c r="G331" s="3">
        <v>48106.670357142866</v>
      </c>
      <c r="H331" s="3">
        <v>2026.115357142857</v>
      </c>
      <c r="I331" s="3">
        <v>3239.6865499999994</v>
      </c>
      <c r="J331" s="3">
        <v>24027.897142857135</v>
      </c>
      <c r="K331" s="3">
        <v>19370.892142857152</v>
      </c>
      <c r="L331" s="3">
        <v>2367.611071428571</v>
      </c>
      <c r="M331" s="3">
        <v>7363.3325000000023</v>
      </c>
      <c r="N331" s="3">
        <v>12047.632173913042</v>
      </c>
      <c r="O331" s="3">
        <v>10101.742857142855</v>
      </c>
      <c r="P331" s="3">
        <v>5009.2792857142858</v>
      </c>
      <c r="Q331" s="3">
        <v>19883.450357142858</v>
      </c>
      <c r="R331" s="3">
        <v>375.89857142857136</v>
      </c>
    </row>
    <row r="332" spans="1:18">
      <c r="A332" s="2">
        <v>42826</v>
      </c>
      <c r="B332" s="3">
        <v>1370.3724000000002</v>
      </c>
      <c r="C332" s="3">
        <v>20809.837079999998</v>
      </c>
      <c r="D332" s="3">
        <v>64343.728035955988</v>
      </c>
      <c r="E332" s="3">
        <v>4842.6804000000002</v>
      </c>
      <c r="F332" s="3">
        <v>418.55886659999999</v>
      </c>
      <c r="G332" s="3">
        <v>49163.632799999999</v>
      </c>
      <c r="H332" s="3">
        <v>1980.2848000000001</v>
      </c>
      <c r="I332" s="3">
        <v>3214.671456</v>
      </c>
      <c r="J332" s="3">
        <v>24261.939199999993</v>
      </c>
      <c r="K332" s="3">
        <v>18738.192800000001</v>
      </c>
      <c r="L332" s="3">
        <v>2357.4371999999998</v>
      </c>
      <c r="M332" s="3">
        <v>7268.7371999999996</v>
      </c>
      <c r="N332" s="3">
        <v>12220.200000000003</v>
      </c>
      <c r="O332" s="3">
        <v>10473.519999999999</v>
      </c>
      <c r="P332" s="3">
        <v>5128.7792000000009</v>
      </c>
      <c r="Q332" s="3">
        <v>20171.859999999997</v>
      </c>
      <c r="R332" s="3">
        <v>381.68320000000006</v>
      </c>
    </row>
    <row r="333" spans="1:18">
      <c r="A333" s="2">
        <v>42856</v>
      </c>
      <c r="B333" s="3">
        <v>1423.8670370370369</v>
      </c>
      <c r="C333" s="3">
        <v>21554.866074074078</v>
      </c>
      <c r="D333" s="3">
        <v>65134.667780929623</v>
      </c>
      <c r="E333" s="3">
        <v>4845.6774074074074</v>
      </c>
      <c r="F333" s="3">
        <v>421.66926773913048</v>
      </c>
      <c r="G333" s="3">
        <v>49325.180740740718</v>
      </c>
      <c r="H333" s="3">
        <v>1977.8140740740741</v>
      </c>
      <c r="I333" s="3">
        <v>3098.281107407407</v>
      </c>
      <c r="J333" s="3">
        <v>25157.34074074075</v>
      </c>
      <c r="K333" s="3">
        <v>19684.423333333336</v>
      </c>
      <c r="L333" s="3">
        <v>2396.3396296296296</v>
      </c>
      <c r="M333" s="3">
        <v>7421.425925925927</v>
      </c>
      <c r="N333" s="3">
        <v>12651.348695652172</v>
      </c>
      <c r="O333" s="3">
        <v>10910.318518518518</v>
      </c>
      <c r="P333" s="3">
        <v>5352.2281481481486</v>
      </c>
      <c r="Q333" s="3">
        <v>21285.107777777783</v>
      </c>
      <c r="R333" s="3">
        <v>392.44037037037043</v>
      </c>
    </row>
    <row r="334" spans="1:18">
      <c r="A334" s="2">
        <v>42887</v>
      </c>
      <c r="B334" s="3">
        <v>1448.6722222222222</v>
      </c>
      <c r="C334" s="3">
        <v>21626.323185185185</v>
      </c>
      <c r="D334" s="3">
        <v>62007.775576533335</v>
      </c>
      <c r="E334" s="3">
        <v>4829.111481481481</v>
      </c>
      <c r="F334" s="3">
        <v>422.72252359090913</v>
      </c>
      <c r="G334" s="3">
        <v>49193.827777777784</v>
      </c>
      <c r="H334" s="3">
        <v>1865.3425925925928</v>
      </c>
      <c r="I334" s="3">
        <v>3142.8787740740745</v>
      </c>
      <c r="J334" s="3">
        <v>25829.47555555556</v>
      </c>
      <c r="K334" s="3">
        <v>20053.613333333331</v>
      </c>
      <c r="L334" s="3">
        <v>2434.4088888888891</v>
      </c>
      <c r="M334" s="3">
        <v>7471.0237037037032</v>
      </c>
      <c r="N334" s="3">
        <v>12715.657272727274</v>
      </c>
      <c r="O334" s="3">
        <v>10784.933333333332</v>
      </c>
      <c r="P334" s="3">
        <v>5271.0881481481474</v>
      </c>
      <c r="Q334" s="3">
        <v>20908.934074074074</v>
      </c>
      <c r="R334" s="3">
        <v>388.5318518518518</v>
      </c>
    </row>
    <row r="335" spans="1:18">
      <c r="A335" s="2">
        <v>42917</v>
      </c>
      <c r="B335" s="3">
        <v>1476.8074074074075</v>
      </c>
      <c r="C335" s="3">
        <v>21758.330444444444</v>
      </c>
      <c r="D335" s="3">
        <v>64382.604879459272</v>
      </c>
      <c r="E335" s="3">
        <v>4955.1133333333337</v>
      </c>
      <c r="F335" s="3">
        <v>423.72348109523818</v>
      </c>
      <c r="G335" s="3">
        <v>50851.788888888899</v>
      </c>
      <c r="H335" s="3">
        <v>1929.2525925925922</v>
      </c>
      <c r="I335" s="3">
        <v>3221.5689222222213</v>
      </c>
      <c r="J335" s="3">
        <v>26288.559629629632</v>
      </c>
      <c r="K335" s="3">
        <v>20044.092592592591</v>
      </c>
      <c r="L335" s="3">
        <v>2451.3692592592588</v>
      </c>
      <c r="M335" s="3">
        <v>7388.4811111111121</v>
      </c>
      <c r="N335" s="3">
        <v>12397.470952380952</v>
      </c>
      <c r="O335" s="3">
        <v>10535.255555555554</v>
      </c>
      <c r="P335" s="3">
        <v>5168.3588888888889</v>
      </c>
      <c r="Q335" s="3">
        <v>21259.878518518519</v>
      </c>
      <c r="R335" s="3">
        <v>381.95185185185181</v>
      </c>
    </row>
    <row r="336" spans="1:18">
      <c r="A336" s="2">
        <v>42948</v>
      </c>
      <c r="B336" s="3">
        <v>1473.5078571428569</v>
      </c>
      <c r="C336" s="3">
        <v>22494.781285714282</v>
      </c>
      <c r="D336" s="3">
        <v>68759.660048292848</v>
      </c>
      <c r="E336" s="3">
        <v>5111.7128571428575</v>
      </c>
      <c r="F336" s="3">
        <v>426.8789968695653</v>
      </c>
      <c r="G336" s="3">
        <v>51194.161071428563</v>
      </c>
      <c r="H336" s="3">
        <v>1961.6057142857142</v>
      </c>
      <c r="I336" s="3">
        <v>3283.9965035714299</v>
      </c>
      <c r="J336" s="3">
        <v>27482.310714285722</v>
      </c>
      <c r="K336" s="3">
        <v>19662.462857142855</v>
      </c>
      <c r="L336" s="3">
        <v>2453.7653571428577</v>
      </c>
      <c r="M336" s="3">
        <v>7402.659642857142</v>
      </c>
      <c r="N336" s="3">
        <v>12153.805217391302</v>
      </c>
      <c r="O336" s="3">
        <v>10437.760714285712</v>
      </c>
      <c r="P336" s="3">
        <v>5122.1164285714276</v>
      </c>
      <c r="Q336" s="3">
        <v>21730.919999999995</v>
      </c>
      <c r="R336" s="3">
        <v>376.05785714285713</v>
      </c>
    </row>
    <row r="337" spans="1:18">
      <c r="A337" s="2">
        <v>42979</v>
      </c>
      <c r="B337" s="3">
        <v>1493.1223076923077</v>
      </c>
      <c r="C337" s="3">
        <v>24397.48453846154</v>
      </c>
      <c r="D337" s="3">
        <v>74230.356338007696</v>
      </c>
      <c r="E337" s="3">
        <v>5207.0876923076912</v>
      </c>
      <c r="F337" s="3">
        <v>431.7691267142859</v>
      </c>
      <c r="G337" s="3">
        <v>50344.783461538456</v>
      </c>
      <c r="H337" s="3">
        <v>2046.6553846153843</v>
      </c>
      <c r="I337" s="3">
        <v>3362.1049846153842</v>
      </c>
      <c r="J337" s="3">
        <v>27787.374230769237</v>
      </c>
      <c r="K337" s="3">
        <v>19920.230384615388</v>
      </c>
      <c r="L337" s="3">
        <v>2492.0446153846151</v>
      </c>
      <c r="M337" s="3">
        <v>7336.2519230769249</v>
      </c>
      <c r="N337" s="3">
        <v>12479.533809523811</v>
      </c>
      <c r="O337" s="3">
        <v>10284.507692307692</v>
      </c>
      <c r="P337" s="3">
        <v>5209.4584615384611</v>
      </c>
      <c r="Q337" s="3">
        <v>22223.023076923073</v>
      </c>
      <c r="R337" s="3">
        <v>380.65692307692308</v>
      </c>
    </row>
    <row r="338" spans="1:18">
      <c r="A338" s="2">
        <v>43009</v>
      </c>
      <c r="B338" s="3">
        <v>1473.5796296296296</v>
      </c>
      <c r="C338" s="3">
        <v>27067.476407407405</v>
      </c>
      <c r="D338" s="3">
        <v>76103.602510081473</v>
      </c>
      <c r="E338" s="3">
        <v>5486.2370370370381</v>
      </c>
      <c r="F338" s="3">
        <v>437.41848972727263</v>
      </c>
      <c r="G338" s="3">
        <v>49869.728148148162</v>
      </c>
      <c r="H338" s="3">
        <v>2079.9340740740745</v>
      </c>
      <c r="I338" s="3">
        <v>3377.9957814814811</v>
      </c>
      <c r="J338" s="3">
        <v>28342.085185185184</v>
      </c>
      <c r="K338" s="3">
        <v>21221.343333333334</v>
      </c>
      <c r="L338" s="3">
        <v>2556.7437037037034</v>
      </c>
      <c r="M338" s="3">
        <v>7505.1581481481489</v>
      </c>
      <c r="N338" s="3">
        <v>13016.989545454544</v>
      </c>
      <c r="O338" s="3">
        <v>10238.559259259258</v>
      </c>
      <c r="P338" s="3">
        <v>5388.3062962962968</v>
      </c>
      <c r="Q338" s="3">
        <v>22510.247777777771</v>
      </c>
      <c r="R338" s="3">
        <v>390.75037037037038</v>
      </c>
    </row>
    <row r="339" spans="1:18">
      <c r="A339" s="2">
        <v>43040</v>
      </c>
      <c r="B339" s="3">
        <v>1438.4153846153847</v>
      </c>
      <c r="C339" s="3">
        <v>27312.484384615382</v>
      </c>
      <c r="D339" s="3">
        <v>73290.995506350009</v>
      </c>
      <c r="E339" s="3">
        <v>5286.7588461538453</v>
      </c>
      <c r="F339" s="3">
        <v>441.11954686363629</v>
      </c>
      <c r="G339" s="3">
        <v>48070.167307692303</v>
      </c>
      <c r="H339" s="3">
        <v>2136.1492307692311</v>
      </c>
      <c r="I339" s="3">
        <v>3387.7650615384609</v>
      </c>
      <c r="J339" s="3">
        <v>29211.175769230758</v>
      </c>
      <c r="K339" s="3">
        <v>22528.208846153841</v>
      </c>
      <c r="L339" s="3">
        <v>2592.8542307692305</v>
      </c>
      <c r="M339" s="3">
        <v>7441.9538461538468</v>
      </c>
      <c r="N339" s="3">
        <v>13159.374545454544</v>
      </c>
      <c r="O339" s="3">
        <v>10146.346153846154</v>
      </c>
      <c r="P339" s="3">
        <v>5398.6023076923075</v>
      </c>
      <c r="Q339" s="3">
        <v>22505.233076923076</v>
      </c>
      <c r="R339" s="3">
        <v>388.84307692307698</v>
      </c>
    </row>
    <row r="340" spans="1:18">
      <c r="A340" s="2">
        <v>43070</v>
      </c>
      <c r="B340" s="3">
        <v>1474.9046153846159</v>
      </c>
      <c r="C340" s="3">
        <v>27835.956000000002</v>
      </c>
      <c r="D340" s="3">
        <v>73823.052076280757</v>
      </c>
      <c r="E340" s="3">
        <v>5261.0642307692324</v>
      </c>
      <c r="F340" s="3">
        <v>443.49450566666667</v>
      </c>
      <c r="G340" s="3">
        <v>48080.414230769231</v>
      </c>
      <c r="H340" s="3">
        <v>2117.2930769230766</v>
      </c>
      <c r="I340" s="3">
        <v>3294.0246269230765</v>
      </c>
      <c r="J340" s="3">
        <v>29165.309615384616</v>
      </c>
      <c r="K340" s="3">
        <v>22769.951538461537</v>
      </c>
      <c r="L340" s="3">
        <v>2665.2549999999997</v>
      </c>
      <c r="M340" s="3">
        <v>7492.4557692307681</v>
      </c>
      <c r="N340" s="3">
        <v>13079.224285714286</v>
      </c>
      <c r="O340" s="3">
        <v>10195.25</v>
      </c>
      <c r="P340" s="3">
        <v>5367.6419230769234</v>
      </c>
      <c r="Q340" s="3">
        <v>22283.99307692307</v>
      </c>
      <c r="R340" s="3">
        <v>388.93653846153848</v>
      </c>
    </row>
    <row r="341" spans="1:18">
      <c r="A341" s="2">
        <v>43101</v>
      </c>
      <c r="B341" s="3">
        <v>1549.7866666666669</v>
      </c>
      <c r="C341" s="3">
        <v>33196.405851851858</v>
      </c>
      <c r="D341" s="3">
        <v>80838.093329288909</v>
      </c>
      <c r="E341" s="3">
        <v>5758.442222222222</v>
      </c>
      <c r="F341" s="3">
        <v>448.13703326086966</v>
      </c>
      <c r="G341" s="3">
        <v>49908.310370370382</v>
      </c>
      <c r="H341" s="3">
        <v>2250.678148148148</v>
      </c>
      <c r="I341" s="3">
        <v>3452.8974814814828</v>
      </c>
      <c r="J341" s="3">
        <v>31772.481111111105</v>
      </c>
      <c r="K341" s="3">
        <v>23605.541851851853</v>
      </c>
      <c r="L341" s="3">
        <v>2787.3440740740739</v>
      </c>
      <c r="M341" s="3">
        <v>7699.6770370370368</v>
      </c>
      <c r="N341" s="3">
        <v>13255.318260869562</v>
      </c>
      <c r="O341" s="3">
        <v>10437.822222222223</v>
      </c>
      <c r="P341" s="3">
        <v>5480.7744444444443</v>
      </c>
      <c r="Q341" s="3">
        <v>23261.78703703704</v>
      </c>
      <c r="R341" s="3">
        <v>397.73740740740737</v>
      </c>
    </row>
    <row r="342" spans="1:18">
      <c r="A342" s="2">
        <v>43132</v>
      </c>
      <c r="B342" s="3">
        <v>1523.5199999999998</v>
      </c>
      <c r="C342" s="3">
        <v>32124.863125000003</v>
      </c>
      <c r="D342" s="3">
        <v>84248.86428700418</v>
      </c>
      <c r="E342" s="3">
        <v>5669.4487499999987</v>
      </c>
      <c r="F342" s="3">
        <v>454.66952519999995</v>
      </c>
      <c r="G342" s="3">
        <v>48772.064583333326</v>
      </c>
      <c r="H342" s="3">
        <v>2275.4091666666668</v>
      </c>
      <c r="I342" s="3">
        <v>3271.7148083333336</v>
      </c>
      <c r="J342" s="3">
        <v>31007.066666666669</v>
      </c>
      <c r="K342" s="3">
        <v>21978.948333333334</v>
      </c>
      <c r="L342" s="3">
        <v>2707.9737500000006</v>
      </c>
      <c r="M342" s="3">
        <v>7258.0416666666679</v>
      </c>
      <c r="N342" s="3">
        <v>12459.364000000001</v>
      </c>
      <c r="O342" s="3">
        <v>9870.1833333333325</v>
      </c>
      <c r="P342" s="3">
        <v>5258.302083333333</v>
      </c>
      <c r="Q342" s="3">
        <v>22647.484583333338</v>
      </c>
      <c r="R342" s="3">
        <v>379.13124999999997</v>
      </c>
    </row>
    <row r="343" spans="1:18">
      <c r="A343" s="2">
        <v>43160</v>
      </c>
      <c r="B343" s="3">
        <v>1467.4421428571422</v>
      </c>
      <c r="C343" s="3">
        <v>32127.358428571431</v>
      </c>
      <c r="D343" s="3">
        <v>85250.982297021401</v>
      </c>
      <c r="E343" s="3">
        <v>5553.806071428573</v>
      </c>
      <c r="F343" s="3">
        <v>458.30260886363635</v>
      </c>
      <c r="G343" s="3">
        <v>47415.767857142877</v>
      </c>
      <c r="H343" s="3">
        <v>2288.059642857143</v>
      </c>
      <c r="I343" s="3">
        <v>3244.9406678571436</v>
      </c>
      <c r="J343" s="3">
        <v>30822.197142857152</v>
      </c>
      <c r="K343" s="3">
        <v>21366.70642857143</v>
      </c>
      <c r="L343" s="3">
        <v>2698.1903571428579</v>
      </c>
      <c r="M343" s="3">
        <v>7087.6957142857127</v>
      </c>
      <c r="N343" s="3">
        <v>12162.793181818181</v>
      </c>
      <c r="O343" s="3">
        <v>9603.6464285714301</v>
      </c>
      <c r="P343" s="3">
        <v>5195.4689285714276</v>
      </c>
      <c r="Q343" s="3">
        <v>22437.635357142859</v>
      </c>
      <c r="R343" s="3">
        <v>372.27071428571435</v>
      </c>
    </row>
    <row r="344" spans="1:18">
      <c r="A344" s="2">
        <v>43191</v>
      </c>
      <c r="B344" s="3">
        <v>1540.7748148148141</v>
      </c>
      <c r="C344" s="3">
        <v>31113.829925925918</v>
      </c>
      <c r="D344" s="3">
        <v>85134.757211277756</v>
      </c>
      <c r="E344" s="3">
        <v>5635.5729629629632</v>
      </c>
      <c r="F344" s="3">
        <v>466.11834704545441</v>
      </c>
      <c r="G344" s="3">
        <v>48120.846666666679</v>
      </c>
      <c r="H344" s="3">
        <v>2238.9833333333331</v>
      </c>
      <c r="I344" s="3">
        <v>3121.344025925926</v>
      </c>
      <c r="J344" s="3">
        <v>30314.178148148156</v>
      </c>
      <c r="K344" s="3">
        <v>21916.376666666667</v>
      </c>
      <c r="L344" s="3">
        <v>2653.2492592592589</v>
      </c>
      <c r="M344" s="3">
        <v>7285.1248148148125</v>
      </c>
      <c r="N344" s="3">
        <v>12404.979545454546</v>
      </c>
      <c r="O344" s="3">
        <v>9788.1518518518515</v>
      </c>
      <c r="P344" s="3">
        <v>5340.4981481481482</v>
      </c>
      <c r="Q344" s="3">
        <v>23393.358888888888</v>
      </c>
      <c r="R344" s="3">
        <v>378.75851851851837</v>
      </c>
    </row>
    <row r="345" spans="1:18">
      <c r="A345" s="2">
        <v>43221</v>
      </c>
      <c r="B345" s="3">
        <v>1541.606428571429</v>
      </c>
      <c r="C345" s="3">
        <v>29638.937250000006</v>
      </c>
      <c r="D345" s="3">
        <v>82303.639647064265</v>
      </c>
      <c r="E345" s="3">
        <v>5636.0650000000005</v>
      </c>
      <c r="F345" s="3">
        <v>479.33998695652184</v>
      </c>
      <c r="G345" s="3">
        <v>46115.456071428584</v>
      </c>
      <c r="H345" s="3">
        <v>2312.2453571428573</v>
      </c>
      <c r="I345" s="3">
        <v>3142.8241142857137</v>
      </c>
      <c r="J345" s="3">
        <v>30690.216071428578</v>
      </c>
      <c r="K345" s="3">
        <v>22586.496428571427</v>
      </c>
      <c r="L345" s="3">
        <v>2701.5374999999999</v>
      </c>
      <c r="M345" s="3">
        <v>7684.2825000000012</v>
      </c>
      <c r="N345" s="3">
        <v>12905.401739130437</v>
      </c>
      <c r="O345" s="3">
        <v>10034.089285714284</v>
      </c>
      <c r="P345" s="3">
        <v>5538.5503571428562</v>
      </c>
      <c r="Q345" s="3">
        <v>23471.65</v>
      </c>
      <c r="R345" s="3">
        <v>390.38321428571419</v>
      </c>
    </row>
    <row r="346" spans="1:18">
      <c r="A346" s="2">
        <v>43252</v>
      </c>
      <c r="B346" s="3">
        <v>1547.7261538461539</v>
      </c>
      <c r="C346" s="3">
        <v>29520.336000000007</v>
      </c>
      <c r="D346" s="3">
        <v>72723.737836019238</v>
      </c>
      <c r="E346" s="3">
        <v>5441.2573076923063</v>
      </c>
      <c r="F346" s="3">
        <v>479.34873545454542</v>
      </c>
      <c r="G346" s="3">
        <v>46336.223846153836</v>
      </c>
      <c r="H346" s="3">
        <v>2267.3384615384612</v>
      </c>
      <c r="I346" s="3">
        <v>2988.6252884615383</v>
      </c>
      <c r="J346" s="3">
        <v>30145.131153846152</v>
      </c>
      <c r="K346" s="3">
        <v>22567.281153846157</v>
      </c>
      <c r="L346" s="3">
        <v>2756.4857692307683</v>
      </c>
      <c r="M346" s="3">
        <v>7660.6053846153854</v>
      </c>
      <c r="N346" s="3">
        <v>12672.054090909089</v>
      </c>
      <c r="O346" s="3">
        <v>9756.0807692307699</v>
      </c>
      <c r="P346" s="3">
        <v>5416.5169230769243</v>
      </c>
      <c r="Q346" s="3">
        <v>21848.34230769231</v>
      </c>
      <c r="R346" s="3">
        <v>384.89884615384619</v>
      </c>
    </row>
    <row r="347" spans="1:18">
      <c r="A347" s="2">
        <v>43282</v>
      </c>
      <c r="B347" s="3">
        <v>1551.0918518518515</v>
      </c>
      <c r="C347" s="3">
        <v>27596.186185185186</v>
      </c>
      <c r="D347" s="3">
        <v>76840.030370370368</v>
      </c>
      <c r="E347" s="3">
        <v>5346.6362962962967</v>
      </c>
      <c r="F347" s="3">
        <v>482.37924440909097</v>
      </c>
      <c r="G347" s="3">
        <v>48768.423703703702</v>
      </c>
      <c r="H347" s="3">
        <v>2310.025925925926</v>
      </c>
      <c r="I347" s="3">
        <v>2821.9254222222221</v>
      </c>
      <c r="J347" s="3">
        <v>28502.553703703703</v>
      </c>
      <c r="K347" s="3">
        <v>22340.304444444439</v>
      </c>
      <c r="L347" s="3">
        <v>2788.1437037037044</v>
      </c>
      <c r="M347" s="3">
        <v>7652.5907407407412</v>
      </c>
      <c r="N347" s="3">
        <v>12581.67181818182</v>
      </c>
      <c r="O347" s="3">
        <v>9772.8000000000011</v>
      </c>
      <c r="P347" s="3">
        <v>5409.0622222222219</v>
      </c>
      <c r="Q347" s="3">
        <v>21846.735555555555</v>
      </c>
      <c r="R347" s="3">
        <v>385.202962962963</v>
      </c>
    </row>
    <row r="348" spans="1:18">
      <c r="A348" s="2">
        <v>43313</v>
      </c>
      <c r="B348" s="3">
        <v>1533.1582142857139</v>
      </c>
      <c r="C348" s="3">
        <v>26884.565464285715</v>
      </c>
      <c r="D348" s="3">
        <v>77711.075357142836</v>
      </c>
      <c r="E348" s="3">
        <v>5291.2264285714273</v>
      </c>
      <c r="F348" s="3">
        <v>475.30486926086951</v>
      </c>
      <c r="G348" s="3">
        <v>49278.510357142848</v>
      </c>
      <c r="H348" s="3">
        <v>2292.6096428571432</v>
      </c>
      <c r="I348" s="3">
        <v>2745.4014749999997</v>
      </c>
      <c r="J348" s="3">
        <v>27889.014999999996</v>
      </c>
      <c r="K348" s="3">
        <v>22487.943928571425</v>
      </c>
      <c r="L348" s="3">
        <v>2857.2503571428579</v>
      </c>
      <c r="M348" s="3">
        <v>7605.018571428569</v>
      </c>
      <c r="N348" s="3">
        <v>12458.920869565218</v>
      </c>
      <c r="O348" s="3">
        <v>9589.3142857142848</v>
      </c>
      <c r="P348" s="3">
        <v>5435.1842857142847</v>
      </c>
      <c r="Q348" s="3">
        <v>20974.570000000003</v>
      </c>
      <c r="R348" s="3">
        <v>385.32785714285717</v>
      </c>
    </row>
    <row r="349" spans="1:18">
      <c r="A349" s="2">
        <v>43344</v>
      </c>
      <c r="B349" s="3">
        <v>1498.2584000000002</v>
      </c>
      <c r="C349" s="3">
        <v>31363.724159999998</v>
      </c>
      <c r="D349" s="3">
        <v>77116.65399999998</v>
      </c>
      <c r="E349" s="3">
        <v>5303.0059999999994</v>
      </c>
      <c r="F349" s="3">
        <v>464.42920130000005</v>
      </c>
      <c r="G349" s="3">
        <v>49329.659199999987</v>
      </c>
      <c r="H349" s="3">
        <v>2382.6196000000004</v>
      </c>
      <c r="I349" s="3">
        <v>2730.5627480000003</v>
      </c>
      <c r="J349" s="3">
        <v>27345.057199999996</v>
      </c>
      <c r="K349" s="3">
        <v>23203.547600000002</v>
      </c>
      <c r="L349" s="3">
        <v>2902.0743999999995</v>
      </c>
      <c r="M349" s="3">
        <v>7389.3160000000007</v>
      </c>
      <c r="N349" s="3">
        <v>12185.245000000001</v>
      </c>
      <c r="O349" s="3">
        <v>9394.616</v>
      </c>
      <c r="P349" s="3">
        <v>5385.2952000000005</v>
      </c>
      <c r="Q349" s="3">
        <v>20971.814399999999</v>
      </c>
      <c r="R349" s="3">
        <v>379.73800000000006</v>
      </c>
    </row>
    <row r="350" spans="1:18">
      <c r="A350" s="2">
        <v>43374</v>
      </c>
      <c r="B350" s="3">
        <v>1457.2107407407404</v>
      </c>
      <c r="C350" s="3">
        <v>29583.103222222227</v>
      </c>
      <c r="D350" s="3">
        <v>84090.235925925925</v>
      </c>
      <c r="E350" s="3">
        <v>5180.5925925925922</v>
      </c>
      <c r="F350" s="3">
        <v>459.54669147826081</v>
      </c>
      <c r="G350" s="3">
        <v>47204.594814814816</v>
      </c>
      <c r="H350" s="3">
        <v>2385.0114814814815</v>
      </c>
      <c r="I350" s="3">
        <v>2648.8725444444444</v>
      </c>
      <c r="J350" s="3">
        <v>25767.276296296299</v>
      </c>
      <c r="K350" s="3">
        <v>22710.221111111114</v>
      </c>
      <c r="L350" s="3">
        <v>2783.1429629629629</v>
      </c>
      <c r="M350" s="3">
        <v>7127.9859259259283</v>
      </c>
      <c r="N350" s="3">
        <v>11686.409565217391</v>
      </c>
      <c r="O350" s="3">
        <v>8999.133333333335</v>
      </c>
      <c r="P350" s="3">
        <v>5163.7281481481486</v>
      </c>
      <c r="Q350" s="3">
        <v>19479.543703703701</v>
      </c>
      <c r="R350" s="3">
        <v>364.56666666666672</v>
      </c>
    </row>
    <row r="351" spans="1:18">
      <c r="A351" s="2">
        <v>43405</v>
      </c>
      <c r="B351" s="3">
        <v>1400.6157692307693</v>
      </c>
      <c r="C351" s="3">
        <v>30673.567923076924</v>
      </c>
      <c r="D351" s="3">
        <v>87402.578461538462</v>
      </c>
      <c r="E351" s="3">
        <v>5154.1503846153846</v>
      </c>
      <c r="F351" s="3">
        <v>460.17948945454549</v>
      </c>
      <c r="G351" s="3">
        <v>42935.86307692308</v>
      </c>
      <c r="H351" s="3">
        <v>2377.6434615384615</v>
      </c>
      <c r="I351" s="3">
        <v>2631.3789730769231</v>
      </c>
      <c r="J351" s="3">
        <v>26076.201538461548</v>
      </c>
      <c r="K351" s="3">
        <v>21953.563846153847</v>
      </c>
      <c r="L351" s="3">
        <v>2719.6403846153844</v>
      </c>
      <c r="M351" s="3">
        <v>7040.9269230769214</v>
      </c>
      <c r="N351" s="3">
        <v>11359.625000000002</v>
      </c>
      <c r="O351" s="3">
        <v>9042.265384615388</v>
      </c>
      <c r="P351" s="3">
        <v>5036.6438461538446</v>
      </c>
      <c r="Q351" s="3">
        <v>19074.222692307689</v>
      </c>
      <c r="R351" s="3">
        <v>359.8196153846153</v>
      </c>
    </row>
    <row r="352" spans="1:18">
      <c r="A352" s="2">
        <v>43435</v>
      </c>
      <c r="B352" s="3">
        <v>1347.3446428571428</v>
      </c>
      <c r="C352" s="3">
        <v>30306.028500000011</v>
      </c>
      <c r="D352" s="3">
        <v>87096.334999999963</v>
      </c>
      <c r="E352" s="3">
        <v>5098.9478571428554</v>
      </c>
      <c r="F352" s="3">
        <v>453.91505990909087</v>
      </c>
      <c r="G352" s="3">
        <v>41467.695</v>
      </c>
      <c r="H352" s="3">
        <v>2373.1253571428565</v>
      </c>
      <c r="I352" s="3">
        <v>2563.4305464285717</v>
      </c>
      <c r="J352" s="3">
        <v>25997.151071428561</v>
      </c>
      <c r="K352" s="3">
        <v>20912.978214285715</v>
      </c>
      <c r="L352" s="3">
        <v>2558.1400000000003</v>
      </c>
      <c r="M352" s="3">
        <v>6782.6046428571426</v>
      </c>
      <c r="N352" s="3">
        <v>10782.12</v>
      </c>
      <c r="O352" s="3">
        <v>8716.0571428571438</v>
      </c>
      <c r="P352" s="3">
        <v>4779.8460714285711</v>
      </c>
      <c r="Q352" s="3">
        <v>18679.985000000008</v>
      </c>
      <c r="R352" s="3">
        <v>342.71642857142848</v>
      </c>
    </row>
    <row r="353" spans="1:18">
      <c r="A353" s="2">
        <v>43466</v>
      </c>
      <c r="B353" s="3">
        <v>1391.8714814814816</v>
      </c>
      <c r="C353" s="3">
        <v>33925.203555555556</v>
      </c>
      <c r="D353" s="3">
        <v>94416.878148148171</v>
      </c>
      <c r="E353" s="3">
        <v>5340.0240740740737</v>
      </c>
      <c r="F353" s="3">
        <v>443.72016830434785</v>
      </c>
      <c r="G353" s="3">
        <v>43413.859259259269</v>
      </c>
      <c r="H353" s="3">
        <v>2447.6129629629636</v>
      </c>
      <c r="I353" s="3">
        <v>2557.2540740740742</v>
      </c>
      <c r="J353" s="3">
        <v>26683.458888888879</v>
      </c>
      <c r="K353" s="3">
        <v>20389.445555555558</v>
      </c>
      <c r="L353" s="3">
        <v>2607.2748148148153</v>
      </c>
      <c r="M353" s="3">
        <v>6859.8614814814819</v>
      </c>
      <c r="N353" s="3">
        <v>10951.064347826088</v>
      </c>
      <c r="O353" s="3">
        <v>8919.4592592592617</v>
      </c>
      <c r="P353" s="3">
        <v>4820.3551851851853</v>
      </c>
      <c r="Q353" s="3">
        <v>19286.124444444449</v>
      </c>
      <c r="R353" s="3">
        <v>350.27296296296294</v>
      </c>
    </row>
    <row r="354" spans="1:18">
      <c r="A354" s="2">
        <v>43497</v>
      </c>
      <c r="B354" s="3">
        <v>1483.9970833333334</v>
      </c>
      <c r="C354" s="3">
        <v>36640.27375</v>
      </c>
      <c r="D354" s="3">
        <v>96791.322083333333</v>
      </c>
      <c r="E354" s="3">
        <v>5415.3779166666654</v>
      </c>
      <c r="F354" s="3">
        <v>440.38799195000001</v>
      </c>
      <c r="G354" s="3">
        <v>43348.552083333336</v>
      </c>
      <c r="H354" s="3">
        <v>2498.7804166666665</v>
      </c>
      <c r="I354" s="3">
        <v>2729.4266250000005</v>
      </c>
      <c r="J354" s="3">
        <v>28301.464166666676</v>
      </c>
      <c r="K354" s="3">
        <v>21047.084999999995</v>
      </c>
      <c r="L354" s="3">
        <v>2754.1958333333332</v>
      </c>
      <c r="M354" s="3">
        <v>7143.8779166666673</v>
      </c>
      <c r="N354" s="3">
        <v>11280.836500000001</v>
      </c>
      <c r="O354" s="3">
        <v>9081.4125000000004</v>
      </c>
      <c r="P354" s="3">
        <v>5113.0500000000011</v>
      </c>
      <c r="Q354" s="3">
        <v>20002.682083333337</v>
      </c>
      <c r="R354" s="3">
        <v>366.28749999999997</v>
      </c>
    </row>
    <row r="355" spans="1:18">
      <c r="A355" s="2">
        <v>43525</v>
      </c>
      <c r="B355" s="3">
        <v>1564.3149999999998</v>
      </c>
      <c r="C355" s="3">
        <v>33517.38692307692</v>
      </c>
      <c r="D355" s="3">
        <v>96048.14346153845</v>
      </c>
      <c r="E355" s="3">
        <v>5260.8499999999995</v>
      </c>
      <c r="F355" s="3">
        <v>439.57095238095246</v>
      </c>
      <c r="G355" s="3">
        <v>42377.692307692305</v>
      </c>
      <c r="H355" s="3">
        <v>2484.4142307692305</v>
      </c>
      <c r="I355" s="3">
        <v>3045.9077461538463</v>
      </c>
      <c r="J355" s="3">
        <v>28889.151153846153</v>
      </c>
      <c r="K355" s="3">
        <v>21416.11</v>
      </c>
      <c r="L355" s="3">
        <v>2803.3849999999998</v>
      </c>
      <c r="M355" s="3">
        <v>7200.8407692307683</v>
      </c>
      <c r="N355" s="3">
        <v>11542.591904761906</v>
      </c>
      <c r="O355" s="3">
        <v>9253.4115384615361</v>
      </c>
      <c r="P355" s="3">
        <v>5313.2150000000001</v>
      </c>
      <c r="Q355" s="3">
        <v>20957.702307692307</v>
      </c>
      <c r="R355" s="3">
        <v>376.79115384615392</v>
      </c>
    </row>
    <row r="356" spans="1:18">
      <c r="A356" s="2">
        <v>43556</v>
      </c>
      <c r="B356" s="3">
        <v>1593.2107692307693</v>
      </c>
      <c r="C356" s="3">
        <v>31463.438846153847</v>
      </c>
      <c r="D356" s="3">
        <v>95313.040384615379</v>
      </c>
      <c r="E356" s="3">
        <v>5237.2057692307699</v>
      </c>
      <c r="F356" s="3">
        <v>438.20227272727277</v>
      </c>
      <c r="G356" s="3">
        <v>44828.637692307697</v>
      </c>
      <c r="H356" s="3">
        <v>2558.0484615384626</v>
      </c>
      <c r="I356" s="3">
        <v>3197.5315307692313</v>
      </c>
      <c r="J356" s="3">
        <v>29885.935769230771</v>
      </c>
      <c r="K356" s="3">
        <v>21998.151153846153</v>
      </c>
      <c r="L356" s="3">
        <v>2904.9957692307694</v>
      </c>
      <c r="M356" s="3">
        <v>7437.5284615384626</v>
      </c>
      <c r="N356" s="3">
        <v>12082.015454545455</v>
      </c>
      <c r="O356" s="3">
        <v>9493.788461538461</v>
      </c>
      <c r="P356" s="3">
        <v>5519.8788461538461</v>
      </c>
      <c r="Q356" s="3">
        <v>21794.784230769237</v>
      </c>
      <c r="R356" s="3">
        <v>388.8346153846154</v>
      </c>
    </row>
    <row r="357" spans="1:18">
      <c r="A357" s="2">
        <v>43586</v>
      </c>
      <c r="B357" s="3">
        <v>1514.7932142857146</v>
      </c>
      <c r="C357" s="3">
        <v>33426.852857142861</v>
      </c>
      <c r="D357" s="3">
        <v>94212.224642857109</v>
      </c>
      <c r="E357" s="3">
        <v>4992.9410714285714</v>
      </c>
      <c r="F357" s="3">
        <v>438.55478260869569</v>
      </c>
      <c r="G357" s="3">
        <v>43371.617857142854</v>
      </c>
      <c r="H357" s="3">
        <v>2585.5467857142858</v>
      </c>
      <c r="I357" s="3">
        <v>2930.0805642857144</v>
      </c>
      <c r="J357" s="3">
        <v>28322.887500000004</v>
      </c>
      <c r="K357" s="3">
        <v>21443.351071428566</v>
      </c>
      <c r="L357" s="3">
        <v>2860.2807142857141</v>
      </c>
      <c r="M357" s="3">
        <v>7286.7825000000012</v>
      </c>
      <c r="N357" s="3">
        <v>12091.07</v>
      </c>
      <c r="O357" s="3">
        <v>9226.4928571428591</v>
      </c>
      <c r="P357" s="3">
        <v>5382.2999999999984</v>
      </c>
      <c r="Q357" s="3">
        <v>20859.548571428571</v>
      </c>
      <c r="R357" s="3">
        <v>379.6749999999999</v>
      </c>
    </row>
    <row r="358" spans="1:18">
      <c r="A358" s="2">
        <v>43617</v>
      </c>
      <c r="B358" s="3">
        <v>1526.4764000000002</v>
      </c>
      <c r="C358" s="3">
        <v>38745.257999999987</v>
      </c>
      <c r="D358" s="3">
        <v>99081.624400000015</v>
      </c>
      <c r="E358" s="3">
        <v>5035.8427999999994</v>
      </c>
      <c r="F358" s="3">
        <v>438.85649999999998</v>
      </c>
      <c r="G358" s="3">
        <v>43371.385200000004</v>
      </c>
      <c r="H358" s="3">
        <v>2745.3904000000011</v>
      </c>
      <c r="I358" s="3">
        <v>2918.6200320000003</v>
      </c>
      <c r="J358" s="3">
        <v>27664.365600000001</v>
      </c>
      <c r="K358" s="3">
        <v>21053.659599999999</v>
      </c>
      <c r="L358" s="3">
        <v>2888.3167999999991</v>
      </c>
      <c r="M358" s="3">
        <v>7354.3567999999996</v>
      </c>
      <c r="N358" s="3">
        <v>12158.26</v>
      </c>
      <c r="O358" s="3">
        <v>9188.3320000000003</v>
      </c>
      <c r="P358" s="3">
        <v>5416.5011999999988</v>
      </c>
      <c r="Q358" s="3">
        <v>20741.778399999999</v>
      </c>
      <c r="R358" s="3">
        <v>379.88600000000008</v>
      </c>
    </row>
    <row r="359" spans="1:18">
      <c r="A359" s="2">
        <v>43647</v>
      </c>
      <c r="B359" s="3">
        <v>1586.7937037037034</v>
      </c>
      <c r="C359" s="3">
        <v>41430.623703703706</v>
      </c>
      <c r="D359" s="3">
        <v>103518.01148148147</v>
      </c>
      <c r="E359" s="3">
        <v>5037.7137037037037</v>
      </c>
      <c r="F359" s="3">
        <v>443.5282608695652</v>
      </c>
      <c r="G359" s="3">
        <v>42235.164814814823</v>
      </c>
      <c r="H359" s="3">
        <v>2759.0281481481475</v>
      </c>
      <c r="I359" s="3">
        <v>2948.5476111111111</v>
      </c>
      <c r="J359" s="3">
        <v>28488.474074074074</v>
      </c>
      <c r="K359" s="3">
        <v>21603.859259259261</v>
      </c>
      <c r="L359" s="3">
        <v>2996.9248148148149</v>
      </c>
      <c r="M359" s="3">
        <v>7546.2781481481452</v>
      </c>
      <c r="N359" s="3">
        <v>12406.857391304347</v>
      </c>
      <c r="O359" s="3">
        <v>9256.6666666666679</v>
      </c>
      <c r="P359" s="3">
        <v>5579.1874074074085</v>
      </c>
      <c r="Q359" s="3">
        <v>21876.181481481482</v>
      </c>
      <c r="R359" s="3">
        <v>388.80740740740742</v>
      </c>
    </row>
    <row r="360" spans="1:18">
      <c r="A360" s="2">
        <v>43678</v>
      </c>
      <c r="B360" s="3">
        <v>1532.2868000000003</v>
      </c>
      <c r="C360" s="3">
        <v>32146.3308</v>
      </c>
      <c r="D360" s="3">
        <v>100542.68439999997</v>
      </c>
      <c r="E360" s="3">
        <v>4777.967599999999</v>
      </c>
      <c r="F360" s="3">
        <v>452.27545454545469</v>
      </c>
      <c r="G360" s="3">
        <v>40057.4084</v>
      </c>
      <c r="H360" s="3">
        <v>2670.674399999999</v>
      </c>
      <c r="I360" s="3">
        <v>2848.9791399999999</v>
      </c>
      <c r="J360" s="3">
        <v>26021.945199999995</v>
      </c>
      <c r="K360" s="3">
        <v>20644.996800000001</v>
      </c>
      <c r="L360" s="3">
        <v>2896.5120000000006</v>
      </c>
      <c r="M360" s="3">
        <v>7199.4927999999991</v>
      </c>
      <c r="N360" s="3">
        <v>11719.749545454546</v>
      </c>
      <c r="O360" s="3">
        <v>8730.7119999999977</v>
      </c>
      <c r="P360" s="3">
        <v>5349.1287999999986</v>
      </c>
      <c r="Q360" s="3">
        <v>20698.060400000002</v>
      </c>
      <c r="R360" s="3">
        <v>372.85040000000004</v>
      </c>
    </row>
    <row r="361" spans="1:18">
      <c r="A361" s="2">
        <v>43709</v>
      </c>
      <c r="B361" s="3">
        <v>1582.5649999999998</v>
      </c>
      <c r="C361" s="3">
        <v>28304.066153846165</v>
      </c>
      <c r="D361" s="3">
        <v>103530.94192307688</v>
      </c>
      <c r="E361" s="3">
        <v>4959.6919230769226</v>
      </c>
      <c r="F361" s="3">
        <v>452.68571428571425</v>
      </c>
      <c r="G361" s="3">
        <v>42854.279230769222</v>
      </c>
      <c r="H361" s="3">
        <v>2786.7280769230761</v>
      </c>
      <c r="I361" s="3">
        <v>2979.0229807692303</v>
      </c>
      <c r="J361" s="3">
        <v>26466.089615384619</v>
      </c>
      <c r="K361" s="3">
        <v>21616.973846153855</v>
      </c>
      <c r="L361" s="3">
        <v>2978.3076923076919</v>
      </c>
      <c r="M361" s="3">
        <v>7321.0434615384593</v>
      </c>
      <c r="N361" s="3">
        <v>12285.253333333334</v>
      </c>
      <c r="O361" s="3">
        <v>9053.6538461538476</v>
      </c>
      <c r="P361" s="3">
        <v>5608.786538461537</v>
      </c>
      <c r="Q361" s="3">
        <v>21912.724230769229</v>
      </c>
      <c r="R361" s="3">
        <v>388.44269230769237</v>
      </c>
    </row>
    <row r="362" spans="1:18">
      <c r="A362" s="2">
        <v>43739</v>
      </c>
      <c r="B362" s="3">
        <v>1599.1918518518521</v>
      </c>
      <c r="C362" s="3">
        <v>32121.134444444444</v>
      </c>
      <c r="D362" s="3">
        <v>104655.78851851854</v>
      </c>
      <c r="E362" s="3">
        <v>5025.4207407407403</v>
      </c>
      <c r="F362" s="3">
        <v>457.947391304348</v>
      </c>
      <c r="G362" s="3">
        <v>43232.2662962963</v>
      </c>
      <c r="H362" s="3">
        <v>2771.0166666666669</v>
      </c>
      <c r="I362" s="3">
        <v>2943.8833037037034</v>
      </c>
      <c r="J362" s="3">
        <v>26409.291851851849</v>
      </c>
      <c r="K362" s="3">
        <v>22185.048148148151</v>
      </c>
      <c r="L362" s="3">
        <v>2978.428148148148</v>
      </c>
      <c r="M362" s="3">
        <v>7220.9840740740747</v>
      </c>
      <c r="N362" s="3">
        <v>12511.551739130433</v>
      </c>
      <c r="O362" s="3">
        <v>9233.9148148148142</v>
      </c>
      <c r="P362" s="3">
        <v>5624.2718518518514</v>
      </c>
      <c r="Q362" s="3">
        <v>22142.420000000002</v>
      </c>
      <c r="R362" s="3">
        <v>390.19555555555564</v>
      </c>
    </row>
    <row r="363" spans="1:18">
      <c r="A363" s="2">
        <v>43770</v>
      </c>
      <c r="B363" s="3">
        <v>1624.3408000000002</v>
      </c>
      <c r="C363" s="3">
        <v>33825.181199999992</v>
      </c>
      <c r="D363" s="3">
        <v>107621.23399999998</v>
      </c>
      <c r="E363" s="3">
        <v>4677.4451999999992</v>
      </c>
      <c r="F363" s="3">
        <v>459.09761904761899</v>
      </c>
      <c r="G363" s="3">
        <v>43456.415999999997</v>
      </c>
      <c r="H363" s="3">
        <v>2945.3456000000001</v>
      </c>
      <c r="I363" s="3">
        <v>2923.931372</v>
      </c>
      <c r="J363" s="3">
        <v>26969.335600000002</v>
      </c>
      <c r="K363" s="3">
        <v>23242.854400000004</v>
      </c>
      <c r="L363" s="3">
        <v>3105.6984000000002</v>
      </c>
      <c r="M363" s="3">
        <v>7344.2636000000002</v>
      </c>
      <c r="N363" s="3">
        <v>13200.829523809525</v>
      </c>
      <c r="O363" s="3">
        <v>9315.344000000001</v>
      </c>
      <c r="P363" s="3">
        <v>5889.2772000000004</v>
      </c>
      <c r="Q363" s="3">
        <v>23401.764800000001</v>
      </c>
      <c r="R363" s="3">
        <v>405.28479999999996</v>
      </c>
    </row>
    <row r="364" spans="1:18">
      <c r="A364" s="2">
        <v>43800</v>
      </c>
      <c r="B364" s="3">
        <v>1632.3974074074072</v>
      </c>
      <c r="C364" s="3">
        <v>37604.822962962971</v>
      </c>
      <c r="D364" s="3">
        <v>113058.73592592592</v>
      </c>
      <c r="E364" s="3">
        <v>4718.5385185185187</v>
      </c>
      <c r="F364" s="3">
        <v>455.58363636363629</v>
      </c>
      <c r="G364" s="3">
        <v>43539.52925925926</v>
      </c>
      <c r="H364" s="3">
        <v>2985.5059259259256</v>
      </c>
      <c r="I364" s="3">
        <v>2960.2609629629624</v>
      </c>
      <c r="J364" s="3">
        <v>27320.13</v>
      </c>
      <c r="K364" s="3">
        <v>23661.121111111108</v>
      </c>
      <c r="L364" s="3">
        <v>3179.7055555555562</v>
      </c>
      <c r="M364" s="3">
        <v>7426.0970370370369</v>
      </c>
      <c r="N364" s="3">
        <v>13210.495909090911</v>
      </c>
      <c r="O364" s="3">
        <v>9506.7407407407409</v>
      </c>
      <c r="P364" s="3">
        <v>5930.391851851854</v>
      </c>
      <c r="Q364" s="3">
        <v>23444.47</v>
      </c>
      <c r="R364" s="3">
        <v>411.9370370370371</v>
      </c>
    </row>
    <row r="365" spans="1:18">
      <c r="A365" s="2">
        <v>43831</v>
      </c>
      <c r="B365" s="3">
        <v>1651.7500000000005</v>
      </c>
      <c r="C365" s="3">
        <v>41319.553703703692</v>
      </c>
      <c r="D365" s="3">
        <v>116948.11444444442</v>
      </c>
      <c r="E365" s="3">
        <v>4782.0551851851851</v>
      </c>
      <c r="F365" s="3">
        <v>456.24739130434784</v>
      </c>
      <c r="G365" s="3">
        <v>44856.205555555556</v>
      </c>
      <c r="H365" s="3">
        <v>3125.6448148148152</v>
      </c>
      <c r="I365" s="3">
        <v>3051.6988000000001</v>
      </c>
      <c r="J365" s="3">
        <v>28239.694074074079</v>
      </c>
      <c r="K365" s="3">
        <v>23681.910000000003</v>
      </c>
      <c r="L365" s="3">
        <v>3278.8129629629634</v>
      </c>
      <c r="M365" s="3">
        <v>7566.2640740740762</v>
      </c>
      <c r="N365" s="3">
        <v>13365.240434782605</v>
      </c>
      <c r="O365" s="3">
        <v>9566.0370370370365</v>
      </c>
      <c r="P365" s="3">
        <v>6007.7540740740733</v>
      </c>
      <c r="Q365" s="3">
        <v>23836.321481481478</v>
      </c>
      <c r="R365" s="3">
        <v>419.4329629629629</v>
      </c>
    </row>
    <row r="366" spans="1:18">
      <c r="A366" s="2">
        <v>43862</v>
      </c>
      <c r="B366" s="3">
        <v>1637.8776000000005</v>
      </c>
      <c r="C366" s="3">
        <v>39184.086400000007</v>
      </c>
      <c r="D366" s="3">
        <v>113379.7608</v>
      </c>
      <c r="E366" s="3">
        <v>4553.5864000000001</v>
      </c>
      <c r="F366" s="3">
        <v>458.17500000000007</v>
      </c>
      <c r="G366" s="3">
        <v>44276.496400000018</v>
      </c>
      <c r="H366" s="3">
        <v>3070.2755999999995</v>
      </c>
      <c r="I366" s="3">
        <v>2933.4382959999994</v>
      </c>
      <c r="J366" s="3">
        <v>27177.952799999999</v>
      </c>
      <c r="K366" s="3">
        <v>23265.279200000001</v>
      </c>
      <c r="L366" s="3">
        <v>3285.8316000000004</v>
      </c>
      <c r="M366" s="3">
        <v>7324.83</v>
      </c>
      <c r="N366" s="3">
        <v>13330.550499999998</v>
      </c>
      <c r="O366" s="3">
        <v>9675.6840000000011</v>
      </c>
      <c r="P366" s="3">
        <v>5928.3067999999994</v>
      </c>
      <c r="Q366" s="3">
        <v>24212.7356</v>
      </c>
      <c r="R366" s="3">
        <v>419.78240000000005</v>
      </c>
    </row>
    <row r="367" spans="1:18">
      <c r="A367" s="2">
        <v>43891</v>
      </c>
      <c r="B367" s="3">
        <v>1202.017037037037</v>
      </c>
      <c r="C367" s="3">
        <v>28596.268518518515</v>
      </c>
      <c r="D367" s="3">
        <v>82178.073333333334</v>
      </c>
      <c r="E367" s="3">
        <v>3599.6896296296295</v>
      </c>
      <c r="F367" s="3">
        <v>444.0227272727272</v>
      </c>
      <c r="G367" s="3">
        <v>37539.34407407407</v>
      </c>
      <c r="H367" s="3">
        <v>2480.9629629629635</v>
      </c>
      <c r="I367" s="3">
        <v>2854.2758037037033</v>
      </c>
      <c r="J367" s="3">
        <v>24183.476666666662</v>
      </c>
      <c r="K367" s="3">
        <v>18898.997407407405</v>
      </c>
      <c r="L367" s="3">
        <v>2660.617037037036</v>
      </c>
      <c r="M367" s="3">
        <v>5756.7392592592578</v>
      </c>
      <c r="N367" s="3">
        <v>10034.256818181819</v>
      </c>
      <c r="O367" s="3">
        <v>7220.8999999999987</v>
      </c>
      <c r="P367" s="3">
        <v>4502.5270370370372</v>
      </c>
      <c r="Q367" s="3">
        <v>17726.007037037034</v>
      </c>
      <c r="R367" s="3">
        <v>323.70888888888885</v>
      </c>
    </row>
    <row r="368" spans="1:18">
      <c r="A368" s="2">
        <v>43922</v>
      </c>
      <c r="B368" s="3">
        <v>1157.3080769230769</v>
      </c>
      <c r="C368" s="3">
        <v>29261.782307692301</v>
      </c>
      <c r="D368" s="3">
        <v>77306.521923076929</v>
      </c>
      <c r="E368" s="3">
        <v>3768.6076923076926</v>
      </c>
      <c r="F368" s="3">
        <v>414.31999999999994</v>
      </c>
      <c r="G368" s="3">
        <v>34508.464999999997</v>
      </c>
      <c r="H368" s="3">
        <v>2588.5111538461542</v>
      </c>
      <c r="I368" s="3">
        <v>2810.3075538461544</v>
      </c>
      <c r="J368" s="3">
        <v>24044.598076923077</v>
      </c>
      <c r="K368" s="3">
        <v>19216.330769230772</v>
      </c>
      <c r="L368" s="3">
        <v>2760.8103846153845</v>
      </c>
      <c r="M368" s="3">
        <v>5733.4469230769237</v>
      </c>
      <c r="N368" s="3">
        <v>10391.800909090909</v>
      </c>
      <c r="O368" s="3">
        <v>6829.4999999999991</v>
      </c>
      <c r="P368" s="3">
        <v>4425.8180769230776</v>
      </c>
      <c r="Q368" s="3">
        <v>17132.573461538464</v>
      </c>
      <c r="R368" s="3">
        <v>328.34730769230777</v>
      </c>
    </row>
    <row r="369" spans="1:18">
      <c r="A369" s="2">
        <v>43952</v>
      </c>
      <c r="B369" s="3">
        <v>1085.458076923077</v>
      </c>
      <c r="C369" s="3">
        <v>37970.971923076919</v>
      </c>
      <c r="D369" s="3">
        <v>81437.040000000008</v>
      </c>
      <c r="E369" s="3">
        <v>3770.2838461538477</v>
      </c>
      <c r="F369" s="3">
        <v>385.38428571428568</v>
      </c>
      <c r="G369" s="3">
        <v>36451.278461538466</v>
      </c>
      <c r="H369" s="3">
        <v>2677.3842307692303</v>
      </c>
      <c r="I369" s="3">
        <v>2864.5299653846164</v>
      </c>
      <c r="J369" s="3">
        <v>23821.458846153844</v>
      </c>
      <c r="K369" s="3">
        <v>20413.027307692308</v>
      </c>
      <c r="L369" s="3">
        <v>2921.9892307692303</v>
      </c>
      <c r="M369" s="3">
        <v>5948.7584615384612</v>
      </c>
      <c r="N369" s="3">
        <v>10987.450476190475</v>
      </c>
      <c r="O369" s="3">
        <v>6784.6730769230771</v>
      </c>
      <c r="P369" s="3">
        <v>4498.5034615384611</v>
      </c>
      <c r="Q369" s="3">
        <v>17433.274230769232</v>
      </c>
      <c r="R369" s="3">
        <v>339.81192307692311</v>
      </c>
    </row>
    <row r="370" spans="1:18">
      <c r="A370" s="2">
        <v>43983</v>
      </c>
      <c r="B370" s="3">
        <v>1149.4076923076923</v>
      </c>
      <c r="C370" s="3">
        <v>42376.313461538455</v>
      </c>
      <c r="D370" s="3">
        <v>94460.777307692319</v>
      </c>
      <c r="E370" s="3">
        <v>3975.7769230769218</v>
      </c>
      <c r="F370" s="3">
        <v>378.66499999999996</v>
      </c>
      <c r="G370" s="3">
        <v>38002.948076923079</v>
      </c>
      <c r="H370" s="3">
        <v>2766.541923076923</v>
      </c>
      <c r="I370" s="3">
        <v>2945.0609153846153</v>
      </c>
      <c r="J370" s="3">
        <v>24503.588076923079</v>
      </c>
      <c r="K370" s="3">
        <v>22495.101538461542</v>
      </c>
      <c r="L370" s="3">
        <v>3101.7142307692307</v>
      </c>
      <c r="M370" s="3">
        <v>6247.0461538461532</v>
      </c>
      <c r="N370" s="3">
        <v>12280.611818181818</v>
      </c>
      <c r="O370" s="3">
        <v>7435.0653846153837</v>
      </c>
      <c r="P370" s="3">
        <v>4961.8734615384619</v>
      </c>
      <c r="Q370" s="3">
        <v>19436.236923076922</v>
      </c>
      <c r="R370" s="3">
        <v>362.82423076923078</v>
      </c>
    </row>
    <row r="371" spans="1:18">
      <c r="A371" s="2">
        <v>44013</v>
      </c>
      <c r="B371" s="3">
        <v>1151.091851851852</v>
      </c>
      <c r="C371" s="3">
        <v>45070.05740740741</v>
      </c>
      <c r="D371" s="3">
        <v>101152.29407407409</v>
      </c>
      <c r="E371" s="3">
        <v>4061.1022222222232</v>
      </c>
      <c r="F371" s="3">
        <v>369.59000000000009</v>
      </c>
      <c r="G371" s="3">
        <v>37141.851481481484</v>
      </c>
      <c r="H371" s="3">
        <v>2818.4537037037044</v>
      </c>
      <c r="I371" s="3">
        <v>3281.1132740740745</v>
      </c>
      <c r="J371" s="3">
        <v>25269.539629629628</v>
      </c>
      <c r="K371" s="3">
        <v>22543.240740740734</v>
      </c>
      <c r="L371" s="3">
        <v>3201.9644444444448</v>
      </c>
      <c r="M371" s="3">
        <v>6167.2600000000011</v>
      </c>
      <c r="N371" s="3">
        <v>12740.956086956523</v>
      </c>
      <c r="O371" s="3">
        <v>7340.6740740740743</v>
      </c>
      <c r="P371" s="3">
        <v>5000.0318518518516</v>
      </c>
      <c r="Q371" s="3">
        <v>19988.435925925936</v>
      </c>
      <c r="R371" s="3">
        <v>368.3192592592593</v>
      </c>
    </row>
    <row r="372" spans="1:18">
      <c r="A372" s="2">
        <v>44044</v>
      </c>
      <c r="B372" s="3">
        <v>1170.1346153846157</v>
      </c>
      <c r="C372" s="3">
        <v>48755.707307692319</v>
      </c>
      <c r="D372" s="3">
        <v>101795.66307692308</v>
      </c>
      <c r="E372" s="3">
        <v>3960.9246153846157</v>
      </c>
      <c r="F372" s="3">
        <v>368.40428571428566</v>
      </c>
      <c r="G372" s="3">
        <v>38173.526923076919</v>
      </c>
      <c r="H372" s="3">
        <v>3004.8615384615377</v>
      </c>
      <c r="I372" s="3">
        <v>3371.8127500000001</v>
      </c>
      <c r="J372" s="3">
        <v>25074.996153846165</v>
      </c>
      <c r="K372" s="3">
        <v>22826.581153846153</v>
      </c>
      <c r="L372" s="3">
        <v>3389.4742307692295</v>
      </c>
      <c r="M372" s="3">
        <v>6054.791538461538</v>
      </c>
      <c r="N372" s="3">
        <v>12882.407619047619</v>
      </c>
      <c r="O372" s="3">
        <v>7069.1230769230788</v>
      </c>
      <c r="P372" s="3">
        <v>4951.9419230769236</v>
      </c>
      <c r="Q372" s="3">
        <v>19823.014999999999</v>
      </c>
      <c r="R372" s="3">
        <v>367.21</v>
      </c>
    </row>
    <row r="373" spans="1:18">
      <c r="A373" s="2">
        <v>44075</v>
      </c>
      <c r="B373" s="3">
        <v>1207.6215384615384</v>
      </c>
      <c r="C373" s="3">
        <v>43498.188076923085</v>
      </c>
      <c r="D373" s="3">
        <v>98701.315769230772</v>
      </c>
      <c r="E373" s="3">
        <v>3702.8257692307689</v>
      </c>
      <c r="F373" s="3">
        <v>369.25500000000005</v>
      </c>
      <c r="G373" s="3">
        <v>36480.870769230765</v>
      </c>
      <c r="H373" s="3">
        <v>2922.9142307692305</v>
      </c>
      <c r="I373" s="3">
        <v>3289.5465730769229</v>
      </c>
      <c r="J373" s="3">
        <v>24248.440384615391</v>
      </c>
      <c r="K373" s="3">
        <v>23309.09076923077</v>
      </c>
      <c r="L373" s="3">
        <v>3364.9488461538467</v>
      </c>
      <c r="M373" s="3">
        <v>5931.0388461538469</v>
      </c>
      <c r="N373" s="3">
        <v>12960.896363636362</v>
      </c>
      <c r="O373" s="3">
        <v>6886.2269230769225</v>
      </c>
      <c r="P373" s="3">
        <v>4935.7646153846144</v>
      </c>
      <c r="Q373" s="3">
        <v>19415.450769230767</v>
      </c>
      <c r="R373" s="3">
        <v>364.59038461538461</v>
      </c>
    </row>
    <row r="374" spans="1:18">
      <c r="A374" s="2">
        <v>44105</v>
      </c>
      <c r="B374" s="3">
        <v>1169.5707692307692</v>
      </c>
      <c r="C374" s="3">
        <v>46999.126538461533</v>
      </c>
      <c r="D374" s="3">
        <v>97897.405384615384</v>
      </c>
      <c r="E374" s="3">
        <v>3671.8311538461535</v>
      </c>
      <c r="F374" s="3">
        <v>369.35500000000008</v>
      </c>
      <c r="G374" s="3">
        <v>37799.117307692301</v>
      </c>
      <c r="H374" s="3">
        <v>2812.9392307692301</v>
      </c>
      <c r="I374" s="3">
        <v>3278.4858461538465</v>
      </c>
      <c r="J374" s="3">
        <v>24357.589230769234</v>
      </c>
      <c r="K374" s="3">
        <v>23442.636538461542</v>
      </c>
      <c r="L374" s="3">
        <v>3422.5461538461536</v>
      </c>
      <c r="M374" s="3">
        <v>5862.7453846153821</v>
      </c>
      <c r="N374" s="3">
        <v>12603.100909090908</v>
      </c>
      <c r="O374" s="3">
        <v>6809.4807692307677</v>
      </c>
      <c r="P374" s="3">
        <v>4853.2580769230763</v>
      </c>
      <c r="Q374" s="3">
        <v>19143.347307692307</v>
      </c>
      <c r="R374" s="3">
        <v>362.26153846153852</v>
      </c>
    </row>
    <row r="375" spans="1:18">
      <c r="A375" s="2">
        <v>44136</v>
      </c>
      <c r="B375" s="3">
        <v>1214.2637037037041</v>
      </c>
      <c r="C375" s="3">
        <v>50862.220370370364</v>
      </c>
      <c r="D375" s="3">
        <v>104464.49999999999</v>
      </c>
      <c r="E375" s="3">
        <v>3944.3229629629632</v>
      </c>
      <c r="F375" s="3">
        <v>363.72666666666669</v>
      </c>
      <c r="G375" s="3">
        <v>40497.090000000004</v>
      </c>
      <c r="H375" s="3">
        <v>2997.2840740740735</v>
      </c>
      <c r="I375" s="3">
        <v>3340.6720888888881</v>
      </c>
      <c r="J375" s="3">
        <v>26073.899999999998</v>
      </c>
      <c r="K375" s="3">
        <v>25236.35259259259</v>
      </c>
      <c r="L375" s="3">
        <v>3546.4848148148149</v>
      </c>
      <c r="M375" s="3">
        <v>6204.1603703703686</v>
      </c>
      <c r="N375" s="3">
        <v>12960.691428571427</v>
      </c>
      <c r="O375" s="3">
        <v>7626.5888888888912</v>
      </c>
      <c r="P375" s="3">
        <v>5313.2988888888876</v>
      </c>
      <c r="Q375" s="3">
        <v>20901.79111111111</v>
      </c>
      <c r="R375" s="3">
        <v>380.77111111111105</v>
      </c>
    </row>
    <row r="376" spans="1:18">
      <c r="A376" s="2">
        <v>44166</v>
      </c>
      <c r="B376" s="3">
        <v>1389.76</v>
      </c>
      <c r="C376" s="3">
        <v>52821.382962962969</v>
      </c>
      <c r="D376" s="3">
        <v>116005.83629629633</v>
      </c>
      <c r="E376" s="3">
        <v>4148.6907407407407</v>
      </c>
      <c r="F376" s="3">
        <v>363.02304347826089</v>
      </c>
      <c r="G376" s="3">
        <v>43611.41777777778</v>
      </c>
      <c r="H376" s="3">
        <v>3236.5396296296299</v>
      </c>
      <c r="I376" s="3">
        <v>3399.139792592593</v>
      </c>
      <c r="J376" s="3">
        <v>26524.441851851854</v>
      </c>
      <c r="K376" s="3">
        <v>26787.886296296303</v>
      </c>
      <c r="L376" s="3">
        <v>3695.3677777777771</v>
      </c>
      <c r="M376" s="3">
        <v>6519.5833333333312</v>
      </c>
      <c r="N376" s="3">
        <v>13452.706086956527</v>
      </c>
      <c r="O376" s="3">
        <v>8133.5777777777776</v>
      </c>
      <c r="P376" s="3">
        <v>5545.1374074074074</v>
      </c>
      <c r="Q376" s="3">
        <v>22011.925185185184</v>
      </c>
      <c r="R376" s="3">
        <v>394.4018518518518</v>
      </c>
    </row>
    <row r="377" spans="1:18">
      <c r="A377" s="2">
        <v>44197</v>
      </c>
      <c r="B377" s="3">
        <v>1429.4596296296297</v>
      </c>
      <c r="C377" s="3">
        <v>50283.287407407392</v>
      </c>
      <c r="D377" s="3">
        <v>119813.97703703707</v>
      </c>
      <c r="E377" s="3">
        <v>4484.4444444444453</v>
      </c>
      <c r="F377" s="3">
        <v>360.49699999999996</v>
      </c>
      <c r="G377" s="3">
        <v>45213.518888888895</v>
      </c>
      <c r="H377" s="3">
        <v>3400.2214814814806</v>
      </c>
      <c r="I377" s="3">
        <v>3558.0511444444442</v>
      </c>
      <c r="J377" s="3">
        <v>28536.228518518517</v>
      </c>
      <c r="K377" s="3">
        <v>28151.548518518524</v>
      </c>
      <c r="L377" s="3">
        <v>3788.0925925925935</v>
      </c>
      <c r="M377" s="3">
        <v>6679.2059259259267</v>
      </c>
      <c r="N377" s="3">
        <v>13823.259</v>
      </c>
      <c r="O377" s="3">
        <v>8149.3888888888878</v>
      </c>
      <c r="P377" s="3">
        <v>5584.5022222222215</v>
      </c>
      <c r="Q377" s="3">
        <v>22318.086296296296</v>
      </c>
      <c r="R377" s="3">
        <v>406.14370370370381</v>
      </c>
    </row>
    <row r="378" spans="1:18">
      <c r="A378" s="2">
        <v>44228</v>
      </c>
      <c r="B378" s="3">
        <v>1362.6316000000004</v>
      </c>
      <c r="C378" s="3">
        <v>50614.966799999987</v>
      </c>
      <c r="D378" s="3">
        <v>117622.85799999996</v>
      </c>
      <c r="E378" s="3">
        <v>4535.7180000000008</v>
      </c>
      <c r="F378" s="3">
        <v>357.52666666666676</v>
      </c>
      <c r="G378" s="3">
        <v>44465.645999999986</v>
      </c>
      <c r="H378" s="3">
        <v>3408.5615999999995</v>
      </c>
      <c r="I378" s="3">
        <v>3599.2921200000019</v>
      </c>
      <c r="J378" s="3">
        <v>29909.395999999997</v>
      </c>
      <c r="K378" s="3">
        <v>29491.138800000004</v>
      </c>
      <c r="L378" s="3">
        <v>3886.6507999999994</v>
      </c>
      <c r="M378" s="3">
        <v>6579.282799999999</v>
      </c>
      <c r="N378" s="3">
        <v>13953.167142857143</v>
      </c>
      <c r="O378" s="3">
        <v>8129.6560000000009</v>
      </c>
      <c r="P378" s="3">
        <v>5702.5448000000006</v>
      </c>
      <c r="Q378" s="3">
        <v>23038.762399999996</v>
      </c>
      <c r="R378" s="3">
        <v>411.36039999999991</v>
      </c>
    </row>
    <row r="379" spans="1:18">
      <c r="A379" s="2">
        <v>44256</v>
      </c>
      <c r="B379" s="3">
        <v>1336.0162962962963</v>
      </c>
      <c r="C379" s="3">
        <v>48125.645555555551</v>
      </c>
      <c r="D379" s="3">
        <v>114051.55962962963</v>
      </c>
      <c r="E379" s="3">
        <v>4829.3862962962949</v>
      </c>
      <c r="F379" s="3">
        <v>361.93260869565211</v>
      </c>
      <c r="G379" s="3">
        <v>47074.617037037046</v>
      </c>
      <c r="H379" s="3">
        <v>3480.592222222223</v>
      </c>
      <c r="I379" s="3">
        <v>3443.2056555555559</v>
      </c>
      <c r="J379" s="3">
        <v>28829.611111111117</v>
      </c>
      <c r="K379" s="3">
        <v>29326.025925925929</v>
      </c>
      <c r="L379" s="3">
        <v>3911.6522222222216</v>
      </c>
      <c r="M379" s="3">
        <v>6713.1048148148157</v>
      </c>
      <c r="N379" s="3">
        <v>14508.142608695649</v>
      </c>
      <c r="O379" s="3">
        <v>8484.9074074074088</v>
      </c>
      <c r="P379" s="3">
        <v>5960.7670370370388</v>
      </c>
      <c r="Q379" s="3">
        <v>23960.337407407413</v>
      </c>
      <c r="R379" s="3">
        <v>421.56407407407414</v>
      </c>
    </row>
    <row r="380" spans="1:18">
      <c r="A380" s="2">
        <v>44287</v>
      </c>
      <c r="B380" s="3">
        <v>1307.5457692307693</v>
      </c>
      <c r="C380" s="3">
        <v>48319.26846153845</v>
      </c>
      <c r="D380" s="3">
        <v>119033.47615384613</v>
      </c>
      <c r="E380" s="3">
        <v>4860.9957692307698</v>
      </c>
      <c r="F380" s="3">
        <v>372.96727272727276</v>
      </c>
      <c r="G380" s="3">
        <v>48243.862692307681</v>
      </c>
      <c r="H380" s="3">
        <v>3554.688846153847</v>
      </c>
      <c r="I380" s="3">
        <v>3455.5323999999996</v>
      </c>
      <c r="J380" s="3">
        <v>28889.560769230768</v>
      </c>
      <c r="K380" s="3">
        <v>29436.223846153844</v>
      </c>
      <c r="L380" s="3">
        <v>4134.5723076923077</v>
      </c>
      <c r="M380" s="3">
        <v>6905.6611538461548</v>
      </c>
      <c r="N380" s="3">
        <v>15224.676818181819</v>
      </c>
      <c r="O380" s="3">
        <v>8624.5192307692323</v>
      </c>
      <c r="P380" s="3">
        <v>6208.6476923076943</v>
      </c>
      <c r="Q380" s="3">
        <v>24515.569615384618</v>
      </c>
      <c r="R380" s="3">
        <v>437.20500000000015</v>
      </c>
    </row>
    <row r="381" spans="1:18">
      <c r="A381" s="2">
        <v>44317</v>
      </c>
      <c r="B381" s="3">
        <v>1247.2619999999999</v>
      </c>
      <c r="C381" s="3">
        <v>54050.358799999987</v>
      </c>
      <c r="D381" s="3">
        <v>122227.99160000001</v>
      </c>
      <c r="E381" s="3">
        <v>4353.7852000000003</v>
      </c>
      <c r="F381" s="3">
        <v>375.60714285714278</v>
      </c>
      <c r="G381" s="3">
        <v>49319.240400000002</v>
      </c>
      <c r="H381" s="3">
        <v>3660.3819999999996</v>
      </c>
      <c r="I381" s="3">
        <v>3498.1794840000007</v>
      </c>
      <c r="J381" s="3">
        <v>28570.195200000002</v>
      </c>
      <c r="K381" s="3">
        <v>28615.326800000006</v>
      </c>
      <c r="L381" s="3">
        <v>4173.3936000000012</v>
      </c>
      <c r="M381" s="3">
        <v>7023.5963999999985</v>
      </c>
      <c r="N381" s="3">
        <v>15312.024285714284</v>
      </c>
      <c r="O381" s="3">
        <v>9087.851999999999</v>
      </c>
      <c r="P381" s="3">
        <v>6361.7735999999995</v>
      </c>
      <c r="Q381" s="3">
        <v>24705.410800000001</v>
      </c>
      <c r="R381" s="3">
        <v>442.49079999999992</v>
      </c>
    </row>
    <row r="382" spans="1:18">
      <c r="A382" s="2">
        <v>44348</v>
      </c>
      <c r="B382" s="3">
        <v>1255.814230769231</v>
      </c>
      <c r="C382" s="3">
        <v>65579.891923076924</v>
      </c>
      <c r="D382" s="3">
        <v>128985.37884615385</v>
      </c>
      <c r="E382" s="3">
        <v>4310.2203846153852</v>
      </c>
      <c r="F382" s="3">
        <v>375.95</v>
      </c>
      <c r="G382" s="3">
        <v>50629.145000000011</v>
      </c>
      <c r="H382" s="3">
        <v>3820.8138461538456</v>
      </c>
      <c r="I382" s="3">
        <v>3576.8048230769223</v>
      </c>
      <c r="J382" s="3">
        <v>28867.153461538463</v>
      </c>
      <c r="K382" s="3">
        <v>28948.905769230772</v>
      </c>
      <c r="L382" s="3">
        <v>4237.3557692307695</v>
      </c>
      <c r="M382" s="3">
        <v>7096.1326923076913</v>
      </c>
      <c r="N382" s="3">
        <v>15618.974090909089</v>
      </c>
      <c r="O382" s="3">
        <v>9101.9538461538486</v>
      </c>
      <c r="P382" s="3">
        <v>6574.78346153846</v>
      </c>
      <c r="Q382" s="3">
        <v>25502.90769230769</v>
      </c>
      <c r="R382" s="3">
        <v>455.02230769230778</v>
      </c>
    </row>
    <row r="383" spans="1:18">
      <c r="A383" s="2">
        <v>44378</v>
      </c>
      <c r="B383" s="3">
        <v>1268.8988888888891</v>
      </c>
      <c r="C383" s="3">
        <v>64110.523333333338</v>
      </c>
      <c r="D383" s="3">
        <v>126065.16925925923</v>
      </c>
      <c r="E383" s="3">
        <v>4226.9051851851855</v>
      </c>
      <c r="F383" s="3">
        <v>383.34636363636366</v>
      </c>
      <c r="G383" s="3">
        <v>50174.094074074084</v>
      </c>
      <c r="H383" s="3">
        <v>3807.3970370370371</v>
      </c>
      <c r="I383" s="3">
        <v>3516.9070666666667</v>
      </c>
      <c r="J383" s="3">
        <v>27422.982592592591</v>
      </c>
      <c r="K383" s="3">
        <v>28093.673333333336</v>
      </c>
      <c r="L383" s="3">
        <v>4363.0922222222216</v>
      </c>
      <c r="M383" s="3">
        <v>7053.7722222222201</v>
      </c>
      <c r="N383" s="3">
        <v>15573.489090909088</v>
      </c>
      <c r="O383" s="3">
        <v>8710.4555555555598</v>
      </c>
      <c r="P383" s="3">
        <v>6520.4896296296311</v>
      </c>
      <c r="Q383" s="3">
        <v>25046.514074074079</v>
      </c>
      <c r="R383" s="3">
        <v>457.27407407407406</v>
      </c>
    </row>
    <row r="384" spans="1:18">
      <c r="A384" s="2">
        <v>44409</v>
      </c>
      <c r="B384" s="3">
        <v>1283.7042857142858</v>
      </c>
      <c r="C384" s="3">
        <v>69152.202857142853</v>
      </c>
      <c r="D384" s="3">
        <v>120431.7567857143</v>
      </c>
      <c r="E384" s="3">
        <v>4351.5410714285726</v>
      </c>
      <c r="F384" s="3">
        <v>386.71318181818174</v>
      </c>
      <c r="G384" s="3">
        <v>51643.663571428544</v>
      </c>
      <c r="H384" s="3">
        <v>3861.4528571428577</v>
      </c>
      <c r="I384" s="3">
        <v>3490.2293178571445</v>
      </c>
      <c r="J384" s="3">
        <v>25879.692500000001</v>
      </c>
      <c r="K384" s="3">
        <v>27669.41642857144</v>
      </c>
      <c r="L384" s="3">
        <v>4455.4546428571421</v>
      </c>
      <c r="M384" s="3">
        <v>7136.2417857142873</v>
      </c>
      <c r="N384" s="3">
        <v>15816.081363636365</v>
      </c>
      <c r="O384" s="3">
        <v>8895.6250000000018</v>
      </c>
      <c r="P384" s="3">
        <v>6740.3475000000008</v>
      </c>
      <c r="Q384" s="3">
        <v>26026.179285714294</v>
      </c>
      <c r="R384" s="3">
        <v>470.9439285714285</v>
      </c>
    </row>
    <row r="385" spans="1:18">
      <c r="A385" s="2">
        <v>44440</v>
      </c>
      <c r="B385" s="3">
        <v>1323.8403846153847</v>
      </c>
      <c r="C385" s="3">
        <v>76398.61461538462</v>
      </c>
      <c r="D385" s="3">
        <v>114043.84807692307</v>
      </c>
      <c r="E385" s="3">
        <v>4406.9523076923078</v>
      </c>
      <c r="F385" s="3">
        <v>383.02272727272725</v>
      </c>
      <c r="G385" s="3">
        <v>51531.581153846157</v>
      </c>
      <c r="H385" s="3">
        <v>4027.1507692307687</v>
      </c>
      <c r="I385" s="3">
        <v>3626.3117000000002</v>
      </c>
      <c r="J385" s="3">
        <v>25197.42923076923</v>
      </c>
      <c r="K385" s="3">
        <v>29933.447307692317</v>
      </c>
      <c r="L385" s="3">
        <v>4452.8584615384616</v>
      </c>
      <c r="M385" s="3">
        <v>7062.0969230769251</v>
      </c>
      <c r="N385" s="3">
        <v>15584.468636363636</v>
      </c>
      <c r="O385" s="3">
        <v>8818.6730769230762</v>
      </c>
      <c r="P385" s="3">
        <v>6638.1392307692295</v>
      </c>
      <c r="Q385" s="3">
        <v>25861.669615384617</v>
      </c>
      <c r="R385" s="3">
        <v>465.05115384615391</v>
      </c>
    </row>
    <row r="386" spans="1:18">
      <c r="A386" s="2">
        <v>44470</v>
      </c>
      <c r="B386" s="3">
        <v>1400.7481481481479</v>
      </c>
      <c r="C386" s="3">
        <v>82136.159629629634</v>
      </c>
      <c r="D386" s="3">
        <v>110017.56407407405</v>
      </c>
      <c r="E386" s="3">
        <v>4113.2288888888897</v>
      </c>
      <c r="F386" s="3">
        <v>378.78</v>
      </c>
      <c r="G386" s="3">
        <v>51699.877407407432</v>
      </c>
      <c r="H386" s="3">
        <v>4214.3814814814823</v>
      </c>
      <c r="I386" s="3">
        <v>3572.9827185185186</v>
      </c>
      <c r="J386" s="3">
        <v>25272.261111111118</v>
      </c>
      <c r="K386" s="3">
        <v>28618.562222222215</v>
      </c>
      <c r="L386" s="3">
        <v>4466.288148148149</v>
      </c>
      <c r="M386" s="3">
        <v>7164.0244444444443</v>
      </c>
      <c r="N386" s="3">
        <v>15401.8680952381</v>
      </c>
      <c r="O386" s="3">
        <v>8935.2185185185153</v>
      </c>
      <c r="P386" s="3">
        <v>6658.9811111111121</v>
      </c>
      <c r="Q386" s="3">
        <v>26301.537037037029</v>
      </c>
      <c r="R386" s="3">
        <v>465.04148148148136</v>
      </c>
    </row>
    <row r="387" spans="1:18">
      <c r="A387" s="2">
        <v>44501</v>
      </c>
      <c r="B387" s="3">
        <v>1353.5580769230767</v>
      </c>
      <c r="C387" s="3">
        <v>88672.168076923059</v>
      </c>
      <c r="D387" s="3">
        <v>104376.49769230768</v>
      </c>
      <c r="E387" s="3">
        <v>4440.7473076923088</v>
      </c>
      <c r="F387" s="3">
        <v>382.60681818181826</v>
      </c>
      <c r="G387" s="3">
        <v>51127.499615384615</v>
      </c>
      <c r="H387" s="3">
        <v>4069.752307692308</v>
      </c>
      <c r="I387" s="3">
        <v>3538.6327769230757</v>
      </c>
      <c r="J387" s="3">
        <v>24900.518076923076</v>
      </c>
      <c r="K387" s="3">
        <v>29401.008076923081</v>
      </c>
      <c r="L387" s="3">
        <v>4668.8284615384628</v>
      </c>
      <c r="M387" s="3">
        <v>7259.3911538461552</v>
      </c>
      <c r="N387" s="3">
        <v>15938.779545454547</v>
      </c>
      <c r="O387" s="3">
        <v>8905.1884615384643</v>
      </c>
      <c r="P387" s="3">
        <v>7010.3011538461542</v>
      </c>
      <c r="Q387" s="3">
        <v>27254.836923076924</v>
      </c>
      <c r="R387" s="3">
        <v>481.17346153846142</v>
      </c>
    </row>
    <row r="388" spans="1:18">
      <c r="A388" s="2">
        <v>44531</v>
      </c>
      <c r="B388" s="3">
        <v>1401.4940740740742</v>
      </c>
      <c r="C388" s="3">
        <v>84691.662962962946</v>
      </c>
      <c r="D388" s="3">
        <v>105874.4474074074</v>
      </c>
      <c r="E388" s="3">
        <v>4306.7929629629625</v>
      </c>
      <c r="F388" s="3">
        <v>384.66652173913042</v>
      </c>
      <c r="G388" s="3">
        <v>51759.475185185176</v>
      </c>
      <c r="H388" s="3">
        <v>3764.1729629629635</v>
      </c>
      <c r="I388" s="3">
        <v>3627.6335629629621</v>
      </c>
      <c r="J388" s="3">
        <v>23481.100370370379</v>
      </c>
      <c r="K388" s="3">
        <v>28514.827407407403</v>
      </c>
      <c r="L388" s="3">
        <v>4672.8766666666661</v>
      </c>
      <c r="M388" s="3">
        <v>7284.627407407409</v>
      </c>
      <c r="N388" s="3">
        <v>15607.999565217391</v>
      </c>
      <c r="O388" s="3">
        <v>8444.6740740740752</v>
      </c>
      <c r="P388" s="3">
        <v>6990.5748148148141</v>
      </c>
      <c r="Q388" s="3">
        <v>26744.607407407399</v>
      </c>
      <c r="R388" s="3">
        <v>476.3192592592593</v>
      </c>
    </row>
    <row r="389" spans="1:18">
      <c r="A389" s="2">
        <v>44562</v>
      </c>
      <c r="B389" s="3">
        <v>1476.7061538461535</v>
      </c>
      <c r="C389" s="3">
        <v>85011.794230769228</v>
      </c>
      <c r="D389" s="3">
        <v>106811.69192307691</v>
      </c>
      <c r="E389" s="3">
        <v>4455.5496153846161</v>
      </c>
      <c r="F389" s="3">
        <v>360.24809523809523</v>
      </c>
      <c r="G389" s="3">
        <v>52495.055769230778</v>
      </c>
      <c r="H389" s="3">
        <v>3591.6961538461546</v>
      </c>
      <c r="I389" s="3">
        <v>3529.60545</v>
      </c>
      <c r="J389" s="3">
        <v>23971.338846153838</v>
      </c>
      <c r="K389" s="3">
        <v>27964.623076923071</v>
      </c>
      <c r="L389" s="3">
        <v>4579.8080769230774</v>
      </c>
      <c r="M389" s="3">
        <v>7491.4246153846143</v>
      </c>
      <c r="N389" s="3">
        <v>15762.910000000002</v>
      </c>
      <c r="O389" s="3">
        <v>8718.2076923076929</v>
      </c>
      <c r="P389" s="3">
        <v>7122.2457692307689</v>
      </c>
      <c r="Q389" s="3">
        <v>27281.037692307702</v>
      </c>
      <c r="R389" s="3">
        <v>479.01961538461535</v>
      </c>
    </row>
    <row r="390" spans="1:18">
      <c r="A390" s="2">
        <v>44593</v>
      </c>
      <c r="B390" s="3">
        <v>1507.6829166666666</v>
      </c>
      <c r="C390" s="3">
        <v>88893.665833333333</v>
      </c>
      <c r="D390" s="3">
        <v>112889.67125</v>
      </c>
      <c r="E390" s="3">
        <v>4535.6612500000001</v>
      </c>
      <c r="F390" s="3">
        <v>390.28550000000001</v>
      </c>
      <c r="G390" s="3">
        <v>52304.132916666676</v>
      </c>
      <c r="H390" s="3">
        <v>3275.717916666666</v>
      </c>
      <c r="I390" s="3">
        <v>3441.8119916666656</v>
      </c>
      <c r="J390" s="3">
        <v>24108.696666666674</v>
      </c>
      <c r="K390" s="3">
        <v>27086.574583333331</v>
      </c>
      <c r="L390" s="3">
        <v>4428.5495833333316</v>
      </c>
      <c r="M390" s="3">
        <v>7537.0412499999984</v>
      </c>
      <c r="N390" s="3">
        <v>15094.536499999998</v>
      </c>
      <c r="O390" s="3">
        <v>8617.6208333333361</v>
      </c>
      <c r="P390" s="3">
        <v>6919.2091666666665</v>
      </c>
      <c r="Q390" s="3">
        <v>26492.844583333335</v>
      </c>
      <c r="R390" s="3">
        <v>462.73416666666685</v>
      </c>
    </row>
    <row r="391" spans="1:18">
      <c r="A391" s="2">
        <v>44621</v>
      </c>
      <c r="B391" s="3">
        <v>1556.3178571428568</v>
      </c>
      <c r="C391" s="3">
        <v>89427.331785714283</v>
      </c>
      <c r="D391" s="3">
        <v>115053.45999999996</v>
      </c>
      <c r="E391" s="3">
        <v>4744.5485714285705</v>
      </c>
      <c r="F391" s="3">
        <v>392.30565217391307</v>
      </c>
      <c r="G391" s="3">
        <v>54328.12857142857</v>
      </c>
      <c r="H391" s="3">
        <v>2481.5207142857148</v>
      </c>
      <c r="I391" s="3">
        <v>3293.1217071428573</v>
      </c>
      <c r="J391" s="3">
        <v>21355.716071428578</v>
      </c>
      <c r="K391" s="3">
        <v>26563.861785714285</v>
      </c>
      <c r="L391" s="3">
        <v>4388.1189285714281</v>
      </c>
      <c r="M391" s="3">
        <v>7294.9642857142871</v>
      </c>
      <c r="N391" s="3">
        <v>14012.710434782608</v>
      </c>
      <c r="O391" s="3">
        <v>8209.7500000000036</v>
      </c>
      <c r="P391" s="3">
        <v>6426.9367857142852</v>
      </c>
      <c r="Q391" s="3">
        <v>23870.566428571423</v>
      </c>
      <c r="R391" s="3">
        <v>442.39321428571429</v>
      </c>
    </row>
    <row r="392" spans="1:18">
      <c r="A392" s="2">
        <v>44652</v>
      </c>
      <c r="B392" s="3">
        <v>1612.4915999999998</v>
      </c>
      <c r="C392" s="3">
        <v>91272.20120000001</v>
      </c>
      <c r="D392" s="3">
        <v>115323.78600000002</v>
      </c>
      <c r="E392" s="3">
        <v>4898.5688</v>
      </c>
      <c r="F392" s="3">
        <v>395.63761904761901</v>
      </c>
      <c r="G392" s="3">
        <v>54163.606799999994</v>
      </c>
      <c r="H392" s="3">
        <v>2470.6967999999997</v>
      </c>
      <c r="I392" s="3">
        <v>3158.4045640000004</v>
      </c>
      <c r="J392" s="3">
        <v>21269.560799999999</v>
      </c>
      <c r="K392" s="3">
        <v>27062.592000000001</v>
      </c>
      <c r="L392" s="3">
        <v>4396.6807999999992</v>
      </c>
      <c r="M392" s="3">
        <v>7564.65</v>
      </c>
      <c r="N392" s="3">
        <v>14166.688095238096</v>
      </c>
      <c r="O392" s="3">
        <v>8602.4520000000011</v>
      </c>
      <c r="P392" s="3">
        <v>6567.3588000000027</v>
      </c>
      <c r="Q392" s="3">
        <v>24601.407599999991</v>
      </c>
      <c r="R392" s="3">
        <v>455.93559999999991</v>
      </c>
    </row>
    <row r="393" spans="1:18">
      <c r="A393" s="2">
        <v>44682</v>
      </c>
      <c r="B393" s="3">
        <v>1521.9429629629626</v>
      </c>
      <c r="C393" s="3">
        <v>89074.92370370368</v>
      </c>
      <c r="D393" s="3">
        <v>107857.9859259259</v>
      </c>
      <c r="E393" s="3">
        <v>4974.8325925925928</v>
      </c>
      <c r="F393" s="3">
        <v>395.62045454545455</v>
      </c>
      <c r="G393" s="3">
        <v>50869.19000000001</v>
      </c>
      <c r="H393" s="3">
        <v>2382.3237037037038</v>
      </c>
      <c r="I393" s="3">
        <v>3084.0453592592598</v>
      </c>
      <c r="J393" s="3">
        <v>20412.639259259257</v>
      </c>
      <c r="K393" s="3">
        <v>26691.741851851861</v>
      </c>
      <c r="L393" s="3">
        <v>4049.7985185185184</v>
      </c>
      <c r="M393" s="3">
        <v>7454.376666666667</v>
      </c>
      <c r="N393" s="3">
        <v>13991.862272727272</v>
      </c>
      <c r="O393" s="3">
        <v>8514.5740740740748</v>
      </c>
      <c r="P393" s="3">
        <v>6351.0562962962968</v>
      </c>
      <c r="Q393" s="3">
        <v>24012.059629629628</v>
      </c>
      <c r="R393" s="3">
        <v>435.23222222222222</v>
      </c>
    </row>
    <row r="394" spans="1:18">
      <c r="A394" s="2">
        <v>44713</v>
      </c>
      <c r="B394" s="3">
        <v>1474.2292307692305</v>
      </c>
      <c r="C394" s="3">
        <v>87995.600384615362</v>
      </c>
      <c r="D394" s="3">
        <v>103714.03230769231</v>
      </c>
      <c r="E394" s="3">
        <v>5139.1053846153845</v>
      </c>
      <c r="F394" s="3">
        <v>394.4027272727273</v>
      </c>
      <c r="G394" s="3">
        <v>48697.704230769232</v>
      </c>
      <c r="H394" s="3">
        <v>2338.2280769230774</v>
      </c>
      <c r="I394" s="3">
        <v>3290.2086346153851</v>
      </c>
      <c r="J394" s="3">
        <v>21485.042692307696</v>
      </c>
      <c r="K394" s="3">
        <v>26966.363846153843</v>
      </c>
      <c r="L394" s="3">
        <v>3890.3346153846151</v>
      </c>
      <c r="M394" s="3">
        <v>7294.3015384615392</v>
      </c>
      <c r="N394" s="3">
        <v>13601.011363636364</v>
      </c>
      <c r="O394" s="3">
        <v>8379.1000000000022</v>
      </c>
      <c r="P394" s="3">
        <v>6142.0584615384614</v>
      </c>
      <c r="Q394" s="3">
        <v>22673.828461538462</v>
      </c>
      <c r="R394" s="3">
        <v>419.66307692307697</v>
      </c>
    </row>
    <row r="395" spans="1:18">
      <c r="A395" s="2">
        <v>44743</v>
      </c>
      <c r="B395" s="3">
        <v>1312.8003846153845</v>
      </c>
      <c r="C395" s="3">
        <v>107211.49499999998</v>
      </c>
      <c r="D395" s="3">
        <v>99198.521923076929</v>
      </c>
      <c r="E395" s="3">
        <v>5130.1111538461537</v>
      </c>
      <c r="F395" s="3">
        <v>391.5057142857143</v>
      </c>
      <c r="G395" s="3">
        <v>47424.784615384619</v>
      </c>
      <c r="H395" s="3">
        <v>2154.4099999999994</v>
      </c>
      <c r="I395" s="3">
        <v>3303.8721884615379</v>
      </c>
      <c r="J395" s="3">
        <v>20979.356538461536</v>
      </c>
      <c r="K395" s="3">
        <v>26980.032307692305</v>
      </c>
      <c r="L395" s="3">
        <v>3913.0657692307691</v>
      </c>
      <c r="M395" s="3">
        <v>7229.4384615384606</v>
      </c>
      <c r="N395" s="3">
        <v>12981.405238095238</v>
      </c>
      <c r="O395" s="3">
        <v>8052.923076923079</v>
      </c>
      <c r="P395" s="3">
        <v>6103.1119230769236</v>
      </c>
      <c r="Q395" s="3">
        <v>21390.268846153846</v>
      </c>
      <c r="R395" s="3">
        <v>418.80692307692311</v>
      </c>
    </row>
    <row r="396" spans="1:18">
      <c r="A396" s="2">
        <v>44774</v>
      </c>
      <c r="B396" s="3">
        <v>1301.7432142857144</v>
      </c>
      <c r="C396" s="3">
        <v>129660.08571428576</v>
      </c>
      <c r="D396" s="3">
        <v>110241.10285714283</v>
      </c>
      <c r="E396" s="3">
        <v>5349.7475000000004</v>
      </c>
      <c r="F396" s="3">
        <v>392.28304347826094</v>
      </c>
      <c r="G396" s="3">
        <v>47578.098928571446</v>
      </c>
      <c r="H396" s="3">
        <v>2193.2153571428576</v>
      </c>
      <c r="I396" s="3">
        <v>3244.1870928571416</v>
      </c>
      <c r="J396" s="3">
        <v>19936.846071428568</v>
      </c>
      <c r="K396" s="3">
        <v>28374.712142857141</v>
      </c>
      <c r="L396" s="3">
        <v>4157.7174999999997</v>
      </c>
      <c r="M396" s="3">
        <v>7466.8853571428563</v>
      </c>
      <c r="N396" s="3">
        <v>13449.552173913044</v>
      </c>
      <c r="O396" s="3">
        <v>8227.3071428571402</v>
      </c>
      <c r="P396" s="3">
        <v>6432.016071428573</v>
      </c>
      <c r="Q396" s="3">
        <v>22464.946428571428</v>
      </c>
      <c r="R396" s="3">
        <v>434.45428571428567</v>
      </c>
    </row>
    <row r="397" spans="1:18">
      <c r="A397" s="2">
        <v>44805</v>
      </c>
      <c r="B397" s="3">
        <v>1195.0911538461537</v>
      </c>
      <c r="C397" s="3">
        <v>142162.07807692306</v>
      </c>
      <c r="D397" s="3">
        <v>110733.25730769234</v>
      </c>
      <c r="E397" s="3">
        <v>5434.3061538461534</v>
      </c>
      <c r="F397" s="3">
        <v>393.82363636363641</v>
      </c>
      <c r="G397" s="3">
        <v>46170.332307692319</v>
      </c>
      <c r="H397" s="3">
        <v>2288.3815384615382</v>
      </c>
      <c r="I397" s="3">
        <v>3158.4605384615379</v>
      </c>
      <c r="J397" s="3">
        <v>18642.493846153848</v>
      </c>
      <c r="K397" s="3">
        <v>27449.548846153841</v>
      </c>
      <c r="L397" s="3">
        <v>3859.3603846153833</v>
      </c>
      <c r="M397" s="3">
        <v>7193.9396153846164</v>
      </c>
      <c r="N397" s="3">
        <v>12692.554090909091</v>
      </c>
      <c r="O397" s="3">
        <v>7820.2500000000018</v>
      </c>
      <c r="P397" s="3">
        <v>6023.9580769230779</v>
      </c>
      <c r="Q397" s="3">
        <v>21664.730384615385</v>
      </c>
      <c r="R397" s="3">
        <v>406.4576923076923</v>
      </c>
    </row>
    <row r="398" spans="1:18">
      <c r="A398" s="2">
        <v>44835</v>
      </c>
      <c r="B398" s="3">
        <v>1197.4838461538461</v>
      </c>
      <c r="C398" s="3">
        <v>142023.12192307692</v>
      </c>
      <c r="D398" s="3">
        <v>115376.08346153845</v>
      </c>
      <c r="E398" s="3">
        <v>5111.2584615384612</v>
      </c>
      <c r="F398" s="3">
        <v>391.09428571428572</v>
      </c>
      <c r="G398" s="3">
        <v>46743.885000000002</v>
      </c>
      <c r="H398" s="3">
        <v>2029.9749999999999</v>
      </c>
      <c r="I398" s="3">
        <v>3011.356611538461</v>
      </c>
      <c r="J398" s="3">
        <v>16443.186923076923</v>
      </c>
      <c r="K398" s="3">
        <v>26958.459230769226</v>
      </c>
      <c r="L398" s="3">
        <v>3719.5857692307691</v>
      </c>
      <c r="M398" s="3">
        <v>6968.1569230769237</v>
      </c>
      <c r="N398" s="3">
        <v>12673.459047619048</v>
      </c>
      <c r="O398" s="3">
        <v>7583.796153846155</v>
      </c>
      <c r="P398" s="3">
        <v>6019.5526923076914</v>
      </c>
      <c r="Q398" s="3">
        <v>21480.186538461534</v>
      </c>
      <c r="R398" s="3">
        <v>397.96538461538472</v>
      </c>
    </row>
    <row r="399" spans="1:18">
      <c r="A399" s="2">
        <v>44866</v>
      </c>
      <c r="B399" s="3">
        <v>1259.1965384615387</v>
      </c>
      <c r="C399" s="3">
        <v>155188.99384615387</v>
      </c>
      <c r="D399" s="3">
        <v>112308.73423076923</v>
      </c>
      <c r="E399" s="3">
        <v>5261.9430769230767</v>
      </c>
      <c r="F399" s="3">
        <v>390.82181818181829</v>
      </c>
      <c r="G399" s="3">
        <v>51327.091923076921</v>
      </c>
      <c r="H399" s="3">
        <v>2195.2696153846146</v>
      </c>
      <c r="I399" s="3">
        <v>3080.9140307692305</v>
      </c>
      <c r="J399" s="3">
        <v>17190.399999999998</v>
      </c>
      <c r="K399" s="3">
        <v>27903.52807692307</v>
      </c>
      <c r="L399" s="3">
        <v>3924.9792307692305</v>
      </c>
      <c r="M399" s="3">
        <v>7369.9896153846148</v>
      </c>
      <c r="N399" s="3">
        <v>14068.9</v>
      </c>
      <c r="O399" s="3">
        <v>8149.2269230769252</v>
      </c>
      <c r="P399" s="3">
        <v>6562.123076923077</v>
      </c>
      <c r="Q399" s="3">
        <v>24148.971923076922</v>
      </c>
      <c r="R399" s="3">
        <v>429.47307692307703</v>
      </c>
    </row>
    <row r="400" spans="1:18">
      <c r="A400" s="2">
        <v>44896</v>
      </c>
      <c r="B400" s="3">
        <v>1238.8557692307693</v>
      </c>
      <c r="C400" s="3">
        <v>176523.07692307697</v>
      </c>
      <c r="D400" s="3">
        <v>107723.2126923077</v>
      </c>
      <c r="E400" s="3">
        <v>5228.8711538461539</v>
      </c>
      <c r="F400" s="3">
        <v>392.12045454545444</v>
      </c>
      <c r="G400" s="3">
        <v>50309.318076923075</v>
      </c>
      <c r="H400" s="3">
        <v>2155.8792307692306</v>
      </c>
      <c r="I400" s="3">
        <v>3136.7760615384614</v>
      </c>
      <c r="J400" s="3">
        <v>19430.678076923072</v>
      </c>
      <c r="K400" s="3">
        <v>27237.096153846152</v>
      </c>
      <c r="L400" s="3">
        <v>3911.8492307692313</v>
      </c>
      <c r="M400" s="3">
        <v>7471.6123076923086</v>
      </c>
      <c r="N400" s="3">
        <v>14158.557727272728</v>
      </c>
      <c r="O400" s="3">
        <v>8274.6115384615387</v>
      </c>
      <c r="P400" s="3">
        <v>6595.6061538461545</v>
      </c>
      <c r="Q400" s="3">
        <v>24104.330384615376</v>
      </c>
      <c r="R400" s="3">
        <v>433.23615384615391</v>
      </c>
    </row>
    <row r="401" spans="1:18">
      <c r="A401" s="2">
        <v>44927</v>
      </c>
      <c r="B401" s="3">
        <v>1315.8004545454548</v>
      </c>
      <c r="C401" s="3">
        <v>234985.76409090904</v>
      </c>
      <c r="D401" s="3">
        <v>110763.01590909089</v>
      </c>
      <c r="E401" s="3">
        <v>5216.9213636363638</v>
      </c>
      <c r="F401" s="3">
        <v>382.21090909090907</v>
      </c>
      <c r="G401" s="3">
        <v>53007.338181818181</v>
      </c>
      <c r="H401" s="3">
        <v>2179.3854545454546</v>
      </c>
      <c r="I401" s="3">
        <v>3206.3053090909102</v>
      </c>
      <c r="J401" s="3">
        <v>21553.268636363642</v>
      </c>
      <c r="K401" s="3">
        <v>26531.009090909094</v>
      </c>
      <c r="L401" s="3">
        <v>3956.8963636363637</v>
      </c>
      <c r="M401" s="3">
        <v>7733.4495454545431</v>
      </c>
      <c r="N401" s="3">
        <v>14896.361818181818</v>
      </c>
      <c r="O401" s="3">
        <v>8815.1454545454544</v>
      </c>
      <c r="P401" s="3">
        <v>6952.4063636363635</v>
      </c>
      <c r="Q401" s="3">
        <v>25625.416363636366</v>
      </c>
      <c r="R401" s="3">
        <v>449.05409090909075</v>
      </c>
    </row>
    <row r="402" spans="1:18">
      <c r="A402" s="2">
        <v>44958</v>
      </c>
      <c r="B402" s="3">
        <v>1229.0260000000003</v>
      </c>
      <c r="C402" s="3">
        <v>249608.96000000002</v>
      </c>
      <c r="D402" s="3">
        <v>108413.53750000001</v>
      </c>
      <c r="E402" s="3">
        <v>5335.067</v>
      </c>
      <c r="F402" s="3">
        <v>386.03450000000004</v>
      </c>
      <c r="G402" s="3">
        <v>53377.532999999996</v>
      </c>
      <c r="H402" s="3">
        <v>2227.3465000000006</v>
      </c>
      <c r="I402" s="3">
        <v>3269.7612949999993</v>
      </c>
      <c r="J402" s="3">
        <v>20951.956499999997</v>
      </c>
      <c r="K402" s="3">
        <v>27488.875</v>
      </c>
      <c r="L402" s="3">
        <v>4079.6549999999997</v>
      </c>
      <c r="M402" s="3">
        <v>7914.9944999999989</v>
      </c>
      <c r="N402" s="3">
        <v>15404.177</v>
      </c>
      <c r="O402" s="3">
        <v>9237.4950000000008</v>
      </c>
      <c r="P402" s="3">
        <v>7231.6764999999996</v>
      </c>
      <c r="Q402" s="3">
        <v>27309.946000000004</v>
      </c>
      <c r="R402" s="3">
        <v>461.04599999999999</v>
      </c>
    </row>
    <row r="403" spans="1:18">
      <c r="A403" s="2">
        <v>44986</v>
      </c>
      <c r="B403" s="3">
        <v>1156.0326086956522</v>
      </c>
      <c r="C403" s="3">
        <v>235179.5013043478</v>
      </c>
      <c r="D403" s="3">
        <v>102479.15652173913</v>
      </c>
      <c r="E403" s="3">
        <v>5310.0278260869554</v>
      </c>
      <c r="F403" s="3">
        <v>383.30869565217387</v>
      </c>
      <c r="G403" s="3">
        <v>53068.829565217391</v>
      </c>
      <c r="H403" s="3">
        <v>2343.0491304347825</v>
      </c>
      <c r="I403" s="3">
        <v>3268.7933260869568</v>
      </c>
      <c r="J403" s="3">
        <v>19883.816956521739</v>
      </c>
      <c r="K403" s="3">
        <v>27660.700869565218</v>
      </c>
      <c r="L403" s="3">
        <v>3968.5591304347827</v>
      </c>
      <c r="M403" s="3">
        <v>7637.9843478260855</v>
      </c>
      <c r="N403" s="3">
        <v>15262.709565217394</v>
      </c>
      <c r="O403" s="3">
        <v>9117.9260869565205</v>
      </c>
      <c r="P403" s="3">
        <v>7164.3982608695651</v>
      </c>
      <c r="Q403" s="3">
        <v>26777.306086956523</v>
      </c>
      <c r="R403" s="3">
        <v>450.47173913043486</v>
      </c>
    </row>
    <row r="404" spans="1:18">
      <c r="A404" s="2">
        <v>45017</v>
      </c>
      <c r="B404" s="3">
        <v>1214.2925</v>
      </c>
      <c r="C404" s="3">
        <v>275505.13149999996</v>
      </c>
      <c r="D404" s="3">
        <v>103767.17300000002</v>
      </c>
      <c r="E404" s="3">
        <v>5338.0350000000008</v>
      </c>
      <c r="F404" s="3">
        <v>380.90450000000004</v>
      </c>
      <c r="G404" s="3">
        <v>54275.398999999998</v>
      </c>
      <c r="H404" s="3">
        <v>2571.9859999999999</v>
      </c>
      <c r="I404" s="3">
        <v>3320.2656650000004</v>
      </c>
      <c r="J404" s="3">
        <v>20243.6855</v>
      </c>
      <c r="K404" s="3">
        <v>28275.821500000009</v>
      </c>
      <c r="L404" s="3">
        <v>4120.6450000000004</v>
      </c>
      <c r="M404" s="3">
        <v>7819.1785</v>
      </c>
      <c r="N404" s="3">
        <v>15744.681500000001</v>
      </c>
      <c r="O404" s="3">
        <v>9321.4549999999981</v>
      </c>
      <c r="P404" s="3">
        <v>7450.6779999999999</v>
      </c>
      <c r="Q404" s="3">
        <v>27420.014000000003</v>
      </c>
      <c r="R404" s="3">
        <v>463.68499999999995</v>
      </c>
    </row>
    <row r="405" spans="1:18">
      <c r="A405" s="2">
        <v>45047</v>
      </c>
      <c r="B405" s="3">
        <v>1136.8939130434785</v>
      </c>
      <c r="C405" s="3">
        <v>321375.31130434782</v>
      </c>
      <c r="D405" s="3">
        <v>107733.69782608692</v>
      </c>
      <c r="E405" s="3">
        <v>5563.8604347826094</v>
      </c>
      <c r="F405" s="3">
        <v>384.58304347826089</v>
      </c>
      <c r="G405" s="3">
        <v>54519.480869565217</v>
      </c>
      <c r="H405" s="3">
        <v>2614.0591304347827</v>
      </c>
      <c r="I405" s="3">
        <v>3286.3821043478256</v>
      </c>
      <c r="J405" s="3">
        <v>19504.849565217388</v>
      </c>
      <c r="K405" s="3">
        <v>30018.450869565226</v>
      </c>
      <c r="L405" s="3">
        <v>4148.7504347826089</v>
      </c>
      <c r="M405" s="3">
        <v>7712.5082608695666</v>
      </c>
      <c r="N405" s="3">
        <v>15932.196956521735</v>
      </c>
      <c r="O405" s="3">
        <v>9177.3608695652201</v>
      </c>
      <c r="P405" s="3">
        <v>7368.7691304347827</v>
      </c>
      <c r="Q405" s="3">
        <v>26993.706956521739</v>
      </c>
      <c r="R405" s="3">
        <v>463.07521739130442</v>
      </c>
    </row>
    <row r="406" spans="1:18">
      <c r="A406" s="2">
        <v>45078</v>
      </c>
      <c r="B406" s="3">
        <v>1159.4445454545453</v>
      </c>
      <c r="C406" s="3">
        <v>396378.40545454546</v>
      </c>
      <c r="D406" s="3">
        <v>117103.67181818181</v>
      </c>
      <c r="E406" s="3">
        <v>5702.880454545455</v>
      </c>
      <c r="F406" s="3">
        <v>385.25272727272733</v>
      </c>
      <c r="G406" s="3">
        <v>54061.440909090925</v>
      </c>
      <c r="H406" s="3">
        <v>2759.9040909090913</v>
      </c>
      <c r="I406" s="3">
        <v>3214.854263636365</v>
      </c>
      <c r="J406" s="3">
        <v>19242.315454545453</v>
      </c>
      <c r="K406" s="3">
        <v>32754.47545454546</v>
      </c>
      <c r="L406" s="3">
        <v>4348.2918181818195</v>
      </c>
      <c r="M406" s="3">
        <v>7556.8586363636341</v>
      </c>
      <c r="N406" s="3">
        <v>16041.179999999998</v>
      </c>
      <c r="O406" s="3">
        <v>9378.1681818181805</v>
      </c>
      <c r="P406" s="3">
        <v>7256.3763636363647</v>
      </c>
      <c r="Q406" s="3">
        <v>27427.69999999999</v>
      </c>
      <c r="R406" s="3">
        <v>459.40999999999991</v>
      </c>
    </row>
    <row r="407" spans="1:18">
      <c r="A407" s="2">
        <v>45108</v>
      </c>
      <c r="B407" s="3">
        <v>1156.0942857142857</v>
      </c>
      <c r="C407" s="3">
        <v>447564.00380952383</v>
      </c>
      <c r="D407" s="3">
        <v>119271.56619047618</v>
      </c>
      <c r="E407" s="3">
        <v>6150.390476190476</v>
      </c>
      <c r="F407" s="3">
        <v>391.00999999999988</v>
      </c>
      <c r="G407" s="3">
        <v>54029.89523809524</v>
      </c>
      <c r="H407" s="3">
        <v>2908.1580952380955</v>
      </c>
      <c r="I407" s="3">
        <v>3216.9396047619043</v>
      </c>
      <c r="J407" s="3">
        <v>19142.08047619048</v>
      </c>
      <c r="K407" s="3">
        <v>32679.7219047619</v>
      </c>
      <c r="L407" s="3">
        <v>4505.5761904761912</v>
      </c>
      <c r="M407" s="3">
        <v>7512.6442857142856</v>
      </c>
      <c r="N407" s="3">
        <v>16069.688095238096</v>
      </c>
      <c r="O407" s="3">
        <v>9491.8619047619068</v>
      </c>
      <c r="P407" s="3">
        <v>7335.9733333333334</v>
      </c>
      <c r="Q407" s="3">
        <v>28645.689523809517</v>
      </c>
      <c r="R407" s="3">
        <v>460.90095238095245</v>
      </c>
    </row>
    <row r="408" spans="1:18">
      <c r="A408" s="2">
        <v>45139</v>
      </c>
      <c r="B408" s="3">
        <v>1136.4347826086957</v>
      </c>
      <c r="C408" s="3">
        <v>547474.5473913044</v>
      </c>
      <c r="D408" s="3">
        <v>117601.79869565219</v>
      </c>
      <c r="E408" s="3">
        <v>6191.4039130434776</v>
      </c>
      <c r="F408" s="3">
        <v>390.21391304347816</v>
      </c>
      <c r="G408" s="3">
        <v>53580.10652173913</v>
      </c>
      <c r="H408" s="3">
        <v>3133.7130434782607</v>
      </c>
      <c r="I408" s="3">
        <v>3176.9097217391295</v>
      </c>
      <c r="J408" s="3">
        <v>18680.447826086951</v>
      </c>
      <c r="K408" s="3">
        <v>32180.696521739126</v>
      </c>
      <c r="L408" s="3">
        <v>4457.358695652174</v>
      </c>
      <c r="M408" s="3">
        <v>7443.3652173913024</v>
      </c>
      <c r="N408" s="3">
        <v>15829.473043478261</v>
      </c>
      <c r="O408" s="3">
        <v>9383.3043478260879</v>
      </c>
      <c r="P408" s="3">
        <v>7292.2217391304348</v>
      </c>
      <c r="Q408" s="3">
        <v>28426.027826086953</v>
      </c>
      <c r="R408" s="3">
        <v>456.83260869565203</v>
      </c>
    </row>
    <row r="409" spans="1:18">
      <c r="A409" s="2">
        <v>45170</v>
      </c>
      <c r="B409" s="3">
        <v>1087.3785714285716</v>
      </c>
      <c r="C409" s="3">
        <v>566641.40571428568</v>
      </c>
      <c r="D409" s="3">
        <v>116913.59476190475</v>
      </c>
      <c r="E409" s="3">
        <v>5897.9747619047612</v>
      </c>
      <c r="F409" s="3">
        <v>389.68333333333328</v>
      </c>
      <c r="G409" s="3">
        <v>52009.585714285713</v>
      </c>
      <c r="H409" s="3">
        <v>3133.9290476190472</v>
      </c>
      <c r="I409" s="3">
        <v>3125.3218714285722</v>
      </c>
      <c r="J409" s="3">
        <v>18019.835714285713</v>
      </c>
      <c r="K409" s="3">
        <v>32764.092857142859</v>
      </c>
      <c r="L409" s="3">
        <v>4414.174761904761</v>
      </c>
      <c r="M409" s="3">
        <v>7576.0147619047621</v>
      </c>
      <c r="N409" s="3">
        <v>15638.203809523813</v>
      </c>
      <c r="O409" s="3">
        <v>9443.1380952380932</v>
      </c>
      <c r="P409" s="3">
        <v>7224.3776190476183</v>
      </c>
      <c r="Q409" s="3">
        <v>28507.938571428575</v>
      </c>
      <c r="R409" s="3">
        <v>454.74095238095225</v>
      </c>
    </row>
    <row r="410" spans="1:18">
      <c r="A410" s="2">
        <v>45200</v>
      </c>
      <c r="B410" s="3">
        <v>1107.669090909091</v>
      </c>
      <c r="C410" s="3">
        <v>683071.72045454534</v>
      </c>
      <c r="D410" s="3">
        <v>114458.04227272728</v>
      </c>
      <c r="E410" s="3">
        <v>5666.1290909090912</v>
      </c>
      <c r="F410" s="3">
        <v>389.74727272727284</v>
      </c>
      <c r="G410" s="3">
        <v>49459.588636363631</v>
      </c>
      <c r="H410" s="3">
        <v>3205.6781818181817</v>
      </c>
      <c r="I410" s="3">
        <v>3051.182609090909</v>
      </c>
      <c r="J410" s="3">
        <v>17454.039545454543</v>
      </c>
      <c r="K410" s="3">
        <v>31363.442727272723</v>
      </c>
      <c r="L410" s="3">
        <v>4269.4009090909085</v>
      </c>
      <c r="M410" s="3">
        <v>7481.5281818181838</v>
      </c>
      <c r="N410" s="3">
        <v>15059.187727272727</v>
      </c>
      <c r="O410" s="3">
        <v>9148.0090909090886</v>
      </c>
      <c r="P410" s="3">
        <v>6970.5981818181817</v>
      </c>
      <c r="Q410" s="3">
        <v>27802.474545454545</v>
      </c>
      <c r="R410" s="3">
        <v>441.56318181818187</v>
      </c>
    </row>
    <row r="411" spans="1:18">
      <c r="A411" s="2">
        <v>45231</v>
      </c>
      <c r="B411" s="3">
        <v>1114.8854545454544</v>
      </c>
      <c r="C411" s="3">
        <v>703051.41727272712</v>
      </c>
      <c r="D411" s="3">
        <v>122562.55590909092</v>
      </c>
      <c r="E411" s="3">
        <v>5704.0559090909092</v>
      </c>
      <c r="F411" s="3">
        <v>393.59863636363627</v>
      </c>
      <c r="G411" s="3">
        <v>51994.288181818185</v>
      </c>
      <c r="H411" s="3">
        <v>3214.2927272727275</v>
      </c>
      <c r="I411" s="3">
        <v>3045.8462136363637</v>
      </c>
      <c r="J411" s="3">
        <v>17533.530454545456</v>
      </c>
      <c r="K411" s="3">
        <v>32936.757272727271</v>
      </c>
      <c r="L411" s="3">
        <v>4464.4522727272715</v>
      </c>
      <c r="M411" s="3">
        <v>7442.4386363636359</v>
      </c>
      <c r="N411" s="3">
        <v>15631.793181818182</v>
      </c>
      <c r="O411" s="3">
        <v>9626.3909090909074</v>
      </c>
      <c r="P411" s="3">
        <v>7160.0077272727276</v>
      </c>
      <c r="Q411" s="3">
        <v>29039.37545454545</v>
      </c>
      <c r="R411" s="3">
        <v>451.39000000000016</v>
      </c>
    </row>
    <row r="412" spans="1:18">
      <c r="A412" s="2">
        <v>45261</v>
      </c>
      <c r="B412" s="3">
        <v>1163.8661904761907</v>
      </c>
      <c r="C412" s="3">
        <v>928601.77666666673</v>
      </c>
      <c r="D412" s="3">
        <v>130093.53952380952</v>
      </c>
      <c r="E412" s="3">
        <v>6049.9171428571444</v>
      </c>
      <c r="F412" s="3">
        <v>393.61285714285725</v>
      </c>
      <c r="G412" s="3">
        <v>56087.65809523809</v>
      </c>
      <c r="H412" s="3">
        <v>3079.2</v>
      </c>
      <c r="I412" s="3">
        <v>2955.1172000000001</v>
      </c>
      <c r="J412" s="3">
        <v>16526.33380952381</v>
      </c>
      <c r="K412" s="3">
        <v>33118.002857142863</v>
      </c>
      <c r="L412" s="3">
        <v>4688.3647619047624</v>
      </c>
      <c r="M412" s="3">
        <v>7614.930476190475</v>
      </c>
      <c r="N412" s="3">
        <v>16684.055238095236</v>
      </c>
      <c r="O412" s="3">
        <v>10137.038095238095</v>
      </c>
      <c r="P412" s="3">
        <v>7519.5633333333353</v>
      </c>
      <c r="Q412" s="3">
        <v>30284.711428571427</v>
      </c>
      <c r="R412" s="3">
        <v>474.21380952380952</v>
      </c>
    </row>
    <row r="413" spans="1:18">
      <c r="A413" s="2">
        <v>45292</v>
      </c>
      <c r="B413" s="3">
        <v>1276.0577272727273</v>
      </c>
      <c r="C413" s="3">
        <v>1127398.7950000002</v>
      </c>
      <c r="D413" s="3">
        <v>129676.94499999998</v>
      </c>
      <c r="E413" s="3">
        <v>6012.9004545454554</v>
      </c>
      <c r="F413" s="3">
        <v>396.46136363636361</v>
      </c>
      <c r="G413" s="3">
        <v>55827.137272727261</v>
      </c>
      <c r="H413" s="3">
        <v>3166.3631818181821</v>
      </c>
      <c r="I413" s="3">
        <v>2872.681</v>
      </c>
      <c r="J413" s="3">
        <v>15971.78409090909</v>
      </c>
      <c r="K413" s="3">
        <v>35176.797727272715</v>
      </c>
      <c r="L413" s="3">
        <v>4803.5522727272737</v>
      </c>
      <c r="M413" s="3">
        <v>7598.3668181818175</v>
      </c>
      <c r="N413" s="3">
        <v>16704.547272727275</v>
      </c>
      <c r="O413" s="3">
        <v>10016.259090909092</v>
      </c>
      <c r="P413" s="3">
        <v>7463.7000000000007</v>
      </c>
      <c r="Q413" s="3">
        <v>30352.467727272728</v>
      </c>
      <c r="R413" s="3">
        <v>476.49999999999994</v>
      </c>
    </row>
    <row r="414" spans="1:18">
      <c r="A414" s="2">
        <v>45323</v>
      </c>
      <c r="B414" s="3">
        <v>1264.7238095238097</v>
      </c>
      <c r="C414" s="3">
        <v>1118847.8804761905</v>
      </c>
      <c r="D414" s="3">
        <v>128980.08904761907</v>
      </c>
      <c r="E414" s="3">
        <v>6169.9595238095235</v>
      </c>
      <c r="F414" s="3">
        <v>407.60619047619053</v>
      </c>
      <c r="G414" s="3">
        <v>57212.793333333342</v>
      </c>
      <c r="H414" s="3">
        <v>3224.4623809523814</v>
      </c>
      <c r="I414" s="3">
        <v>2886.9798238095236</v>
      </c>
      <c r="J414" s="3">
        <v>16140.913333333334</v>
      </c>
      <c r="K414" s="3">
        <v>37805.512857142858</v>
      </c>
      <c r="L414" s="3">
        <v>5011.6571428571424</v>
      </c>
      <c r="M414" s="3">
        <v>7638.8238095238094</v>
      </c>
      <c r="N414" s="3">
        <v>17137.254761904762</v>
      </c>
      <c r="O414" s="3">
        <v>10001.580952380951</v>
      </c>
      <c r="P414" s="3">
        <v>7754.8852380952394</v>
      </c>
      <c r="Q414" s="3">
        <v>31663.62857142857</v>
      </c>
      <c r="R414" s="3">
        <v>489.44190476190477</v>
      </c>
    </row>
    <row r="415" spans="1:18">
      <c r="A415" s="2">
        <v>45352</v>
      </c>
      <c r="B415" s="3">
        <v>1306.9123809523808</v>
      </c>
      <c r="C415" s="3">
        <v>1104552.0928571429</v>
      </c>
      <c r="D415" s="3">
        <v>127744.75571428574</v>
      </c>
      <c r="E415" s="3">
        <v>6463.8366666666652</v>
      </c>
      <c r="F415" s="3">
        <v>408.27523809523802</v>
      </c>
      <c r="G415" s="3">
        <v>56066.106190476188</v>
      </c>
      <c r="H415" s="3">
        <v>3299.1433333333339</v>
      </c>
      <c r="I415" s="3">
        <v>3044.9445428571426</v>
      </c>
      <c r="J415" s="3">
        <v>16597.853333333336</v>
      </c>
      <c r="K415" s="3">
        <v>39851.867619047618</v>
      </c>
      <c r="L415" s="3">
        <v>5174.5619047619039</v>
      </c>
      <c r="M415" s="3">
        <v>7778.9395238095231</v>
      </c>
      <c r="N415" s="3">
        <v>18023.970476190476</v>
      </c>
      <c r="O415" s="3">
        <v>10595.385714285714</v>
      </c>
      <c r="P415" s="3">
        <v>8104.1880952380961</v>
      </c>
      <c r="Q415" s="3">
        <v>33934.051428571431</v>
      </c>
      <c r="R415" s="3">
        <v>505.44095238095241</v>
      </c>
    </row>
    <row r="416" spans="1:18">
      <c r="A416" s="2">
        <v>45383</v>
      </c>
      <c r="B416" s="3">
        <v>1370.4322727272727</v>
      </c>
      <c r="C416" s="3">
        <v>1230270.1377272727</v>
      </c>
      <c r="D416" s="3">
        <v>126333.99545454545</v>
      </c>
      <c r="E416" s="3">
        <v>6517.3318181818177</v>
      </c>
      <c r="F416" s="3">
        <v>406.26681818181822</v>
      </c>
      <c r="G416" s="3">
        <v>56918.992272727279</v>
      </c>
      <c r="H416" s="3">
        <v>3436.3859090909095</v>
      </c>
      <c r="I416" s="3">
        <v>3058.3172499999996</v>
      </c>
      <c r="J416" s="3">
        <v>16857.394090909092</v>
      </c>
      <c r="K416" s="3">
        <v>38713.435909090906</v>
      </c>
      <c r="L416" s="3">
        <v>5112.4927272727282</v>
      </c>
      <c r="M416" s="3">
        <v>7977.1245454545451</v>
      </c>
      <c r="N416" s="3">
        <v>18066.035909090911</v>
      </c>
      <c r="O416" s="3">
        <v>10879.881818181819</v>
      </c>
      <c r="P416" s="3">
        <v>8061.2836363636343</v>
      </c>
      <c r="Q416" s="3">
        <v>34053.570909090908</v>
      </c>
      <c r="R416" s="3">
        <v>505.48818181818183</v>
      </c>
    </row>
    <row r="417" spans="1:21">
      <c r="A417" s="2">
        <v>45413</v>
      </c>
      <c r="B417" s="3">
        <v>1400.7069565217391</v>
      </c>
      <c r="C417" s="3">
        <v>1490848.2678260868</v>
      </c>
      <c r="D417" s="3">
        <v>126576.85304347824</v>
      </c>
      <c r="E417" s="3">
        <v>6664.4391304347828</v>
      </c>
      <c r="F417" s="3">
        <v>411.84826086956531</v>
      </c>
      <c r="G417" s="3">
        <v>56666.923478260869</v>
      </c>
      <c r="H417" s="3">
        <v>3413.599565217391</v>
      </c>
      <c r="I417" s="3">
        <v>3128.1058782608698</v>
      </c>
      <c r="J417" s="3">
        <v>18759.875217391298</v>
      </c>
      <c r="K417" s="3">
        <v>38529.958260869564</v>
      </c>
      <c r="L417" s="3">
        <v>5238.2469565217389</v>
      </c>
      <c r="M417" s="3">
        <v>8325.221739130433</v>
      </c>
      <c r="N417" s="3">
        <v>18549.817391304347</v>
      </c>
      <c r="O417" s="3">
        <v>11184.195652173914</v>
      </c>
      <c r="P417" s="3">
        <v>8096.6204347826097</v>
      </c>
      <c r="Q417" s="3">
        <v>34521.381739130433</v>
      </c>
      <c r="R417" s="3">
        <v>517.47521739130434</v>
      </c>
    </row>
    <row r="418" spans="1:21">
      <c r="A418" s="2">
        <v>45444</v>
      </c>
      <c r="B418" s="3">
        <v>1387.4644999999998</v>
      </c>
      <c r="C418" s="3">
        <v>1576609.2325000004</v>
      </c>
      <c r="D418" s="3">
        <v>121355.40849999999</v>
      </c>
      <c r="E418" s="3">
        <v>6547.3720000000012</v>
      </c>
      <c r="F418" s="3">
        <v>415.56099999999981</v>
      </c>
      <c r="G418" s="3">
        <v>52915.194000000003</v>
      </c>
      <c r="H418" s="3">
        <v>3201.8015000000014</v>
      </c>
      <c r="I418" s="3">
        <v>3019.0071750000002</v>
      </c>
      <c r="J418" s="3">
        <v>18146.146000000001</v>
      </c>
      <c r="K418" s="3">
        <v>38858.853999999999</v>
      </c>
      <c r="L418" s="3">
        <v>5418.7349999999988</v>
      </c>
      <c r="M418" s="3">
        <v>8216.097499999998</v>
      </c>
      <c r="N418" s="3">
        <v>18317.665000000001</v>
      </c>
      <c r="O418" s="3">
        <v>11160.76</v>
      </c>
      <c r="P418" s="3">
        <v>7740.1265000000003</v>
      </c>
      <c r="Q418" s="3">
        <v>33792.599000000002</v>
      </c>
      <c r="R418" s="3">
        <v>517.29150000000004</v>
      </c>
      <c r="U418" s="26" t="s">
        <v>105</v>
      </c>
    </row>
    <row r="419" spans="1:21">
      <c r="A419" s="2">
        <v>45474</v>
      </c>
      <c r="B419" s="3">
        <v>1366.7978260869565</v>
      </c>
      <c r="C419" s="3">
        <v>1582228.4643478259</v>
      </c>
      <c r="D419" s="3">
        <v>127125.09999999999</v>
      </c>
      <c r="E419" s="3">
        <v>6507.1247826086956</v>
      </c>
      <c r="F419" s="3">
        <v>414.62130434782614</v>
      </c>
      <c r="G419" s="3">
        <v>53314.225652173911</v>
      </c>
      <c r="H419" s="3">
        <v>3215.9100000000017</v>
      </c>
      <c r="I419" s="3">
        <v>2947.2246217391298</v>
      </c>
      <c r="J419" s="3">
        <v>17593.335652173915</v>
      </c>
      <c r="K419" s="3">
        <v>40150.227826086957</v>
      </c>
      <c r="L419" s="3">
        <v>5537.9617391304355</v>
      </c>
      <c r="M419" s="3">
        <v>8205.6478260869571</v>
      </c>
      <c r="N419" s="3">
        <v>18414.577826086959</v>
      </c>
      <c r="O419" s="3">
        <v>11102.9</v>
      </c>
      <c r="P419" s="3">
        <v>7573.8252173913052</v>
      </c>
      <c r="Q419" s="3">
        <v>34119.260869565216</v>
      </c>
      <c r="R419" s="3">
        <v>514.95347826086959</v>
      </c>
    </row>
    <row r="420" spans="1:21">
      <c r="A420" s="2">
        <v>45505</v>
      </c>
      <c r="B420" s="3">
        <v>1333.9877272727272</v>
      </c>
      <c r="C420" s="3">
        <v>1581154.5336363637</v>
      </c>
      <c r="D420" s="3">
        <v>132667.17363636364</v>
      </c>
      <c r="E420" s="3">
        <v>6375.863636363636</v>
      </c>
      <c r="F420" s="3">
        <v>420.5704545454546</v>
      </c>
      <c r="G420" s="3">
        <v>53098.866881363654</v>
      </c>
      <c r="H420" s="3">
        <v>3215.9100000000017</v>
      </c>
      <c r="I420" s="3">
        <v>2864.922118181818</v>
      </c>
      <c r="J420" s="3">
        <v>17330.020909090908</v>
      </c>
      <c r="K420" s="3">
        <v>36789.292272727274</v>
      </c>
      <c r="L420" s="3">
        <v>5478.2145454545462</v>
      </c>
      <c r="M420" s="3">
        <v>8257.3209090909095</v>
      </c>
      <c r="N420" s="3">
        <v>18165.501818181816</v>
      </c>
      <c r="O420" s="3">
        <v>10932.699999999999</v>
      </c>
      <c r="P420" s="3">
        <v>7410.761363636364</v>
      </c>
      <c r="Q420" s="3">
        <v>32759.461363636376</v>
      </c>
      <c r="R420" s="3">
        <v>508.39499999999992</v>
      </c>
    </row>
    <row r="421" spans="1:21">
      <c r="A421" s="2">
        <v>45536</v>
      </c>
      <c r="B421" s="3">
        <v>1324.0347619047623</v>
      </c>
      <c r="C421" s="3">
        <v>1769567.9061904759</v>
      </c>
      <c r="D421" s="3">
        <v>133760.54809523807</v>
      </c>
      <c r="E421" s="3">
        <v>6368.5790476190468</v>
      </c>
      <c r="F421" s="3">
        <v>426.74523809523799</v>
      </c>
      <c r="G421" s="3">
        <v>52193.118571428568</v>
      </c>
      <c r="H421" s="3">
        <v>3215.9100000000012</v>
      </c>
      <c r="I421" s="3">
        <v>2814.6535428571424</v>
      </c>
      <c r="J421" s="3">
        <v>18139.04095238095</v>
      </c>
      <c r="K421" s="3">
        <v>37292.711904761913</v>
      </c>
      <c r="L421" s="3">
        <v>5622.5528571428558</v>
      </c>
      <c r="M421" s="3">
        <v>8266.3990476190502</v>
      </c>
      <c r="N421" s="3">
        <v>18761.793333333331</v>
      </c>
      <c r="O421" s="3">
        <v>11559.852380952381</v>
      </c>
      <c r="P421" s="3">
        <v>7522.9276190476194</v>
      </c>
      <c r="Q421" s="3">
        <v>33777.106666666674</v>
      </c>
      <c r="R421" s="3">
        <v>516.54619047619042</v>
      </c>
    </row>
    <row r="422" spans="1:21">
      <c r="A422" s="2">
        <v>45566</v>
      </c>
      <c r="B422" s="3">
        <v>1328.3465217391301</v>
      </c>
      <c r="C422" s="3">
        <v>1794353.7295652172</v>
      </c>
      <c r="D422" s="3">
        <v>130878.36217391305</v>
      </c>
      <c r="E422" s="3">
        <v>6577.532608695652</v>
      </c>
      <c r="F422" s="3">
        <v>435.40695652173906</v>
      </c>
      <c r="G422" s="3">
        <v>52053.645652173909</v>
      </c>
      <c r="H422" s="3">
        <v>3215.9100000000017</v>
      </c>
      <c r="I422" s="3">
        <v>3289.6392478260868</v>
      </c>
      <c r="J422" s="3">
        <v>20999.699130434787</v>
      </c>
      <c r="K422" s="3">
        <v>38876.930869565222</v>
      </c>
      <c r="L422" s="3">
        <v>5792.3195652173899</v>
      </c>
      <c r="M422" s="3">
        <v>8267.4347826086978</v>
      </c>
      <c r="N422" s="3">
        <v>19334.973478260868</v>
      </c>
      <c r="O422" s="3">
        <v>11783.330434782607</v>
      </c>
      <c r="P422" s="3">
        <v>7529.431739130433</v>
      </c>
      <c r="Q422" s="3">
        <v>34383.779999999992</v>
      </c>
      <c r="R422" s="3">
        <v>519.23260869565206</v>
      </c>
    </row>
    <row r="423" spans="1:21">
      <c r="A423" s="2">
        <v>45597</v>
      </c>
      <c r="B423" s="3">
        <v>1367.2390476190481</v>
      </c>
      <c r="C423" s="3">
        <v>2082782.2757142861</v>
      </c>
      <c r="D423" s="3">
        <v>128245.40238095239</v>
      </c>
      <c r="E423" s="3">
        <v>6554.9957142857147</v>
      </c>
      <c r="F423" s="3">
        <v>446.42666666666673</v>
      </c>
      <c r="G423" s="3">
        <v>50641.793333333328</v>
      </c>
      <c r="H423" s="3">
        <v>3215.9100000000012</v>
      </c>
      <c r="I423" s="3">
        <v>3354.7021095238097</v>
      </c>
      <c r="J423" s="3">
        <v>19892.404761904763</v>
      </c>
      <c r="K423" s="3">
        <v>38617.438571428567</v>
      </c>
      <c r="L423" s="3">
        <v>5933.1933333333336</v>
      </c>
      <c r="M423" s="3">
        <v>8158.476190476189</v>
      </c>
      <c r="N423" s="3">
        <v>19236.876666666667</v>
      </c>
      <c r="O423" s="3">
        <v>11614.466666666665</v>
      </c>
      <c r="P423" s="3">
        <v>7283.7138095238079</v>
      </c>
      <c r="Q423" s="3">
        <v>33766.492857142854</v>
      </c>
      <c r="R423" s="3">
        <v>506.25904761904758</v>
      </c>
    </row>
    <row r="424" spans="1:21">
      <c r="A424" s="2">
        <v>45627</v>
      </c>
      <c r="B424" s="3">
        <v>1381.0050000000001</v>
      </c>
      <c r="C424" s="3">
        <v>2409772.9122727271</v>
      </c>
      <c r="D424" s="3">
        <v>123794.76318181817</v>
      </c>
      <c r="E424" s="3">
        <v>6700.8749999999991</v>
      </c>
      <c r="F424" s="3">
        <v>455.16954545454536</v>
      </c>
      <c r="G424" s="3">
        <v>50399.319545454549</v>
      </c>
      <c r="H424" s="3">
        <v>3215.9100000000017</v>
      </c>
      <c r="I424" s="3">
        <v>3388.8637590909102</v>
      </c>
      <c r="J424" s="3">
        <v>19950.801363636358</v>
      </c>
      <c r="K424" s="3">
        <v>39324.145909090912</v>
      </c>
      <c r="L424" s="3">
        <v>6012.2327272727271</v>
      </c>
      <c r="M424" s="3">
        <v>8228.0018181818159</v>
      </c>
      <c r="N424" s="3">
        <v>20122.155909090914</v>
      </c>
      <c r="O424" s="3">
        <v>11701.227272727272</v>
      </c>
      <c r="P424" s="3">
        <v>7342.1886363636349</v>
      </c>
      <c r="Q424" s="3">
        <v>34219.8590909091</v>
      </c>
      <c r="R424" s="3">
        <v>512.21181818181822</v>
      </c>
    </row>
    <row r="425" spans="1:21">
      <c r="A425" s="2">
        <v>45658</v>
      </c>
      <c r="B425" s="3">
        <v>1421.6877272727274</v>
      </c>
      <c r="C425" s="3">
        <v>2650508.7995454539</v>
      </c>
      <c r="D425" s="3">
        <v>121915.29454545453</v>
      </c>
      <c r="E425" s="3">
        <v>6932.4472727272723</v>
      </c>
      <c r="F425" s="3">
        <v>471.87863636363619</v>
      </c>
      <c r="G425" s="3">
        <v>50417.891818181815</v>
      </c>
      <c r="H425" s="3">
        <v>3215.9100000000017</v>
      </c>
      <c r="I425" s="3">
        <v>3230.1693045454549</v>
      </c>
      <c r="J425" s="3">
        <v>19693.977727272726</v>
      </c>
      <c r="K425" s="3">
        <v>39347.309545454547</v>
      </c>
      <c r="L425" s="3">
        <v>5977.5100000000011</v>
      </c>
      <c r="M425" s="3">
        <v>8409.9972727272743</v>
      </c>
      <c r="N425" s="3">
        <v>20808.61590909091</v>
      </c>
      <c r="O425" s="3">
        <v>11928.031818181822</v>
      </c>
      <c r="P425" s="3">
        <v>7653.0213636363633</v>
      </c>
      <c r="Q425" s="3">
        <v>35608.03727272727</v>
      </c>
      <c r="R425" s="3">
        <v>521.61045454545467</v>
      </c>
    </row>
    <row r="426" spans="1:21">
      <c r="A426" s="2">
        <v>45689</v>
      </c>
      <c r="B426" s="3">
        <v>1572.521</v>
      </c>
      <c r="C426" s="3">
        <v>2361265.4029999999</v>
      </c>
      <c r="D426" s="3">
        <v>125995.37299999999</v>
      </c>
      <c r="E426" s="3">
        <v>7304.9080000000004</v>
      </c>
      <c r="F426" s="3">
        <v>482.16399999999993</v>
      </c>
      <c r="G426" s="3">
        <v>53237.581999999995</v>
      </c>
      <c r="H426" s="3">
        <v>3215.9100000000012</v>
      </c>
      <c r="I426" s="3">
        <v>3327.0415349999994</v>
      </c>
      <c r="J426" s="3">
        <v>22207.714</v>
      </c>
      <c r="K426" s="3">
        <v>38740.671999999999</v>
      </c>
      <c r="L426" s="3">
        <v>6042.4869999999992</v>
      </c>
      <c r="M426" s="3">
        <v>8712.4954999999991</v>
      </c>
      <c r="N426" s="3">
        <v>22242.169500000004</v>
      </c>
      <c r="O426" s="3">
        <v>12895.574999999999</v>
      </c>
      <c r="P426" s="3">
        <v>8066.8530000000001</v>
      </c>
      <c r="Q426" s="3">
        <v>37876.407999999996</v>
      </c>
      <c r="R426" s="3">
        <v>549.75950000000012</v>
      </c>
    </row>
    <row r="427" spans="1:21">
      <c r="A427" s="2">
        <v>45717</v>
      </c>
      <c r="B427" s="3">
        <v>1602.4980952380952</v>
      </c>
      <c r="C427" s="3">
        <v>2318368.7047619051</v>
      </c>
      <c r="D427" s="3">
        <v>128278.94238095239</v>
      </c>
      <c r="E427" s="3">
        <v>7504.6857142857125</v>
      </c>
      <c r="F427" s="3">
        <v>481.21761904761905</v>
      </c>
      <c r="G427" s="3">
        <v>52589.689523809524</v>
      </c>
      <c r="H427" s="3">
        <v>3215.9100000000012</v>
      </c>
      <c r="I427" s="3">
        <v>3374.216609523809</v>
      </c>
      <c r="J427" s="3">
        <v>23769.375714285714</v>
      </c>
      <c r="K427" s="3">
        <v>37332.739523809527</v>
      </c>
      <c r="L427" s="3">
        <v>5683.9833333333327</v>
      </c>
      <c r="M427" s="3">
        <v>8661.9561904761904</v>
      </c>
      <c r="N427" s="3">
        <v>22856.321904761906</v>
      </c>
      <c r="O427" s="3">
        <v>13208.295238095241</v>
      </c>
      <c r="P427" s="3">
        <v>8049.5466666666644</v>
      </c>
      <c r="Q427" s="3">
        <v>38732.493809523803</v>
      </c>
      <c r="R427" s="3">
        <v>548.89333333333332</v>
      </c>
    </row>
    <row r="428" spans="1:21">
      <c r="A428" s="2">
        <v>45748</v>
      </c>
      <c r="B428" s="3">
        <v>1615.5104545454546</v>
      </c>
      <c r="C428" s="3">
        <v>2190276.2572727273</v>
      </c>
      <c r="D428" s="3">
        <v>130237.71045454543</v>
      </c>
      <c r="E428" s="3">
        <v>7703.3513636363641</v>
      </c>
      <c r="F428" s="3">
        <v>485.12136363636364</v>
      </c>
      <c r="G428" s="3">
        <v>53606.607727272713</v>
      </c>
      <c r="H428" s="3">
        <v>3215.9100000000017</v>
      </c>
      <c r="I428" s="3">
        <v>3271.4053499999995</v>
      </c>
      <c r="J428" s="3">
        <v>21621.678181818181</v>
      </c>
      <c r="K428" s="3">
        <v>34411.009545454552</v>
      </c>
      <c r="L428" s="3">
        <v>5365.5504545454542</v>
      </c>
      <c r="M428" s="3">
        <v>8243.5763636363627</v>
      </c>
      <c r="N428" s="3">
        <v>21357.344999999998</v>
      </c>
      <c r="O428" s="3">
        <v>12843.313636363637</v>
      </c>
      <c r="P428" s="3">
        <v>7368.0881818181815</v>
      </c>
      <c r="Q428" s="3">
        <v>35938.440909090918</v>
      </c>
      <c r="R428" s="3">
        <v>507.90272727272736</v>
      </c>
    </row>
    <row r="429" spans="1:21">
      <c r="A429" s="2">
        <v>45778</v>
      </c>
      <c r="B429" s="3">
        <v>1650.4954545454543</v>
      </c>
      <c r="C429" s="3">
        <v>2247617.3786363639</v>
      </c>
      <c r="D429" s="3">
        <v>137303.1722727273</v>
      </c>
      <c r="E429" s="3">
        <v>8269.2622727272737</v>
      </c>
      <c r="F429" s="3">
        <v>491.57136363636351</v>
      </c>
      <c r="G429" s="3">
        <v>57648.501363636366</v>
      </c>
      <c r="H429" s="3">
        <v>3215.9100000000017</v>
      </c>
      <c r="I429" s="3">
        <v>3349.4908772727272</v>
      </c>
      <c r="J429" s="3">
        <v>23181.679090909092</v>
      </c>
      <c r="K429" s="3">
        <v>37430.474090909091</v>
      </c>
      <c r="L429" s="3">
        <v>5810.5513636363648</v>
      </c>
      <c r="M429" s="3">
        <v>8658.130000000001</v>
      </c>
      <c r="N429" s="3">
        <v>23649.372727272726</v>
      </c>
      <c r="O429" s="3">
        <v>13886.495454545455</v>
      </c>
      <c r="P429" s="3">
        <v>7793.8690909090919</v>
      </c>
      <c r="Q429" s="3">
        <v>39652.15818181818</v>
      </c>
      <c r="R429" s="3">
        <v>544.36454545454535</v>
      </c>
    </row>
    <row r="430" spans="1:21">
      <c r="A430" s="2">
        <v>45809</v>
      </c>
      <c r="B430" s="3">
        <v>1651.2904761904761</v>
      </c>
      <c r="C430" s="3">
        <v>2102784.2271428569</v>
      </c>
      <c r="D430" s="3">
        <v>137281.45428571428</v>
      </c>
      <c r="E430" s="3">
        <v>8157.1733333333323</v>
      </c>
      <c r="F430" s="3">
        <v>490.12380952380937</v>
      </c>
      <c r="G430" s="3">
        <v>57260.69999999999</v>
      </c>
      <c r="H430" s="3">
        <v>3215.9100000000012</v>
      </c>
      <c r="I430" s="3">
        <v>3394.4692</v>
      </c>
      <c r="J430" s="3">
        <v>23914.575238095236</v>
      </c>
      <c r="K430" s="3">
        <v>38458.281428571427</v>
      </c>
      <c r="L430" s="3">
        <v>6027.614285714285</v>
      </c>
      <c r="M430" s="3">
        <v>8807.0095238095237</v>
      </c>
      <c r="N430" s="3">
        <v>23770.753809523812</v>
      </c>
      <c r="O430" s="3">
        <v>14023.49523809524</v>
      </c>
      <c r="P430" s="3">
        <v>7694.0014285714269</v>
      </c>
      <c r="Q430" s="3">
        <v>39751.708571428564</v>
      </c>
      <c r="R430" s="3">
        <v>544.90666666666664</v>
      </c>
    </row>
    <row r="431" spans="1:21">
      <c r="A431" s="2">
        <v>45839</v>
      </c>
      <c r="B431" s="3">
        <v>1712.5013043478261</v>
      </c>
      <c r="C431" s="3">
        <v>2111192.716521739</v>
      </c>
      <c r="D431" s="3">
        <v>135992.18695652173</v>
      </c>
      <c r="E431" s="3">
        <v>8205.1478260869571</v>
      </c>
      <c r="F431" s="3">
        <v>491.2695652173914</v>
      </c>
      <c r="G431" s="3">
        <v>56995.185217391314</v>
      </c>
      <c r="H431" s="3">
        <v>3215.9100000000017</v>
      </c>
      <c r="I431" s="3">
        <v>3531.7025999999996</v>
      </c>
      <c r="J431" s="3">
        <v>24642.011739130434</v>
      </c>
      <c r="K431" s="3">
        <v>40157.65217391304</v>
      </c>
      <c r="L431" s="3">
        <v>6295.7526086956523</v>
      </c>
      <c r="M431" s="3">
        <v>8970.5569565217374</v>
      </c>
      <c r="N431" s="3">
        <v>24140.754782608696</v>
      </c>
      <c r="O431" s="3">
        <v>14109.021739130434</v>
      </c>
      <c r="P431" s="3">
        <v>7792.6626086956503</v>
      </c>
      <c r="Q431" s="3">
        <v>40334.527391304342</v>
      </c>
      <c r="R431" s="3">
        <v>546.59608695652173</v>
      </c>
    </row>
    <row r="432" spans="1:21">
      <c r="A432" s="2">
        <v>45870</v>
      </c>
      <c r="B432" s="3">
        <v>1823.4890476190474</v>
      </c>
      <c r="C432" s="3">
        <v>2183398.0823809528</v>
      </c>
      <c r="D432" s="3">
        <v>136420.58380952384</v>
      </c>
      <c r="E432" s="3">
        <v>8634.8247619047615</v>
      </c>
      <c r="F432" s="3">
        <v>505.68952380952368</v>
      </c>
      <c r="G432" s="3">
        <v>58196.018571428569</v>
      </c>
      <c r="H432" s="3">
        <v>3215.9100000000012</v>
      </c>
      <c r="I432" s="3">
        <v>3719.1424857142861</v>
      </c>
      <c r="J432" s="3">
        <v>25134.137619047619</v>
      </c>
      <c r="K432" s="3">
        <v>42277.027619047622</v>
      </c>
      <c r="L432" s="3">
        <v>6408.9495238095224</v>
      </c>
      <c r="M432" s="3">
        <v>9189.1366666666672</v>
      </c>
      <c r="N432" s="3">
        <v>24115.406190476195</v>
      </c>
      <c r="O432" s="3">
        <v>14959.628571428571</v>
      </c>
      <c r="P432" s="3">
        <v>7783.08</v>
      </c>
      <c r="Q432" s="3">
        <v>42102.402380952364</v>
      </c>
      <c r="R432" s="3">
        <v>550.84714285714279</v>
      </c>
    </row>
    <row r="433" spans="1:18">
      <c r="A433" s="2">
        <v>45901</v>
      </c>
      <c r="B433" s="3">
        <v>1856.403181818182</v>
      </c>
      <c r="C433" s="3">
        <v>1817467.9209090904</v>
      </c>
      <c r="D433" s="3">
        <v>143737.06272727274</v>
      </c>
      <c r="E433" s="3">
        <v>9051.6799999999985</v>
      </c>
      <c r="F433" s="3">
        <v>527.34</v>
      </c>
      <c r="G433" s="3">
        <v>61280.164545454558</v>
      </c>
      <c r="H433" s="3">
        <v>3215.9100000000017</v>
      </c>
      <c r="I433" s="3">
        <v>3840.8680136363637</v>
      </c>
      <c r="J433" s="3">
        <v>26144.423181818183</v>
      </c>
      <c r="K433" s="3">
        <v>44301.478181818195</v>
      </c>
      <c r="L433" s="3">
        <v>6578.3927272727278</v>
      </c>
      <c r="M433" s="3">
        <v>9234.6218181818167</v>
      </c>
      <c r="N433" s="3">
        <v>23659.254090909093</v>
      </c>
      <c r="O433" s="3">
        <v>15133.077272727272</v>
      </c>
      <c r="P433" s="3">
        <v>7796.9404545454545</v>
      </c>
      <c r="Q433" s="3">
        <v>42269.80909090909</v>
      </c>
      <c r="R433" s="3">
        <v>552.54363636363644</v>
      </c>
    </row>
    <row r="434" spans="1:18">
      <c r="A434" s="2">
        <v>45931</v>
      </c>
      <c r="B434" s="3">
        <v>1907.9282608695655</v>
      </c>
      <c r="C434" s="3">
        <v>2097773.231304348</v>
      </c>
      <c r="D434" s="3">
        <v>144415.07608695654</v>
      </c>
      <c r="E434" s="3">
        <v>9053.9143478260848</v>
      </c>
      <c r="F434" s="3">
        <v>536.88304347826102</v>
      </c>
      <c r="G434" s="3">
        <v>61602.918695652181</v>
      </c>
      <c r="H434" s="3">
        <v>3215.9100000000017</v>
      </c>
      <c r="I434" s="3">
        <v>3915.6731739130423</v>
      </c>
      <c r="J434" s="3">
        <v>26285.223913043479</v>
      </c>
      <c r="K434" s="3">
        <v>48502.275652173914</v>
      </c>
      <c r="L434" s="3">
        <v>6735.6917391304351</v>
      </c>
      <c r="M434" s="3">
        <v>9525.16</v>
      </c>
      <c r="N434" s="3">
        <v>24261.511304347827</v>
      </c>
      <c r="O434" s="3">
        <v>15727.369565217388</v>
      </c>
      <c r="P434" s="3">
        <v>8105.3530434782606</v>
      </c>
      <c r="Q434" s="3">
        <v>42696.430869565222</v>
      </c>
      <c r="R434" s="3">
        <v>570.91608695652167</v>
      </c>
    </row>
    <row r="435" spans="1:18">
      <c r="A435" s="2">
        <v>45962</v>
      </c>
      <c r="B435" s="3">
        <v>2048.6420000000003</v>
      </c>
      <c r="C435" s="3">
        <v>2942169.4964999999</v>
      </c>
      <c r="D435" s="3">
        <v>155680.80099999998</v>
      </c>
      <c r="E435" s="3">
        <v>9754.2304999999978</v>
      </c>
      <c r="F435" s="3">
        <v>550.41250000000002</v>
      </c>
      <c r="G435" s="3">
        <v>62778.544999999998</v>
      </c>
      <c r="H435" s="3">
        <v>3215.9100000000012</v>
      </c>
      <c r="I435" s="3">
        <v>3945.6059450000007</v>
      </c>
      <c r="J435" s="3">
        <v>26161.604500000005</v>
      </c>
      <c r="K435" s="3">
        <v>50151.855499999998</v>
      </c>
      <c r="L435" s="3">
        <v>6744.4719999999998</v>
      </c>
      <c r="M435" s="3">
        <v>9688.4470000000001</v>
      </c>
      <c r="N435" s="3">
        <v>23706.119499999993</v>
      </c>
      <c r="O435" s="3">
        <v>16160.224999999997</v>
      </c>
      <c r="P435" s="3">
        <v>8066.5289999999995</v>
      </c>
      <c r="Q435" s="3">
        <v>43366.409500000002</v>
      </c>
      <c r="R435" s="3">
        <v>570.89650000000006</v>
      </c>
    </row>
    <row r="436" spans="1:18">
      <c r="A436" s="2">
        <v>45992</v>
      </c>
      <c r="B436" s="3">
        <v>2089.211739130435</v>
      </c>
      <c r="C436" s="3">
        <v>3068502.4365217388</v>
      </c>
      <c r="D436" s="3">
        <v>159844.02043478264</v>
      </c>
      <c r="E436" s="3">
        <v>10298.385652173911</v>
      </c>
      <c r="F436" s="3">
        <v>560.85260869565218</v>
      </c>
      <c r="G436" s="3">
        <v>64227.949130434776</v>
      </c>
      <c r="H436" s="3">
        <v>3215.9100000000017</v>
      </c>
      <c r="I436" s="3">
        <v>3908.5100086956518</v>
      </c>
      <c r="J436" s="3">
        <v>25731.847391304353</v>
      </c>
      <c r="K436" s="3">
        <v>50170.118260869567</v>
      </c>
      <c r="L436" s="3">
        <v>6856.4613043478239</v>
      </c>
      <c r="M436" s="3">
        <v>9774.8069565217393</v>
      </c>
      <c r="N436" s="3">
        <v>24150.239130434784</v>
      </c>
      <c r="O436" s="3">
        <v>16945.713043478263</v>
      </c>
      <c r="P436" s="3">
        <v>8105.1413043478251</v>
      </c>
      <c r="Q436" s="3">
        <v>44061.22478260869</v>
      </c>
      <c r="R436" s="3">
        <v>583.03521739130451</v>
      </c>
    </row>
    <row r="437" spans="1:18">
      <c r="A437" s="2">
        <v>46023</v>
      </c>
      <c r="B437" s="3">
        <v>2329.9585714285718</v>
      </c>
      <c r="C437" s="3">
        <v>3073817.5861904756</v>
      </c>
      <c r="D437" s="3">
        <v>169629.10857142857</v>
      </c>
      <c r="E437" s="3">
        <v>11184.135714285714</v>
      </c>
      <c r="F437" s="3">
        <v>603.98857142857139</v>
      </c>
      <c r="G437" s="3">
        <v>67108.335238095213</v>
      </c>
      <c r="H437" s="3">
        <v>3215.9100000000012</v>
      </c>
      <c r="I437" s="3">
        <v>4110.1315333333341</v>
      </c>
      <c r="J437" s="3">
        <v>26788.193809523811</v>
      </c>
      <c r="K437" s="3">
        <v>52892.7361904762</v>
      </c>
      <c r="L437" s="3">
        <v>6929.6404761904769</v>
      </c>
      <c r="M437" s="3">
        <v>10137.745714285715</v>
      </c>
      <c r="N437" s="3">
        <v>24954.870000000003</v>
      </c>
      <c r="O437" s="3">
        <v>17636.604761904764</v>
      </c>
      <c r="P437" s="3">
        <v>8198.8980952380953</v>
      </c>
      <c r="Q437" s="3">
        <v>45377.696666666663</v>
      </c>
      <c r="R437" s="3">
        <v>607.74428571428564</v>
      </c>
    </row>
    <row r="438" spans="1:18">
      <c r="A438" s="2">
        <v>46054</v>
      </c>
      <c r="B438" s="3">
        <v>2373.2884999999997</v>
      </c>
      <c r="C438" s="3">
        <v>2881678.6950000008</v>
      </c>
      <c r="D438" s="3">
        <v>187037.52549999996</v>
      </c>
      <c r="E438" s="3">
        <v>11081.945</v>
      </c>
      <c r="F438" s="3">
        <v>652.0575</v>
      </c>
      <c r="G438" s="3">
        <v>70683.349000000017</v>
      </c>
      <c r="H438" s="3">
        <v>3215.9100000000012</v>
      </c>
      <c r="I438" s="3">
        <v>4099.66561</v>
      </c>
      <c r="J438" s="3">
        <v>26783.291000000005</v>
      </c>
      <c r="K438" s="3">
        <v>56556.579499999993</v>
      </c>
      <c r="L438" s="3">
        <v>6890.9244999999992</v>
      </c>
      <c r="M438" s="3">
        <v>10537.869500000001</v>
      </c>
      <c r="N438" s="3">
        <v>24956.476500000004</v>
      </c>
      <c r="O438" s="3">
        <v>18097.945</v>
      </c>
      <c r="P438" s="3">
        <v>8377.4964999999993</v>
      </c>
      <c r="Q438" s="3">
        <v>46375.898499999996</v>
      </c>
      <c r="R438" s="3">
        <v>623.20199999999988</v>
      </c>
    </row>
    <row r="439" spans="1:18">
      <c r="A439" s="2">
        <v>46082</v>
      </c>
      <c r="B439" s="3">
        <v>2209.1604545454543</v>
      </c>
      <c r="C439" s="3">
        <v>2712002.060909091</v>
      </c>
      <c r="D439" s="3">
        <v>181973.7463636364</v>
      </c>
      <c r="E439" s="3">
        <v>10436.432727272726</v>
      </c>
      <c r="F439" s="3">
        <v>671.2713636363635</v>
      </c>
      <c r="G439" s="3">
        <v>66975.599090909105</v>
      </c>
      <c r="H439" s="3">
        <v>3215.9100000000017</v>
      </c>
      <c r="I439" s="3">
        <v>4027.4483499999992</v>
      </c>
      <c r="J439" s="3">
        <v>25420.035</v>
      </c>
      <c r="K439" s="3">
        <v>53937.975454545463</v>
      </c>
      <c r="L439" s="3">
        <v>6654.4190909090894</v>
      </c>
      <c r="M439" s="3">
        <v>10242.313636363637</v>
      </c>
      <c r="N439" s="3">
        <v>23296.235454545455</v>
      </c>
      <c r="O439" s="3">
        <v>17121.75909090909</v>
      </c>
      <c r="P439" s="3">
        <v>7924.8559090909102</v>
      </c>
      <c r="Q439" s="3">
        <v>44269.294999999998</v>
      </c>
      <c r="R439" s="3">
        <v>593.71136363636367</v>
      </c>
    </row>
    <row r="440" spans="1:18">
      <c r="A440" s="2">
        <v>46113</v>
      </c>
      <c r="B440" s="3">
        <v>2272.1059090909089</v>
      </c>
      <c r="C440" s="3">
        <v>2932291.8868181817</v>
      </c>
      <c r="D440" s="3">
        <v>192255.54227272727</v>
      </c>
      <c r="E440" s="3">
        <v>11025.999999999998</v>
      </c>
      <c r="F440" s="3">
        <v>690.72181818181821</v>
      </c>
      <c r="G440" s="3">
        <v>69094.629545454562</v>
      </c>
      <c r="H440" s="3">
        <v>3215.9100000000017</v>
      </c>
      <c r="I440" s="3">
        <v>4020.282795454546</v>
      </c>
      <c r="J440" s="3">
        <v>25806.047727272729</v>
      </c>
      <c r="K440" s="3">
        <v>57367.259090909087</v>
      </c>
      <c r="L440" s="3">
        <v>6939.9931818181803</v>
      </c>
      <c r="M440" s="3">
        <v>10477.731363636361</v>
      </c>
      <c r="N440" s="3">
        <v>23892.867727272725</v>
      </c>
      <c r="O440" s="3">
        <v>17912.831818181821</v>
      </c>
      <c r="P440" s="3">
        <v>8164.2731818181837</v>
      </c>
      <c r="Q440" s="3">
        <v>47363.684090909097</v>
      </c>
      <c r="R440" s="3">
        <v>609.98227272727286</v>
      </c>
    </row>
    <row r="441" spans="1:18">
      <c r="A441" s="2">
        <v>46143</v>
      </c>
      <c r="B441" s="3">
        <v>2137.6361904761907</v>
      </c>
      <c r="C441" s="3">
        <v>2850728.3538095234</v>
      </c>
      <c r="D441" s="3">
        <v>179578.95571428569</v>
      </c>
      <c r="E441" s="3">
        <v>10676.550476190479</v>
      </c>
      <c r="F441" s="3">
        <v>698.60857142857139</v>
      </c>
      <c r="G441" s="3">
        <v>68982.049047619046</v>
      </c>
      <c r="H441" s="3">
        <v>3215.9100000000012</v>
      </c>
      <c r="I441" s="3">
        <v>4145.9230476190478</v>
      </c>
      <c r="J441" s="3">
        <v>25873.271904761903</v>
      </c>
      <c r="K441" s="3">
        <v>62307.920952380955</v>
      </c>
      <c r="L441" s="3">
        <v>7415.4523809523807</v>
      </c>
      <c r="M441" s="3">
        <v>10362.777142857143</v>
      </c>
      <c r="N441" s="3">
        <v>24587.85761904762</v>
      </c>
      <c r="O441" s="3">
        <v>17929.095238095244</v>
      </c>
      <c r="P441" s="3">
        <v>8102.2057142857129</v>
      </c>
      <c r="Q441" s="3">
        <v>49252.761904761908</v>
      </c>
      <c r="R441" s="3">
        <v>617.0861904761905</v>
      </c>
    </row>
    <row r="442" spans="1:18">
      <c r="A442" s="2">
        <v>46174</v>
      </c>
      <c r="B442" s="3">
        <v>2311.7975000000001</v>
      </c>
      <c r="C442" s="3">
        <v>3219702.4980000006</v>
      </c>
      <c r="D442" s="3">
        <v>170441.45049999998</v>
      </c>
      <c r="E442" s="3">
        <v>10647.1075</v>
      </c>
      <c r="F442" s="3">
        <v>698.82</v>
      </c>
      <c r="G442" s="3">
        <v>67285.046999999991</v>
      </c>
      <c r="H442" s="3">
        <v>3215.9100000000012</v>
      </c>
      <c r="I442" s="3">
        <v>4064.4282000000007</v>
      </c>
      <c r="J442" s="3">
        <v>24382.375999999997</v>
      </c>
      <c r="K442" s="3">
        <v>68197.982499999998</v>
      </c>
      <c r="L442" s="3">
        <v>7450.7354999999998</v>
      </c>
      <c r="M442" s="3">
        <v>10398.335999999999</v>
      </c>
      <c r="N442" s="3">
        <v>24795.406999999996</v>
      </c>
      <c r="O442" s="3">
        <v>18828.249999999996</v>
      </c>
      <c r="P442" s="3">
        <v>8308.9414999999972</v>
      </c>
      <c r="Q442" s="3">
        <v>51243.528000000006</v>
      </c>
      <c r="R442" s="3">
        <v>629.79049999999995</v>
      </c>
    </row>
    <row r="443" spans="1:18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F0A2-EAD1-4346-8D0A-212D5829C4F6}">
  <dimension ref="A1:S441"/>
  <sheetViews>
    <sheetView showGridLines="0" workbookViewId="0">
      <pane xSplit="1" ySplit="4" topLeftCell="B422" activePane="bottomRight" state="frozen"/>
      <selection activeCell="G394" sqref="G394"/>
      <selection pane="topRight" activeCell="G394" sqref="G394"/>
      <selection pane="bottomLeft" activeCell="G394" sqref="G394"/>
      <selection pane="bottomRight" activeCell="B441" sqref="B441"/>
    </sheetView>
  </sheetViews>
  <sheetFormatPr baseColWidth="10" defaultRowHeight="14.4"/>
  <cols>
    <col min="1" max="1" width="8.44140625" customWidth="1"/>
    <col min="2" max="2" width="12.6640625" customWidth="1"/>
  </cols>
  <sheetData>
    <row r="1" spans="1:19">
      <c r="A1" t="s">
        <v>19</v>
      </c>
      <c r="B1" s="7" t="s">
        <v>21</v>
      </c>
      <c r="J1" s="6"/>
    </row>
    <row r="2" spans="1:19">
      <c r="A2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</row>
    <row r="3" spans="1:19">
      <c r="A3" s="5"/>
      <c r="B3" t="s">
        <v>22</v>
      </c>
      <c r="C3" t="s">
        <v>23</v>
      </c>
      <c r="E3" t="s">
        <v>24</v>
      </c>
      <c r="G3" t="s">
        <v>25</v>
      </c>
      <c r="J3" t="s">
        <v>26</v>
      </c>
      <c r="K3" t="s">
        <v>27</v>
      </c>
      <c r="M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</row>
    <row r="4" spans="1:19">
      <c r="A4" s="8" t="s">
        <v>17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</row>
    <row r="5" spans="1:19">
      <c r="A5" s="9">
        <v>32874</v>
      </c>
      <c r="B5" s="21">
        <v>51.759430685442197</v>
      </c>
      <c r="C5" s="21">
        <v>54.144145887811497</v>
      </c>
      <c r="D5" s="21">
        <v>54.736871201337202</v>
      </c>
      <c r="E5" s="21">
        <v>62.057369205063999</v>
      </c>
      <c r="F5" s="21">
        <v>63.097194664173003</v>
      </c>
      <c r="G5" s="21">
        <v>50.3502892081627</v>
      </c>
      <c r="H5" s="21">
        <v>56.120228753776203</v>
      </c>
      <c r="I5" s="21">
        <v>63.512114684303697</v>
      </c>
      <c r="J5" s="21">
        <v>72.922948209176397</v>
      </c>
      <c r="K5" s="21">
        <v>40.754622365087599</v>
      </c>
      <c r="L5" s="21">
        <v>49.090569719064497</v>
      </c>
      <c r="M5" s="21">
        <v>33.097763570143599</v>
      </c>
      <c r="N5" s="21">
        <v>47.460850241013702</v>
      </c>
      <c r="O5" s="21">
        <v>68.929708658065195</v>
      </c>
      <c r="P5" s="21">
        <v>46.818673151946697</v>
      </c>
      <c r="Q5" s="21"/>
      <c r="R5" s="21">
        <v>39.739662314507903</v>
      </c>
      <c r="S5" s="21">
        <v>51.172528469484803</v>
      </c>
    </row>
    <row r="6" spans="1:19">
      <c r="A6" s="9">
        <f>EDATE(A5,1)</f>
        <v>32905</v>
      </c>
      <c r="B6" s="21">
        <v>50.953822759852798</v>
      </c>
      <c r="C6" s="21">
        <v>53.162760974066401</v>
      </c>
      <c r="D6" s="21">
        <v>54.413589728594701</v>
      </c>
      <c r="E6" s="21">
        <v>61.237682843435799</v>
      </c>
      <c r="F6" s="21">
        <v>62.1365300149033</v>
      </c>
      <c r="G6" s="21">
        <v>51.117834700483002</v>
      </c>
      <c r="H6" s="21">
        <v>55.963686018324402</v>
      </c>
      <c r="I6" s="21">
        <v>62.881775482078297</v>
      </c>
      <c r="J6" s="21">
        <v>73.517506847141306</v>
      </c>
      <c r="K6" s="21">
        <v>40.843730593926097</v>
      </c>
      <c r="L6" s="21">
        <v>48.619792935389697</v>
      </c>
      <c r="M6" s="21">
        <v>33.701145738125199</v>
      </c>
      <c r="N6" s="21">
        <v>47.126342794525598</v>
      </c>
      <c r="O6" s="21">
        <v>69.387242276225393</v>
      </c>
      <c r="P6" s="21">
        <v>45.212693886347303</v>
      </c>
      <c r="Q6" s="21"/>
      <c r="R6" s="21">
        <v>39.739662314507903</v>
      </c>
      <c r="S6" s="21">
        <v>51.172528469484803</v>
      </c>
    </row>
    <row r="7" spans="1:19">
      <c r="A7" s="9">
        <f t="shared" ref="A7:A70" si="0">EDATE(A6,1)</f>
        <v>32933</v>
      </c>
      <c r="B7" s="21">
        <v>50.572467850251797</v>
      </c>
      <c r="C7" s="21">
        <v>52.980376673960301</v>
      </c>
      <c r="D7" s="21">
        <v>55.322647136255398</v>
      </c>
      <c r="E7" s="21">
        <v>61.597158518242203</v>
      </c>
      <c r="F7" s="21">
        <v>62.116516659351298</v>
      </c>
      <c r="G7" s="21">
        <v>55.749862463174701</v>
      </c>
      <c r="H7" s="21">
        <v>60.137796049963001</v>
      </c>
      <c r="I7" s="21">
        <v>63.290111631463503</v>
      </c>
      <c r="J7" s="21">
        <v>74.241924262128506</v>
      </c>
      <c r="K7" s="21">
        <v>42.548088982569197</v>
      </c>
      <c r="L7" s="21">
        <v>54.237131423826</v>
      </c>
      <c r="M7" s="21">
        <v>31.811295236131699</v>
      </c>
      <c r="N7" s="21">
        <v>51.932019201738697</v>
      </c>
      <c r="O7" s="21">
        <v>69.528583045143407</v>
      </c>
      <c r="P7" s="21">
        <v>42.690031923325598</v>
      </c>
      <c r="Q7" s="21"/>
      <c r="R7" s="21">
        <v>39.739662314507903</v>
      </c>
      <c r="S7" s="21">
        <v>51.172528469484803</v>
      </c>
    </row>
    <row r="8" spans="1:19">
      <c r="A8" s="9">
        <f t="shared" si="0"/>
        <v>32964</v>
      </c>
      <c r="B8" s="21">
        <v>50.241398233454198</v>
      </c>
      <c r="C8" s="21">
        <v>52.793393641626601</v>
      </c>
      <c r="D8" s="21">
        <v>56.316465699328603</v>
      </c>
      <c r="E8" s="21">
        <v>64.020006466590601</v>
      </c>
      <c r="F8" s="21">
        <v>64.5901610991735</v>
      </c>
      <c r="G8" s="21">
        <v>57.600808094614401</v>
      </c>
      <c r="H8" s="21">
        <v>60.271332555827698</v>
      </c>
      <c r="I8" s="21">
        <v>65.636713398350906</v>
      </c>
      <c r="J8" s="21">
        <v>76.095285025089893</v>
      </c>
      <c r="K8" s="21">
        <v>41.543425329154502</v>
      </c>
      <c r="L8" s="21">
        <v>53.6511547485592</v>
      </c>
      <c r="M8" s="21">
        <v>30.422052969773802</v>
      </c>
      <c r="N8" s="21">
        <v>51.325212266889103</v>
      </c>
      <c r="O8" s="21">
        <v>70.101104521017007</v>
      </c>
      <c r="P8" s="21">
        <v>40.160446090740997</v>
      </c>
      <c r="Q8" s="21"/>
      <c r="R8" s="21">
        <v>48.468600979503698</v>
      </c>
      <c r="S8" s="21">
        <v>51.172528469484803</v>
      </c>
    </row>
    <row r="9" spans="1:19">
      <c r="A9" s="9">
        <f t="shared" si="0"/>
        <v>32994</v>
      </c>
      <c r="B9" s="21">
        <v>50.709913470738101</v>
      </c>
      <c r="C9" s="21">
        <v>53.3723390672927</v>
      </c>
      <c r="D9" s="21">
        <v>56.878737637461498</v>
      </c>
      <c r="E9" s="21">
        <v>65.240158069325901</v>
      </c>
      <c r="F9" s="21">
        <v>65.956279052425103</v>
      </c>
      <c r="G9" s="21">
        <v>57.1775687538208</v>
      </c>
      <c r="H9" s="21">
        <v>60.450382229278901</v>
      </c>
      <c r="I9" s="21">
        <v>66.612702385888994</v>
      </c>
      <c r="J9" s="21">
        <v>75.491771785324502</v>
      </c>
      <c r="K9" s="21">
        <v>41.606191244584899</v>
      </c>
      <c r="L9" s="21">
        <v>54.157600857315103</v>
      </c>
      <c r="M9" s="21">
        <v>30.077283131180199</v>
      </c>
      <c r="N9" s="21">
        <v>51.7864051225121</v>
      </c>
      <c r="O9" s="21">
        <v>68.678519562354595</v>
      </c>
      <c r="P9" s="21">
        <v>40.473381687201702</v>
      </c>
      <c r="Q9" s="21"/>
      <c r="R9" s="21">
        <v>48.468600979503698</v>
      </c>
      <c r="S9" s="21">
        <v>54.120417413379897</v>
      </c>
    </row>
    <row r="10" spans="1:19">
      <c r="A10" s="9">
        <f t="shared" si="0"/>
        <v>33025</v>
      </c>
      <c r="B10" s="21">
        <v>49.162077851856999</v>
      </c>
      <c r="C10" s="21">
        <v>51.797738956294403</v>
      </c>
      <c r="D10" s="21">
        <v>55.987506273590697</v>
      </c>
      <c r="E10" s="21">
        <v>64.243337006504007</v>
      </c>
      <c r="F10" s="21">
        <v>65.130253652261601</v>
      </c>
      <c r="G10" s="21">
        <v>54.257811040091902</v>
      </c>
      <c r="H10" s="21">
        <v>59.945935318842203</v>
      </c>
      <c r="I10" s="21">
        <v>65.768534402502397</v>
      </c>
      <c r="J10" s="21">
        <v>75.635125494308298</v>
      </c>
      <c r="K10" s="21">
        <v>40.571894626169701</v>
      </c>
      <c r="L10" s="21">
        <v>53.382137252879097</v>
      </c>
      <c r="M10" s="21">
        <v>28.805239349143299</v>
      </c>
      <c r="N10" s="21">
        <v>51.006867324593301</v>
      </c>
      <c r="O10" s="21">
        <v>68.994728817633799</v>
      </c>
      <c r="P10" s="21">
        <v>37.835978568265297</v>
      </c>
      <c r="Q10" s="21"/>
      <c r="R10" s="21">
        <v>48.468600979503698</v>
      </c>
      <c r="S10" s="21">
        <v>55.284676533308897</v>
      </c>
    </row>
    <row r="11" spans="1:19">
      <c r="A11" s="9">
        <f t="shared" si="0"/>
        <v>33055</v>
      </c>
      <c r="B11" s="21">
        <v>49.952717297712098</v>
      </c>
      <c r="C11" s="21">
        <v>52.587358420432402</v>
      </c>
      <c r="D11" s="21">
        <v>55.166827014996898</v>
      </c>
      <c r="E11" s="21">
        <v>61.457336104485996</v>
      </c>
      <c r="F11" s="21">
        <v>62.119109632285401</v>
      </c>
      <c r="G11" s="21">
        <v>54.006628332415403</v>
      </c>
      <c r="H11" s="21">
        <v>61.426274042987998</v>
      </c>
      <c r="I11" s="21">
        <v>63.445508592308599</v>
      </c>
      <c r="J11" s="21">
        <v>76.307112610771597</v>
      </c>
      <c r="K11" s="21">
        <v>41.799284512958103</v>
      </c>
      <c r="L11" s="21">
        <v>55.200661483082399</v>
      </c>
      <c r="M11" s="21">
        <v>29.489651694907302</v>
      </c>
      <c r="N11" s="21">
        <v>52.596965567427198</v>
      </c>
      <c r="O11" s="21">
        <v>71.489765344350701</v>
      </c>
      <c r="P11" s="21">
        <v>41.3004363441148</v>
      </c>
      <c r="Q11" s="21"/>
      <c r="R11" s="21">
        <v>44.104131647005801</v>
      </c>
      <c r="S11" s="21">
        <v>55.284676533308897</v>
      </c>
    </row>
    <row r="12" spans="1:19">
      <c r="A12" s="9">
        <f t="shared" si="0"/>
        <v>33086</v>
      </c>
      <c r="B12" s="21">
        <v>57.366327667730701</v>
      </c>
      <c r="C12" s="21">
        <v>60.6106209259247</v>
      </c>
      <c r="D12" s="21">
        <v>56.245480107259603</v>
      </c>
      <c r="E12" s="21">
        <v>61.125066981041897</v>
      </c>
      <c r="F12" s="21">
        <v>61.600880754483903</v>
      </c>
      <c r="G12" s="21">
        <v>55.768023776804696</v>
      </c>
      <c r="H12" s="21">
        <v>63.788933105427901</v>
      </c>
      <c r="I12" s="21">
        <v>62.840197774456101</v>
      </c>
      <c r="J12" s="21">
        <v>73.9354791144182</v>
      </c>
      <c r="K12" s="21">
        <v>45.105574428053998</v>
      </c>
      <c r="L12" s="21">
        <v>59.543979839824601</v>
      </c>
      <c r="M12" s="21">
        <v>31.843394765973901</v>
      </c>
      <c r="N12" s="21">
        <v>56.52282292148</v>
      </c>
      <c r="O12" s="21">
        <v>77.415391419840006</v>
      </c>
      <c r="P12" s="21">
        <v>59.226259377107901</v>
      </c>
      <c r="Q12" s="21"/>
      <c r="R12" s="21">
        <v>44.104131647005801</v>
      </c>
      <c r="S12" s="21">
        <v>55.284676533308897</v>
      </c>
    </row>
    <row r="13" spans="1:19">
      <c r="A13" s="9">
        <f t="shared" si="0"/>
        <v>33117</v>
      </c>
      <c r="B13" s="21">
        <v>62.565240045780598</v>
      </c>
      <c r="C13" s="21">
        <v>66.513670657223102</v>
      </c>
      <c r="D13" s="21">
        <v>57.082786730696597</v>
      </c>
      <c r="E13" s="21">
        <v>61.8014950028982</v>
      </c>
      <c r="F13" s="21">
        <v>62.1619772990786</v>
      </c>
      <c r="G13" s="21">
        <v>57.742933980102002</v>
      </c>
      <c r="H13" s="21">
        <v>65.566078034062201</v>
      </c>
      <c r="I13" s="21">
        <v>63.336799618984401</v>
      </c>
      <c r="J13" s="21">
        <v>73.268774908233794</v>
      </c>
      <c r="K13" s="21">
        <v>46.1477135877008</v>
      </c>
      <c r="L13" s="21">
        <v>62.343544156918703</v>
      </c>
      <c r="M13" s="21">
        <v>31.2712775367728</v>
      </c>
      <c r="N13" s="21">
        <v>58.777337700355403</v>
      </c>
      <c r="O13" s="21">
        <v>83.319362471898401</v>
      </c>
      <c r="P13" s="21">
        <v>71.662809711381897</v>
      </c>
      <c r="Q13" s="21"/>
      <c r="R13" s="21">
        <v>44.104131647005801</v>
      </c>
      <c r="S13" s="21">
        <v>55.284676533308897</v>
      </c>
    </row>
    <row r="14" spans="1:19">
      <c r="A14" s="9">
        <f t="shared" si="0"/>
        <v>33147</v>
      </c>
      <c r="B14" s="21">
        <v>64.111861908924098</v>
      </c>
      <c r="C14" s="21">
        <v>68.343523031872095</v>
      </c>
      <c r="D14" s="21">
        <v>56.967341828813503</v>
      </c>
      <c r="E14" s="21">
        <v>63.5643587929248</v>
      </c>
      <c r="F14" s="21">
        <v>64.062370043370905</v>
      </c>
      <c r="G14" s="21">
        <v>57.957400916239301</v>
      </c>
      <c r="H14" s="21">
        <v>61.975666046536404</v>
      </c>
      <c r="I14" s="21">
        <v>64.856716479942094</v>
      </c>
      <c r="J14" s="21">
        <v>73.217053886500395</v>
      </c>
      <c r="K14" s="21">
        <v>43.231743631367301</v>
      </c>
      <c r="L14" s="21">
        <v>57.2726699748793</v>
      </c>
      <c r="M14" s="21">
        <v>30.3346623762665</v>
      </c>
      <c r="N14" s="21">
        <v>53.987760278626197</v>
      </c>
      <c r="O14" s="21">
        <v>89.085898825199905</v>
      </c>
      <c r="P14" s="21">
        <v>75.967461112525896</v>
      </c>
      <c r="Q14" s="21"/>
      <c r="R14" s="21">
        <v>54.670745709406098</v>
      </c>
      <c r="S14" s="21">
        <v>55.284676533308897</v>
      </c>
    </row>
    <row r="15" spans="1:19">
      <c r="A15" s="9">
        <f t="shared" si="0"/>
        <v>33178</v>
      </c>
      <c r="B15" s="21">
        <v>60.690588032780902</v>
      </c>
      <c r="C15" s="21">
        <v>64.483198112908894</v>
      </c>
      <c r="D15" s="21">
        <v>55.5962348760658</v>
      </c>
      <c r="E15" s="21">
        <v>62.712716411124497</v>
      </c>
      <c r="F15" s="21">
        <v>63.228123885355302</v>
      </c>
      <c r="G15" s="21">
        <v>56.909899718222398</v>
      </c>
      <c r="H15" s="21">
        <v>58.584788800000602</v>
      </c>
      <c r="I15" s="21">
        <v>64.102096996121801</v>
      </c>
      <c r="J15" s="21">
        <v>73.090081200020805</v>
      </c>
      <c r="K15" s="21">
        <v>40.936558707122302</v>
      </c>
      <c r="L15" s="21">
        <v>52.516291373641003</v>
      </c>
      <c r="M15" s="21">
        <v>30.300169806653201</v>
      </c>
      <c r="N15" s="21">
        <v>49.696337358293903</v>
      </c>
      <c r="O15" s="21">
        <v>87.744390371320407</v>
      </c>
      <c r="P15" s="21">
        <v>69.144145241718405</v>
      </c>
      <c r="Q15" s="21"/>
      <c r="R15" s="21">
        <v>54.670745709406098</v>
      </c>
      <c r="S15" s="21">
        <v>55.284676533308897</v>
      </c>
    </row>
    <row r="16" spans="1:19">
      <c r="A16" s="9">
        <f t="shared" si="0"/>
        <v>33208</v>
      </c>
      <c r="B16" s="21">
        <v>56.484271698218997</v>
      </c>
      <c r="C16" s="21">
        <v>59.798582201798901</v>
      </c>
      <c r="D16" s="21">
        <v>54.749726283027798</v>
      </c>
      <c r="E16" s="21">
        <v>62.058095804753798</v>
      </c>
      <c r="F16" s="21">
        <v>62.4913565193322</v>
      </c>
      <c r="G16" s="21">
        <v>57.180144605683701</v>
      </c>
      <c r="H16" s="21">
        <v>57.0697704008603</v>
      </c>
      <c r="I16" s="21">
        <v>63.485609809184602</v>
      </c>
      <c r="J16" s="21">
        <v>72.720281332029998</v>
      </c>
      <c r="K16" s="21">
        <v>39.763598397967897</v>
      </c>
      <c r="L16" s="21">
        <v>50.522154352328698</v>
      </c>
      <c r="M16" s="21">
        <v>29.881488988922101</v>
      </c>
      <c r="N16" s="21">
        <v>47.877356159046002</v>
      </c>
      <c r="O16" s="21">
        <v>86.604195987682999</v>
      </c>
      <c r="P16" s="21">
        <v>59.362572131609802</v>
      </c>
      <c r="Q16" s="21"/>
      <c r="R16" s="21">
        <v>54.670745709406098</v>
      </c>
      <c r="S16" s="21">
        <v>55.284676533308897</v>
      </c>
    </row>
    <row r="17" spans="1:19">
      <c r="A17" s="9">
        <f t="shared" si="0"/>
        <v>33239</v>
      </c>
      <c r="B17" s="21">
        <v>54.902974380151797</v>
      </c>
      <c r="C17" s="21">
        <v>57.851689484286503</v>
      </c>
      <c r="D17" s="21">
        <v>55.308711551345901</v>
      </c>
      <c r="E17" s="21">
        <v>63.131934817814802</v>
      </c>
      <c r="F17" s="21">
        <v>63.820430095728298</v>
      </c>
      <c r="G17" s="21">
        <v>55.380374952247998</v>
      </c>
      <c r="H17" s="21">
        <v>56.843413771200197</v>
      </c>
      <c r="I17" s="21">
        <v>64.226281338715395</v>
      </c>
      <c r="J17" s="21">
        <v>71.305672939301004</v>
      </c>
      <c r="K17" s="21">
        <v>40.116537135800797</v>
      </c>
      <c r="L17" s="21">
        <v>50.792919915533901</v>
      </c>
      <c r="M17" s="21">
        <v>30.3099066577198</v>
      </c>
      <c r="N17" s="21">
        <v>48.0531077923292</v>
      </c>
      <c r="O17" s="21">
        <v>86.070252190055896</v>
      </c>
      <c r="P17" s="21">
        <v>54.277562333179503</v>
      </c>
      <c r="Q17" s="21">
        <v>51.507440343752698</v>
      </c>
      <c r="R17" s="21">
        <v>62.007542425808197</v>
      </c>
      <c r="S17" s="21">
        <v>55.284676533308897</v>
      </c>
    </row>
    <row r="18" spans="1:19">
      <c r="A18" s="9">
        <f t="shared" si="0"/>
        <v>33270</v>
      </c>
      <c r="B18" s="21">
        <v>51.513040543554503</v>
      </c>
      <c r="C18" s="21">
        <v>54.236870345559801</v>
      </c>
      <c r="D18" s="21">
        <v>55.238353173004597</v>
      </c>
      <c r="E18" s="21">
        <v>63.494698245928497</v>
      </c>
      <c r="F18" s="21">
        <v>64.331744778657594</v>
      </c>
      <c r="G18" s="21">
        <v>54.070644782008003</v>
      </c>
      <c r="H18" s="21">
        <v>57.165132460768298</v>
      </c>
      <c r="I18" s="21">
        <v>64.706333316419006</v>
      </c>
      <c r="J18" s="21">
        <v>72.544471398994602</v>
      </c>
      <c r="K18" s="21">
        <v>39.276058406854197</v>
      </c>
      <c r="L18" s="21">
        <v>50.730965110539103</v>
      </c>
      <c r="M18" s="21">
        <v>28.7543265130546</v>
      </c>
      <c r="N18" s="21">
        <v>47.810374564711701</v>
      </c>
      <c r="O18" s="21">
        <v>85.113760367182707</v>
      </c>
      <c r="P18" s="21">
        <v>45.770763122091999</v>
      </c>
      <c r="Q18" s="21">
        <v>40.3715516998531</v>
      </c>
      <c r="R18" s="21">
        <v>61.689240084991702</v>
      </c>
      <c r="S18" s="21">
        <v>55.284676533308897</v>
      </c>
    </row>
    <row r="19" spans="1:19">
      <c r="A19" s="9">
        <f t="shared" si="0"/>
        <v>33298</v>
      </c>
      <c r="B19" s="21">
        <v>51.262226894521099</v>
      </c>
      <c r="C19" s="21">
        <v>53.9713934671529</v>
      </c>
      <c r="D19" s="21">
        <v>55.099691178119201</v>
      </c>
      <c r="E19" s="21">
        <v>63.540804995511898</v>
      </c>
      <c r="F19" s="21">
        <v>64.369342197827706</v>
      </c>
      <c r="G19" s="21">
        <v>54.212555506186902</v>
      </c>
      <c r="H19" s="21">
        <v>56.543988556925001</v>
      </c>
      <c r="I19" s="21">
        <v>64.5555597596463</v>
      </c>
      <c r="J19" s="21">
        <v>71.120067634131303</v>
      </c>
      <c r="K19" s="21">
        <v>39.147212278473702</v>
      </c>
      <c r="L19" s="21">
        <v>50.445876507400399</v>
      </c>
      <c r="M19" s="21">
        <v>28.768994554833199</v>
      </c>
      <c r="N19" s="21">
        <v>47.683048196918399</v>
      </c>
      <c r="O19" s="21">
        <v>85.113093367167096</v>
      </c>
      <c r="P19" s="21">
        <v>45.3470764888419</v>
      </c>
      <c r="Q19" s="21">
        <v>42.103298515584903</v>
      </c>
      <c r="R19" s="21">
        <v>60.558042535320801</v>
      </c>
      <c r="S19" s="21">
        <v>52.2427063638645</v>
      </c>
    </row>
    <row r="20" spans="1:19">
      <c r="A20" s="9">
        <f t="shared" si="0"/>
        <v>33329</v>
      </c>
      <c r="B20" s="21">
        <v>51.258902899773801</v>
      </c>
      <c r="C20" s="21">
        <v>54.011038002801101</v>
      </c>
      <c r="D20" s="21">
        <v>54.1731952036533</v>
      </c>
      <c r="E20" s="21">
        <v>61.882986944966298</v>
      </c>
      <c r="F20" s="21">
        <v>62.645013840041997</v>
      </c>
      <c r="G20" s="21">
        <v>53.303556866300802</v>
      </c>
      <c r="H20" s="21">
        <v>56.594492550996797</v>
      </c>
      <c r="I20" s="21">
        <v>63.232242402875897</v>
      </c>
      <c r="J20" s="21">
        <v>71.960654814612298</v>
      </c>
      <c r="K20" s="21">
        <v>38.871594594918903</v>
      </c>
      <c r="L20" s="21">
        <v>50.165837851857802</v>
      </c>
      <c r="M20" s="21">
        <v>28.497437688461002</v>
      </c>
      <c r="N20" s="21">
        <v>47.4749977115371</v>
      </c>
      <c r="O20" s="21">
        <v>83.235796038925002</v>
      </c>
      <c r="P20" s="21">
        <v>46.7667497409182</v>
      </c>
      <c r="Q20" s="21">
        <v>43.902024397735403</v>
      </c>
      <c r="R20" s="21">
        <v>65.8538206586786</v>
      </c>
      <c r="S20" s="21">
        <v>52.2427063638645</v>
      </c>
    </row>
    <row r="21" spans="1:19">
      <c r="A21" s="9">
        <f t="shared" si="0"/>
        <v>33359</v>
      </c>
      <c r="B21" s="21">
        <v>50.350524014592601</v>
      </c>
      <c r="C21" s="21">
        <v>53.005103363940997</v>
      </c>
      <c r="D21" s="21">
        <v>52.362120030722302</v>
      </c>
      <c r="E21" s="21">
        <v>59.264457195011197</v>
      </c>
      <c r="F21" s="21">
        <v>60.0978086805654</v>
      </c>
      <c r="G21" s="21">
        <v>49.882005148414301</v>
      </c>
      <c r="H21" s="21">
        <v>55.126353678821502</v>
      </c>
      <c r="I21" s="21">
        <v>61.088534998008001</v>
      </c>
      <c r="J21" s="21">
        <v>72.888600910149805</v>
      </c>
      <c r="K21" s="21">
        <v>37.633387497051999</v>
      </c>
      <c r="L21" s="21">
        <v>47.695262416605502</v>
      </c>
      <c r="M21" s="21">
        <v>28.391203951512299</v>
      </c>
      <c r="N21" s="21">
        <v>45.281191946105103</v>
      </c>
      <c r="O21" s="21">
        <v>80.174451673933405</v>
      </c>
      <c r="P21" s="21">
        <v>47.249806428313001</v>
      </c>
      <c r="Q21" s="21">
        <v>44.890130646567499</v>
      </c>
      <c r="R21" s="21">
        <v>65.334742995193295</v>
      </c>
      <c r="S21" s="21">
        <v>52.2427063638645</v>
      </c>
    </row>
    <row r="22" spans="1:19">
      <c r="A22" s="9">
        <f t="shared" si="0"/>
        <v>33390</v>
      </c>
      <c r="B22" s="21">
        <v>49.263252004481799</v>
      </c>
      <c r="C22" s="21">
        <v>51.6879487370487</v>
      </c>
      <c r="D22" s="21">
        <v>51.744281966358798</v>
      </c>
      <c r="E22" s="21">
        <v>58.191424801169902</v>
      </c>
      <c r="F22" s="21">
        <v>59.048503601265899</v>
      </c>
      <c r="G22" s="21">
        <v>48.541834104505803</v>
      </c>
      <c r="H22" s="21">
        <v>54.548906180170498</v>
      </c>
      <c r="I22" s="21">
        <v>60.3217161778161</v>
      </c>
      <c r="J22" s="21">
        <v>74.102695593930903</v>
      </c>
      <c r="K22" s="21">
        <v>37.400497540040199</v>
      </c>
      <c r="L22" s="21">
        <v>46.368297512618497</v>
      </c>
      <c r="M22" s="21">
        <v>29.163260046142501</v>
      </c>
      <c r="N22" s="21">
        <v>44.177094748562503</v>
      </c>
      <c r="O22" s="21">
        <v>76.863317739001104</v>
      </c>
      <c r="P22" s="21">
        <v>45.438938785926197</v>
      </c>
      <c r="Q22" s="21">
        <v>43.5823408592154</v>
      </c>
      <c r="R22" s="21">
        <v>63.673041544161599</v>
      </c>
      <c r="S22" s="21">
        <v>52.2427063638645</v>
      </c>
    </row>
    <row r="23" spans="1:19">
      <c r="A23" s="9">
        <f t="shared" si="0"/>
        <v>33420</v>
      </c>
      <c r="B23" s="21">
        <v>48.945139305309297</v>
      </c>
      <c r="C23" s="21">
        <v>51.322396469496397</v>
      </c>
      <c r="D23" s="21">
        <v>50.430507600121601</v>
      </c>
      <c r="E23" s="21">
        <v>55.828922313552098</v>
      </c>
      <c r="F23" s="21">
        <v>56.613525956655501</v>
      </c>
      <c r="G23" s="21">
        <v>46.995307464821899</v>
      </c>
      <c r="H23" s="21">
        <v>54.2247826488084</v>
      </c>
      <c r="I23" s="21">
        <v>58.037970273759797</v>
      </c>
      <c r="J23" s="21">
        <v>72.328430631704293</v>
      </c>
      <c r="K23" s="21">
        <v>37.5544245083546</v>
      </c>
      <c r="L23" s="21">
        <v>46.650861478369102</v>
      </c>
      <c r="M23" s="21">
        <v>29.199029439396799</v>
      </c>
      <c r="N23" s="21">
        <v>44.401466062879599</v>
      </c>
      <c r="O23" s="21">
        <v>75.274105459103396</v>
      </c>
      <c r="P23" s="21">
        <v>46.655560504746902</v>
      </c>
      <c r="Q23" s="21">
        <v>46.1842804244096</v>
      </c>
      <c r="R23" s="21">
        <v>58.331241888453199</v>
      </c>
      <c r="S23" s="21">
        <v>52.2427063638645</v>
      </c>
    </row>
    <row r="24" spans="1:19">
      <c r="A24" s="9">
        <f t="shared" si="0"/>
        <v>33451</v>
      </c>
      <c r="B24" s="21">
        <v>48.985054748621998</v>
      </c>
      <c r="C24" s="21">
        <v>51.475901795029998</v>
      </c>
      <c r="D24" s="21">
        <v>49.833427300258599</v>
      </c>
      <c r="E24" s="21">
        <v>55.446200765045702</v>
      </c>
      <c r="F24" s="21">
        <v>56.067160136877099</v>
      </c>
      <c r="G24" s="21">
        <v>48.455007216962002</v>
      </c>
      <c r="H24" s="21">
        <v>53.395658352505201</v>
      </c>
      <c r="I24" s="21">
        <v>57.540207361161201</v>
      </c>
      <c r="J24" s="21">
        <v>71.086458411432204</v>
      </c>
      <c r="K24" s="21">
        <v>36.678908911946202</v>
      </c>
      <c r="L24" s="21">
        <v>45.994458041114598</v>
      </c>
      <c r="M24" s="21">
        <v>28.1222516718572</v>
      </c>
      <c r="N24" s="21">
        <v>43.539054659084201</v>
      </c>
      <c r="O24" s="21">
        <v>76.834972088086303</v>
      </c>
      <c r="P24" s="21">
        <v>47.677354957270502</v>
      </c>
      <c r="Q24" s="21">
        <v>46.4870236199367</v>
      </c>
      <c r="R24" s="21">
        <v>61.353645038483101</v>
      </c>
      <c r="S24" s="21">
        <v>52.2427063638645</v>
      </c>
    </row>
    <row r="25" spans="1:19">
      <c r="A25" s="9">
        <f t="shared" si="0"/>
        <v>33482</v>
      </c>
      <c r="B25" s="21">
        <v>49.764662751962298</v>
      </c>
      <c r="C25" s="21">
        <v>52.428116314792</v>
      </c>
      <c r="D25" s="21">
        <v>49.972881720469303</v>
      </c>
      <c r="E25" s="21">
        <v>56.036020968225898</v>
      </c>
      <c r="F25" s="21">
        <v>56.4119362167907</v>
      </c>
      <c r="G25" s="21">
        <v>51.803705007453203</v>
      </c>
      <c r="H25" s="21">
        <v>53.255082604520197</v>
      </c>
      <c r="I25" s="21">
        <v>58.112469413485201</v>
      </c>
      <c r="J25" s="21">
        <v>71.545135759717397</v>
      </c>
      <c r="K25" s="21">
        <v>36.218708720390097</v>
      </c>
      <c r="L25" s="21">
        <v>45.603176152766103</v>
      </c>
      <c r="M25" s="21">
        <v>27.598747611689902</v>
      </c>
      <c r="N25" s="21">
        <v>43.226742571984303</v>
      </c>
      <c r="O25" s="21">
        <v>76.179262856283401</v>
      </c>
      <c r="P25" s="21">
        <v>49.443709532593203</v>
      </c>
      <c r="Q25" s="21">
        <v>47.581358223287701</v>
      </c>
      <c r="R25" s="21">
        <v>64.689943266148902</v>
      </c>
      <c r="S25" s="21">
        <v>52.2427063638645</v>
      </c>
    </row>
    <row r="26" spans="1:19">
      <c r="A26" s="9">
        <f t="shared" si="0"/>
        <v>33512</v>
      </c>
      <c r="B26" s="21">
        <v>50.508946392975702</v>
      </c>
      <c r="C26" s="21">
        <v>53.164772808452902</v>
      </c>
      <c r="D26" s="21">
        <v>49.8453437534519</v>
      </c>
      <c r="E26" s="21">
        <v>55.802432617003497</v>
      </c>
      <c r="F26" s="21">
        <v>56.248925453358702</v>
      </c>
      <c r="G26" s="21">
        <v>50.775504965383597</v>
      </c>
      <c r="H26" s="21">
        <v>52.500187285714397</v>
      </c>
      <c r="I26" s="21">
        <v>57.721815122690003</v>
      </c>
      <c r="J26" s="21">
        <v>70.138412726422104</v>
      </c>
      <c r="K26" s="21">
        <v>36.404725110218301</v>
      </c>
      <c r="L26" s="21">
        <v>45.120982321026098</v>
      </c>
      <c r="M26" s="21">
        <v>28.398538428661499</v>
      </c>
      <c r="N26" s="21">
        <v>42.887485736660203</v>
      </c>
      <c r="O26" s="21">
        <v>77.3825612146087</v>
      </c>
      <c r="P26" s="21">
        <v>51.531837847409797</v>
      </c>
      <c r="Q26" s="21">
        <v>50.506464390939001</v>
      </c>
      <c r="R26" s="21">
        <v>62.1197890061595</v>
      </c>
      <c r="S26" s="21">
        <v>52.2427063638645</v>
      </c>
    </row>
    <row r="27" spans="1:19">
      <c r="A27" s="9">
        <f t="shared" si="0"/>
        <v>33543</v>
      </c>
      <c r="B27" s="21">
        <v>50.1756689333873</v>
      </c>
      <c r="C27" s="21">
        <v>52.783247629155603</v>
      </c>
      <c r="D27" s="21">
        <v>50.024411328386101</v>
      </c>
      <c r="E27" s="21">
        <v>56.3923000080189</v>
      </c>
      <c r="F27" s="21">
        <v>56.737591635267897</v>
      </c>
      <c r="G27" s="21">
        <v>52.504766127160401</v>
      </c>
      <c r="H27" s="21">
        <v>52.328211640405499</v>
      </c>
      <c r="I27" s="21">
        <v>58.063442256360702</v>
      </c>
      <c r="J27" s="21">
        <v>68.8741591274282</v>
      </c>
      <c r="K27" s="21">
        <v>36.567285585304603</v>
      </c>
      <c r="L27" s="21">
        <v>45.405976846880101</v>
      </c>
      <c r="M27" s="21">
        <v>28.4486389518535</v>
      </c>
      <c r="N27" s="21">
        <v>43.135023409777901</v>
      </c>
      <c r="O27" s="21">
        <v>73.794354729139002</v>
      </c>
      <c r="P27" s="21">
        <v>50.408820675648101</v>
      </c>
      <c r="Q27" s="21">
        <v>47.779849407015398</v>
      </c>
      <c r="R27" s="21">
        <v>64.533010445457407</v>
      </c>
      <c r="S27" s="21">
        <v>52.2427063638645</v>
      </c>
    </row>
    <row r="28" spans="1:19">
      <c r="A28" s="9">
        <f t="shared" si="0"/>
        <v>33573</v>
      </c>
      <c r="B28" s="21">
        <v>47.981618789828602</v>
      </c>
      <c r="C28" s="21">
        <v>50.302498866526498</v>
      </c>
      <c r="D28" s="21">
        <v>49.768022205792803</v>
      </c>
      <c r="E28" s="21">
        <v>56.324398485130899</v>
      </c>
      <c r="F28" s="21">
        <v>56.6847676637259</v>
      </c>
      <c r="G28" s="21">
        <v>52.267111018977701</v>
      </c>
      <c r="H28" s="21">
        <v>51.544455827004199</v>
      </c>
      <c r="I28" s="21">
        <v>57.995698757353097</v>
      </c>
      <c r="J28" s="21">
        <v>68.807437894138602</v>
      </c>
      <c r="K28" s="21">
        <v>36.068027985972698</v>
      </c>
      <c r="L28" s="21">
        <v>44.322239317563003</v>
      </c>
      <c r="M28" s="21">
        <v>28.486246582391399</v>
      </c>
      <c r="N28" s="21">
        <v>42.081680525499301</v>
      </c>
      <c r="O28" s="21">
        <v>72.883939867974306</v>
      </c>
      <c r="P28" s="21">
        <v>45.228017945695299</v>
      </c>
      <c r="Q28" s="21">
        <v>40.241216101881001</v>
      </c>
      <c r="R28" s="21">
        <v>65.371369841577206</v>
      </c>
      <c r="S28" s="21">
        <v>52.2427063638645</v>
      </c>
    </row>
    <row r="29" spans="1:19">
      <c r="A29" s="9">
        <f t="shared" si="0"/>
        <v>33604</v>
      </c>
      <c r="B29" s="21">
        <v>48.054884574113899</v>
      </c>
      <c r="C29" s="21">
        <v>50.291104387694503</v>
      </c>
      <c r="D29" s="21">
        <v>50.569816697217</v>
      </c>
      <c r="E29" s="21">
        <v>57.078723662974497</v>
      </c>
      <c r="F29" s="21">
        <v>57.730636361790999</v>
      </c>
      <c r="G29" s="21">
        <v>49.373771531141301</v>
      </c>
      <c r="H29" s="21">
        <v>52.723883106161701</v>
      </c>
      <c r="I29" s="21">
        <v>58.389113559319298</v>
      </c>
      <c r="J29" s="21">
        <v>67.253552015311996</v>
      </c>
      <c r="K29" s="21">
        <v>37.324285312175299</v>
      </c>
      <c r="L29" s="21">
        <v>46.948672806179097</v>
      </c>
      <c r="M29" s="21">
        <v>28.019392513953001</v>
      </c>
      <c r="N29" s="21">
        <v>44.5292988411436</v>
      </c>
      <c r="O29" s="21">
        <v>74.128668773607004</v>
      </c>
      <c r="P29" s="21">
        <v>44.452235245093298</v>
      </c>
      <c r="Q29" s="21">
        <v>39.559948961784301</v>
      </c>
      <c r="R29" s="21">
        <v>54.061430836970104</v>
      </c>
      <c r="S29" s="21">
        <v>52.2427063638645</v>
      </c>
    </row>
    <row r="30" spans="1:19">
      <c r="A30" s="9">
        <f t="shared" si="0"/>
        <v>33635</v>
      </c>
      <c r="B30" s="21">
        <v>48.0092377604728</v>
      </c>
      <c r="C30" s="21">
        <v>50.248660052896703</v>
      </c>
      <c r="D30" s="21">
        <v>50.799025549661899</v>
      </c>
      <c r="E30" s="21">
        <v>56.877173685414299</v>
      </c>
      <c r="F30" s="21">
        <v>57.838640766028497</v>
      </c>
      <c r="G30" s="21">
        <v>45.5136002408194</v>
      </c>
      <c r="H30" s="21">
        <v>53.988902374414103</v>
      </c>
      <c r="I30" s="21">
        <v>58.3421847771465</v>
      </c>
      <c r="J30" s="21">
        <v>68.252594416470103</v>
      </c>
      <c r="K30" s="21">
        <v>38.015313373214603</v>
      </c>
      <c r="L30" s="21">
        <v>48.3194117816047</v>
      </c>
      <c r="M30" s="21">
        <v>28.053273593318199</v>
      </c>
      <c r="N30" s="21">
        <v>45.838746090832998</v>
      </c>
      <c r="O30" s="21">
        <v>73.627187899996997</v>
      </c>
      <c r="P30" s="21">
        <v>44.0128566993288</v>
      </c>
      <c r="Q30" s="21">
        <v>40.694549227088501</v>
      </c>
      <c r="R30" s="21">
        <v>49.5394794347756</v>
      </c>
      <c r="S30" s="21">
        <v>52.2427063638645</v>
      </c>
    </row>
    <row r="31" spans="1:19">
      <c r="A31" s="9">
        <f t="shared" si="0"/>
        <v>33664</v>
      </c>
      <c r="B31" s="21">
        <v>47.720182261255502</v>
      </c>
      <c r="C31" s="21">
        <v>50.014220361023902</v>
      </c>
      <c r="D31" s="21">
        <v>50.4368226735034</v>
      </c>
      <c r="E31" s="21">
        <v>56.472678287989197</v>
      </c>
      <c r="F31" s="21">
        <v>57.465128520293597</v>
      </c>
      <c r="G31" s="21">
        <v>44.742915166311001</v>
      </c>
      <c r="H31" s="21">
        <v>54.023533177485398</v>
      </c>
      <c r="I31" s="21">
        <v>58.0376355384291</v>
      </c>
      <c r="J31" s="21">
        <v>68.624154307751496</v>
      </c>
      <c r="K31" s="21">
        <v>37.604653722217101</v>
      </c>
      <c r="L31" s="21">
        <v>48.2201209961828</v>
      </c>
      <c r="M31" s="21">
        <v>27.341581391761899</v>
      </c>
      <c r="N31" s="21">
        <v>45.717642217795898</v>
      </c>
      <c r="O31" s="21">
        <v>72.600385035389493</v>
      </c>
      <c r="P31" s="21">
        <v>43.828585081169599</v>
      </c>
      <c r="Q31" s="21">
        <v>40.998011341795603</v>
      </c>
      <c r="R31" s="21">
        <v>50.1360851786526</v>
      </c>
      <c r="S31" s="21">
        <v>52.2427063638645</v>
      </c>
    </row>
    <row r="32" spans="1:19">
      <c r="A32" s="9">
        <f t="shared" si="0"/>
        <v>33695</v>
      </c>
      <c r="B32" s="21">
        <v>48.520715977414902</v>
      </c>
      <c r="C32" s="21">
        <v>50.9559852219299</v>
      </c>
      <c r="D32" s="21">
        <v>50.171684298148897</v>
      </c>
      <c r="E32" s="21">
        <v>55.254578298875202</v>
      </c>
      <c r="F32" s="21">
        <v>56.207631541717902</v>
      </c>
      <c r="G32" s="21">
        <v>43.990447950561197</v>
      </c>
      <c r="H32" s="21">
        <v>55.436577428864702</v>
      </c>
      <c r="I32" s="21">
        <v>57.4838757582217</v>
      </c>
      <c r="J32" s="21">
        <v>72.5644790073775</v>
      </c>
      <c r="K32" s="21">
        <v>37.577696551642298</v>
      </c>
      <c r="L32" s="21">
        <v>48.628629207069999</v>
      </c>
      <c r="M32" s="21">
        <v>26.893614708180099</v>
      </c>
      <c r="N32" s="21">
        <v>46.024608600661402</v>
      </c>
      <c r="O32" s="21">
        <v>75.737271982140996</v>
      </c>
      <c r="P32" s="21">
        <v>46.155697908621903</v>
      </c>
      <c r="Q32" s="21">
        <v>43.6224410230842</v>
      </c>
      <c r="R32" s="21">
        <v>51.533947708892498</v>
      </c>
      <c r="S32" s="21">
        <v>52.2427063638645</v>
      </c>
    </row>
    <row r="33" spans="1:19">
      <c r="A33" s="9">
        <f t="shared" si="0"/>
        <v>33725</v>
      </c>
      <c r="B33" s="21">
        <v>49.766031137914503</v>
      </c>
      <c r="C33" s="21">
        <v>52.3576104324328</v>
      </c>
      <c r="D33" s="21">
        <v>50.8555708119884</v>
      </c>
      <c r="E33" s="21">
        <v>56.434983672396697</v>
      </c>
      <c r="F33" s="21">
        <v>57.685481238288197</v>
      </c>
      <c r="G33" s="21">
        <v>41.655360720337598</v>
      </c>
      <c r="H33" s="21">
        <v>55.354036978614602</v>
      </c>
      <c r="I33" s="21">
        <v>58.482357679175202</v>
      </c>
      <c r="J33" s="21">
        <v>72.332297250681805</v>
      </c>
      <c r="K33" s="21">
        <v>37.534082083952399</v>
      </c>
      <c r="L33" s="21">
        <v>48.605567745618004</v>
      </c>
      <c r="M33" s="21">
        <v>26.830129519382702</v>
      </c>
      <c r="N33" s="21">
        <v>46.048889837192498</v>
      </c>
      <c r="O33" s="21">
        <v>80.684190841690494</v>
      </c>
      <c r="P33" s="21">
        <v>48.205261628596602</v>
      </c>
      <c r="Q33" s="21">
        <v>45.1330515685287</v>
      </c>
      <c r="R33" s="21">
        <v>54.264787345144903</v>
      </c>
      <c r="S33" s="21">
        <v>52.2427063638645</v>
      </c>
    </row>
    <row r="34" spans="1:19">
      <c r="A34" s="9">
        <f t="shared" si="0"/>
        <v>33756</v>
      </c>
      <c r="B34" s="21">
        <v>50.7156292047977</v>
      </c>
      <c r="C34" s="21">
        <v>53.379544961583399</v>
      </c>
      <c r="D34" s="21">
        <v>50.761304942514499</v>
      </c>
      <c r="E34" s="21">
        <v>55.9738701646815</v>
      </c>
      <c r="F34" s="21">
        <v>57.288980070722801</v>
      </c>
      <c r="G34" s="21">
        <v>40.430594366339697</v>
      </c>
      <c r="H34" s="21">
        <v>55.753156860584198</v>
      </c>
      <c r="I34" s="21">
        <v>58.222494676528498</v>
      </c>
      <c r="J34" s="21">
        <v>73.433840285576593</v>
      </c>
      <c r="K34" s="21">
        <v>37.7475900671026</v>
      </c>
      <c r="L34" s="21">
        <v>48.725490527289899</v>
      </c>
      <c r="M34" s="21">
        <v>27.134116015352301</v>
      </c>
      <c r="N34" s="21">
        <v>46.180933726452402</v>
      </c>
      <c r="O34" s="21">
        <v>79.626577013361299</v>
      </c>
      <c r="P34" s="21">
        <v>50.650198545923601</v>
      </c>
      <c r="Q34" s="21">
        <v>47.449347407070697</v>
      </c>
      <c r="R34" s="21">
        <v>55.368530707931399</v>
      </c>
      <c r="S34" s="21">
        <v>50.690360870625902</v>
      </c>
    </row>
    <row r="35" spans="1:19">
      <c r="A35" s="9">
        <f t="shared" si="0"/>
        <v>33786</v>
      </c>
      <c r="B35" s="21">
        <v>50.881483139000999</v>
      </c>
      <c r="C35" s="21">
        <v>53.461835984463903</v>
      </c>
      <c r="D35" s="21">
        <v>51.565889401136502</v>
      </c>
      <c r="E35" s="21">
        <v>56.567516993433401</v>
      </c>
      <c r="F35" s="21">
        <v>57.766284902691098</v>
      </c>
      <c r="G35" s="21">
        <v>42.399286531324996</v>
      </c>
      <c r="H35" s="21">
        <v>57.417124316778498</v>
      </c>
      <c r="I35" s="21">
        <v>58.8141492197582</v>
      </c>
      <c r="J35" s="21">
        <v>74.012017548152997</v>
      </c>
      <c r="K35" s="21">
        <v>39.2043547615867</v>
      </c>
      <c r="L35" s="21">
        <v>50.821034693800897</v>
      </c>
      <c r="M35" s="21">
        <v>27.9733063953548</v>
      </c>
      <c r="N35" s="21">
        <v>48.088059338743903</v>
      </c>
      <c r="O35" s="21">
        <v>74.823651087590704</v>
      </c>
      <c r="P35" s="21">
        <v>49.901068702202103</v>
      </c>
      <c r="Q35" s="21">
        <v>44.903367008122501</v>
      </c>
      <c r="R35" s="21">
        <v>57.934626219987301</v>
      </c>
      <c r="S35" s="21">
        <v>49.138015377387198</v>
      </c>
    </row>
    <row r="36" spans="1:19">
      <c r="A36" s="9">
        <f t="shared" si="0"/>
        <v>33817</v>
      </c>
      <c r="B36" s="21">
        <v>51.093240019828201</v>
      </c>
      <c r="C36" s="21">
        <v>53.783084537605603</v>
      </c>
      <c r="D36" s="21">
        <v>52.058914270267799</v>
      </c>
      <c r="E36" s="21">
        <v>58.385946899833698</v>
      </c>
      <c r="F36" s="21">
        <v>59.721970704019903</v>
      </c>
      <c r="G36" s="21">
        <v>42.595489869417797</v>
      </c>
      <c r="H36" s="21">
        <v>56.603973437789399</v>
      </c>
      <c r="I36" s="21">
        <v>60.1432539800455</v>
      </c>
      <c r="J36" s="21">
        <v>72.030968090380796</v>
      </c>
      <c r="K36" s="21">
        <v>38.623054635951902</v>
      </c>
      <c r="L36" s="21">
        <v>50.472096725904002</v>
      </c>
      <c r="M36" s="21">
        <v>27.1673576913599</v>
      </c>
      <c r="N36" s="21">
        <v>47.643110290476301</v>
      </c>
      <c r="O36" s="21">
        <v>72.009907262624395</v>
      </c>
      <c r="P36" s="21">
        <v>49.709908176221298</v>
      </c>
      <c r="Q36" s="21">
        <v>43.321866893454199</v>
      </c>
      <c r="R36" s="21">
        <v>61.038157079971299</v>
      </c>
      <c r="S36" s="21">
        <v>49.138015377387198</v>
      </c>
    </row>
    <row r="37" spans="1:19">
      <c r="A37" s="9">
        <f t="shared" si="0"/>
        <v>33848</v>
      </c>
      <c r="B37" s="21">
        <v>51.446123372997697</v>
      </c>
      <c r="C37" s="21">
        <v>54.156867736927602</v>
      </c>
      <c r="D37" s="21">
        <v>51.631093998492297</v>
      </c>
      <c r="E37" s="21">
        <v>58.119963916482398</v>
      </c>
      <c r="F37" s="21">
        <v>59.453781285147798</v>
      </c>
      <c r="G37" s="21">
        <v>42.355584733762903</v>
      </c>
      <c r="H37" s="21">
        <v>55.474080507327301</v>
      </c>
      <c r="I37" s="21">
        <v>59.834652756620898</v>
      </c>
      <c r="J37" s="21">
        <v>71.434065829771399</v>
      </c>
      <c r="K37" s="21">
        <v>38.047418666497798</v>
      </c>
      <c r="L37" s="21">
        <v>49.130352222940601</v>
      </c>
      <c r="M37" s="21">
        <v>27.332398235663</v>
      </c>
      <c r="N37" s="21">
        <v>46.465105997781201</v>
      </c>
      <c r="O37" s="21">
        <v>71.018986061079104</v>
      </c>
      <c r="P37" s="21">
        <v>51.1811522854264</v>
      </c>
      <c r="Q37" s="21">
        <v>44.463698216029798</v>
      </c>
      <c r="R37" s="21">
        <v>63.399961869868001</v>
      </c>
      <c r="S37" s="21">
        <v>49.138015377387198</v>
      </c>
    </row>
    <row r="38" spans="1:19">
      <c r="A38" s="9">
        <f t="shared" si="0"/>
        <v>33878</v>
      </c>
      <c r="B38" s="21">
        <v>50.463562856050103</v>
      </c>
      <c r="C38" s="21">
        <v>53.063479269301801</v>
      </c>
      <c r="D38" s="21">
        <v>49.839779150516001</v>
      </c>
      <c r="E38" s="21">
        <v>55.7851853986866</v>
      </c>
      <c r="F38" s="21">
        <v>57.0292870988104</v>
      </c>
      <c r="G38" s="21">
        <v>41.081155144347697</v>
      </c>
      <c r="H38" s="21">
        <v>53.295594822381901</v>
      </c>
      <c r="I38" s="21">
        <v>57.836222267334001</v>
      </c>
      <c r="J38" s="21">
        <v>71.710940123304397</v>
      </c>
      <c r="K38" s="21">
        <v>36.489354932570798</v>
      </c>
      <c r="L38" s="21">
        <v>45.975917235465502</v>
      </c>
      <c r="M38" s="21">
        <v>27.317712029883499</v>
      </c>
      <c r="N38" s="21">
        <v>43.6545836487578</v>
      </c>
      <c r="O38" s="21">
        <v>70.607052022963202</v>
      </c>
      <c r="P38" s="21">
        <v>51.357135262061398</v>
      </c>
      <c r="Q38" s="21">
        <v>44.861904286914999</v>
      </c>
      <c r="R38" s="21">
        <v>66.889226195530796</v>
      </c>
      <c r="S38" s="21">
        <v>47.532748535817703</v>
      </c>
    </row>
    <row r="39" spans="1:19">
      <c r="A39" s="9">
        <f t="shared" si="0"/>
        <v>33909</v>
      </c>
      <c r="B39" s="21">
        <v>48.831132694184802</v>
      </c>
      <c r="C39" s="21">
        <v>51.334952202455902</v>
      </c>
      <c r="D39" s="21">
        <v>48.857534115576001</v>
      </c>
      <c r="E39" s="21">
        <v>54.843065585560197</v>
      </c>
      <c r="F39" s="21">
        <v>55.850838540391898</v>
      </c>
      <c r="G39" s="21">
        <v>42.932203301652898</v>
      </c>
      <c r="H39" s="21">
        <v>51.937861925492399</v>
      </c>
      <c r="I39" s="21">
        <v>57.068694345307897</v>
      </c>
      <c r="J39" s="21">
        <v>72.124479819313805</v>
      </c>
      <c r="K39" s="21">
        <v>35.122713659095403</v>
      </c>
      <c r="L39" s="21">
        <v>43.914144089169802</v>
      </c>
      <c r="M39" s="21">
        <v>26.623126776726199</v>
      </c>
      <c r="N39" s="21">
        <v>41.820372991449702</v>
      </c>
      <c r="O39" s="21">
        <v>70.623969023005102</v>
      </c>
      <c r="P39" s="21">
        <v>48.793312562903303</v>
      </c>
      <c r="Q39" s="21">
        <v>43.726346140448101</v>
      </c>
      <c r="R39" s="21">
        <v>64.947498169007901</v>
      </c>
      <c r="S39" s="21">
        <v>45.927481694248101</v>
      </c>
    </row>
    <row r="40" spans="1:19">
      <c r="A40" s="9">
        <f t="shared" si="0"/>
        <v>33939</v>
      </c>
      <c r="B40" s="21">
        <v>48.185919198147701</v>
      </c>
      <c r="C40" s="21">
        <v>50.618498431468801</v>
      </c>
      <c r="D40" s="21">
        <v>49.019705128488098</v>
      </c>
      <c r="E40" s="21">
        <v>54.718865847544599</v>
      </c>
      <c r="F40" s="21">
        <v>55.1363110393808</v>
      </c>
      <c r="G40" s="21">
        <v>49.785083722115203</v>
      </c>
      <c r="H40" s="21">
        <v>52.703925937962502</v>
      </c>
      <c r="I40" s="21">
        <v>57.024810468431397</v>
      </c>
      <c r="J40" s="21">
        <v>72.6239113404677</v>
      </c>
      <c r="K40" s="21">
        <v>35.572290949594802</v>
      </c>
      <c r="L40" s="21">
        <v>44.786188404411199</v>
      </c>
      <c r="M40" s="21">
        <v>26.664261412723501</v>
      </c>
      <c r="N40" s="21">
        <v>42.649244799486702</v>
      </c>
      <c r="O40" s="21">
        <v>71.215478887649695</v>
      </c>
      <c r="P40" s="21">
        <v>46.9915178483486</v>
      </c>
      <c r="Q40" s="21">
        <v>41.5606056974189</v>
      </c>
      <c r="R40" s="21">
        <v>63.826579970309702</v>
      </c>
      <c r="S40" s="21">
        <v>45.927481694248101</v>
      </c>
    </row>
    <row r="41" spans="1:19">
      <c r="A41" s="9">
        <f t="shared" si="0"/>
        <v>33970</v>
      </c>
      <c r="B41" s="21">
        <v>47.905800415688702</v>
      </c>
      <c r="C41" s="21">
        <v>50.359171937168398</v>
      </c>
      <c r="D41" s="21">
        <v>49.385876816075402</v>
      </c>
      <c r="E41" s="21">
        <v>55.663866781618403</v>
      </c>
      <c r="F41" s="21">
        <v>56.270579404620499</v>
      </c>
      <c r="G41" s="21">
        <v>48.493134064651699</v>
      </c>
      <c r="H41" s="21">
        <v>52.548356124897403</v>
      </c>
      <c r="I41" s="21">
        <v>57.898573909078401</v>
      </c>
      <c r="J41" s="21">
        <v>73.015772121453693</v>
      </c>
      <c r="K41" s="21">
        <v>35.175844473239898</v>
      </c>
      <c r="L41" s="21">
        <v>44.413027480009902</v>
      </c>
      <c r="M41" s="21">
        <v>26.245302380134699</v>
      </c>
      <c r="N41" s="21">
        <v>42.306403916880697</v>
      </c>
      <c r="O41" s="21">
        <v>71.454687856183398</v>
      </c>
      <c r="P41" s="21">
        <v>45.7855856386103</v>
      </c>
      <c r="Q41" s="21">
        <v>40.333550502739499</v>
      </c>
      <c r="R41" s="21">
        <v>62.266635892812701</v>
      </c>
      <c r="S41" s="21">
        <v>45.927481694248101</v>
      </c>
    </row>
    <row r="42" spans="1:19">
      <c r="A42" s="9">
        <f t="shared" si="0"/>
        <v>34001</v>
      </c>
      <c r="B42" s="21">
        <v>48.2497551639417</v>
      </c>
      <c r="C42" s="21">
        <v>50.739829967990303</v>
      </c>
      <c r="D42" s="21">
        <v>49.486434081569598</v>
      </c>
      <c r="E42" s="21">
        <v>55.285096640994396</v>
      </c>
      <c r="F42" s="21">
        <v>56.092034673419903</v>
      </c>
      <c r="G42" s="21">
        <v>45.7479010556331</v>
      </c>
      <c r="H42" s="21">
        <v>53.524326929070497</v>
      </c>
      <c r="I42" s="21">
        <v>58.082885819549801</v>
      </c>
      <c r="J42" s="21">
        <v>77.009184057447001</v>
      </c>
      <c r="K42" s="21">
        <v>35.073151113581901</v>
      </c>
      <c r="L42" s="21">
        <v>44.189634608861702</v>
      </c>
      <c r="M42" s="21">
        <v>26.259301746732</v>
      </c>
      <c r="N42" s="21">
        <v>42.103220073386503</v>
      </c>
      <c r="O42" s="21">
        <v>72.853202361794601</v>
      </c>
      <c r="P42" s="21">
        <v>46.478208158009402</v>
      </c>
      <c r="Q42" s="21">
        <v>42.553231177076803</v>
      </c>
      <c r="R42" s="21">
        <v>59.826241304202398</v>
      </c>
      <c r="S42" s="21">
        <v>43.073673975902203</v>
      </c>
    </row>
    <row r="43" spans="1:19">
      <c r="A43" s="9">
        <f t="shared" si="0"/>
        <v>34029</v>
      </c>
      <c r="B43" s="21">
        <v>49.341897066258298</v>
      </c>
      <c r="C43" s="21">
        <v>51.949048122671002</v>
      </c>
      <c r="D43" s="21">
        <v>50.225622119410602</v>
      </c>
      <c r="E43" s="21">
        <v>56.777503526510699</v>
      </c>
      <c r="F43" s="21">
        <v>57.816504470566599</v>
      </c>
      <c r="G43" s="21">
        <v>44.4975578322289</v>
      </c>
      <c r="H43" s="21">
        <v>53.212931667215798</v>
      </c>
      <c r="I43" s="21">
        <v>59.613046630689801</v>
      </c>
      <c r="J43" s="21">
        <v>78.794740114762504</v>
      </c>
      <c r="K43" s="21">
        <v>34.5113509361057</v>
      </c>
      <c r="L43" s="21">
        <v>43.044749270064699</v>
      </c>
      <c r="M43" s="21">
        <v>26.2612304217886</v>
      </c>
      <c r="N43" s="21">
        <v>41.035525831205497</v>
      </c>
      <c r="O43" s="21">
        <v>75.313075125405305</v>
      </c>
      <c r="P43" s="21">
        <v>48.075957743073197</v>
      </c>
      <c r="Q43" s="21">
        <v>42.992082515674802</v>
      </c>
      <c r="R43" s="21">
        <v>65.1156043645708</v>
      </c>
      <c r="S43" s="21">
        <v>43.073673975902203</v>
      </c>
    </row>
    <row r="44" spans="1:19">
      <c r="A44" s="9">
        <f t="shared" si="0"/>
        <v>34060</v>
      </c>
      <c r="B44" s="21">
        <v>49.955214381230803</v>
      </c>
      <c r="C44" s="21">
        <v>52.523112074626198</v>
      </c>
      <c r="D44" s="21">
        <v>50.942606031043198</v>
      </c>
      <c r="E44" s="21">
        <v>57.477061441986798</v>
      </c>
      <c r="F44" s="21">
        <v>58.7383285982025</v>
      </c>
      <c r="G44" s="21">
        <v>42.570152768882103</v>
      </c>
      <c r="H44" s="21">
        <v>53.622143004385599</v>
      </c>
      <c r="I44" s="21">
        <v>60.907186376421102</v>
      </c>
      <c r="J44" s="21">
        <v>84.111067497967994</v>
      </c>
      <c r="K44" s="21">
        <v>34.286579950134303</v>
      </c>
      <c r="L44" s="21">
        <v>41.503494474146898</v>
      </c>
      <c r="M44" s="21">
        <v>27.309240766554101</v>
      </c>
      <c r="N44" s="21">
        <v>39.854297194145801</v>
      </c>
      <c r="O44" s="21">
        <v>77.157008536380701</v>
      </c>
      <c r="P44" s="21">
        <v>48.540772284762603</v>
      </c>
      <c r="Q44" s="21">
        <v>41.987183786994301</v>
      </c>
      <c r="R44" s="21">
        <v>67.555160506960902</v>
      </c>
      <c r="S44" s="21">
        <v>43.073673975902203</v>
      </c>
    </row>
    <row r="45" spans="1:19">
      <c r="A45" s="9">
        <f t="shared" si="0"/>
        <v>34090</v>
      </c>
      <c r="B45" s="21">
        <v>50.122558447515601</v>
      </c>
      <c r="C45" s="21">
        <v>52.485046874689097</v>
      </c>
      <c r="D45" s="21">
        <v>51.967558205832098</v>
      </c>
      <c r="E45" s="21">
        <v>58.383843633818202</v>
      </c>
      <c r="F45" s="21">
        <v>59.653222987931599</v>
      </c>
      <c r="G45" s="21">
        <v>43.381056944226202</v>
      </c>
      <c r="H45" s="21">
        <v>54.151245840135999</v>
      </c>
      <c r="I45" s="21">
        <v>62.333016266773399</v>
      </c>
      <c r="J45" s="21">
        <v>89.048116752950605</v>
      </c>
      <c r="K45" s="21">
        <v>34.695439663550196</v>
      </c>
      <c r="L45" s="21">
        <v>40.280539660043303</v>
      </c>
      <c r="M45" s="21">
        <v>29.295744694171699</v>
      </c>
      <c r="N45" s="21">
        <v>38.999617039080803</v>
      </c>
      <c r="O45" s="21">
        <v>78.316865683616001</v>
      </c>
      <c r="P45" s="21">
        <v>47.479589645184397</v>
      </c>
      <c r="Q45" s="21">
        <v>41.297010965409299</v>
      </c>
      <c r="R45" s="21">
        <v>64.815133228926598</v>
      </c>
      <c r="S45" s="21">
        <v>43.073673975902203</v>
      </c>
    </row>
    <row r="46" spans="1:19">
      <c r="A46" s="9">
        <f t="shared" si="0"/>
        <v>34121</v>
      </c>
      <c r="B46" s="21">
        <v>49.241382525940601</v>
      </c>
      <c r="C46" s="21">
        <v>51.4566480610562</v>
      </c>
      <c r="D46" s="21">
        <v>51.614124776274799</v>
      </c>
      <c r="E46" s="21">
        <v>57.794467602900397</v>
      </c>
      <c r="F46" s="21">
        <v>59.026616615200197</v>
      </c>
      <c r="G46" s="21">
        <v>43.231706091597701</v>
      </c>
      <c r="H46" s="21">
        <v>53.882016456610302</v>
      </c>
      <c r="I46" s="21">
        <v>61.6080896959391</v>
      </c>
      <c r="J46" s="21">
        <v>87.406226901097995</v>
      </c>
      <c r="K46" s="21">
        <v>35.013720926320403</v>
      </c>
      <c r="L46" s="21">
        <v>40.556911344554798</v>
      </c>
      <c r="M46" s="21">
        <v>29.654544289475801</v>
      </c>
      <c r="N46" s="21">
        <v>39.242192776060399</v>
      </c>
      <c r="O46" s="21">
        <v>76.121420252063899</v>
      </c>
      <c r="P46" s="21">
        <v>45.842420702049303</v>
      </c>
      <c r="Q46" s="21">
        <v>39.765490545376899</v>
      </c>
      <c r="R46" s="21">
        <v>62.667897573653299</v>
      </c>
      <c r="S46" s="21">
        <v>43.073673975902203</v>
      </c>
    </row>
    <row r="47" spans="1:19">
      <c r="A47" s="9">
        <f t="shared" si="0"/>
        <v>34151</v>
      </c>
      <c r="B47" s="21">
        <v>48.792818216426603</v>
      </c>
      <c r="C47" s="21">
        <v>50.7692228908438</v>
      </c>
      <c r="D47" s="21">
        <v>52.178126843790601</v>
      </c>
      <c r="E47" s="21">
        <v>58.297715948898698</v>
      </c>
      <c r="F47" s="21">
        <v>59.295419677979297</v>
      </c>
      <c r="G47" s="21">
        <v>46.505861781503697</v>
      </c>
      <c r="H47" s="21">
        <v>54.122683597425201</v>
      </c>
      <c r="I47" s="21">
        <v>62.140235687023299</v>
      </c>
      <c r="J47" s="21">
        <v>88.133857760542199</v>
      </c>
      <c r="K47" s="21">
        <v>35.950529582213001</v>
      </c>
      <c r="L47" s="21">
        <v>40.604021570815803</v>
      </c>
      <c r="M47" s="21">
        <v>31.451516619745298</v>
      </c>
      <c r="N47" s="21">
        <v>39.602808803954098</v>
      </c>
      <c r="O47" s="21">
        <v>71.157395775671006</v>
      </c>
      <c r="P47" s="21">
        <v>43.9433514086099</v>
      </c>
      <c r="Q47" s="21">
        <v>37.604927369646397</v>
      </c>
      <c r="R47" s="21">
        <v>63.190087679414397</v>
      </c>
      <c r="S47" s="21">
        <v>43.073673975902203</v>
      </c>
    </row>
    <row r="48" spans="1:19">
      <c r="A48" s="9">
        <f t="shared" si="0"/>
        <v>34182</v>
      </c>
      <c r="B48" s="21">
        <v>48.611131039911903</v>
      </c>
      <c r="C48" s="21">
        <v>50.691799796565803</v>
      </c>
      <c r="D48" s="21">
        <v>51.3035744109959</v>
      </c>
      <c r="E48" s="21">
        <v>57.940267056131198</v>
      </c>
      <c r="F48" s="21">
        <v>58.520415383841097</v>
      </c>
      <c r="G48" s="21">
        <v>51.083497579967997</v>
      </c>
      <c r="H48" s="21">
        <v>52.690019969844499</v>
      </c>
      <c r="I48" s="21">
        <v>61.385916057666599</v>
      </c>
      <c r="J48" s="21">
        <v>84.694813356297601</v>
      </c>
      <c r="K48" s="21">
        <v>35.086920529032902</v>
      </c>
      <c r="L48" s="21">
        <v>39.968848305853101</v>
      </c>
      <c r="M48" s="21">
        <v>30.367055016523398</v>
      </c>
      <c r="N48" s="21">
        <v>38.928287977995701</v>
      </c>
      <c r="O48" s="21">
        <v>66.988809665751205</v>
      </c>
      <c r="P48" s="21">
        <v>44.754196208488601</v>
      </c>
      <c r="Q48" s="21">
        <v>37.761171485148203</v>
      </c>
      <c r="R48" s="21">
        <v>66.0961788143196</v>
      </c>
      <c r="S48" s="21">
        <v>43.073673975902203</v>
      </c>
    </row>
    <row r="49" spans="1:19">
      <c r="A49" s="9">
        <f t="shared" si="0"/>
        <v>34213</v>
      </c>
      <c r="B49" s="21">
        <v>47.666607774843897</v>
      </c>
      <c r="C49" s="21">
        <v>49.8613655731303</v>
      </c>
      <c r="D49" s="21">
        <v>50.558683458176098</v>
      </c>
      <c r="E49" s="21">
        <v>58.032051356956103</v>
      </c>
      <c r="F49" s="21">
        <v>58.207027184166598</v>
      </c>
      <c r="G49" s="21">
        <v>55.964013143661603</v>
      </c>
      <c r="H49" s="21">
        <v>51.432137325005201</v>
      </c>
      <c r="I49" s="21">
        <v>61.410390380281598</v>
      </c>
      <c r="J49" s="21">
        <v>84.263953613089598</v>
      </c>
      <c r="K49" s="21">
        <v>33.242339317372199</v>
      </c>
      <c r="L49" s="21">
        <v>38.382243017043898</v>
      </c>
      <c r="M49" s="21">
        <v>28.273061745326299</v>
      </c>
      <c r="N49" s="21">
        <v>37.166187731001003</v>
      </c>
      <c r="O49" s="21">
        <v>65.093628309321005</v>
      </c>
      <c r="P49" s="21">
        <v>43.5236989367408</v>
      </c>
      <c r="Q49" s="21">
        <v>36.083829499967798</v>
      </c>
      <c r="R49" s="21">
        <v>64.612635821410805</v>
      </c>
      <c r="S49" s="21">
        <v>43.073673975902203</v>
      </c>
    </row>
    <row r="50" spans="1:19">
      <c r="A50" s="9">
        <f t="shared" si="0"/>
        <v>34243</v>
      </c>
      <c r="B50" s="21">
        <v>47.500625045212999</v>
      </c>
      <c r="C50" s="21">
        <v>49.603703760934799</v>
      </c>
      <c r="D50" s="21">
        <v>50.115986601698403</v>
      </c>
      <c r="E50" s="21">
        <v>57.3868703328381</v>
      </c>
      <c r="F50" s="21">
        <v>57.631151248101702</v>
      </c>
      <c r="G50" s="21">
        <v>54.499715714983203</v>
      </c>
      <c r="H50" s="21">
        <v>50.510870249269097</v>
      </c>
      <c r="I50" s="21">
        <v>60.858074188079399</v>
      </c>
      <c r="J50" s="21">
        <v>84.339843262172295</v>
      </c>
      <c r="K50" s="21">
        <v>32.929564769359402</v>
      </c>
      <c r="L50" s="21">
        <v>37.0646290029241</v>
      </c>
      <c r="M50" s="21">
        <v>28.931769644105401</v>
      </c>
      <c r="N50" s="21">
        <v>36.0836068658069</v>
      </c>
      <c r="O50" s="21">
        <v>65.270757915174201</v>
      </c>
      <c r="P50" s="21">
        <v>43.754110190970003</v>
      </c>
      <c r="Q50" s="21">
        <v>37.675927546125898</v>
      </c>
      <c r="R50" s="21">
        <v>61.101818656461496</v>
      </c>
      <c r="S50" s="21">
        <v>43.073673975902203</v>
      </c>
    </row>
    <row r="51" spans="1:19">
      <c r="A51" s="9">
        <f t="shared" si="0"/>
        <v>34274</v>
      </c>
      <c r="B51" s="21">
        <v>47.1156513992958</v>
      </c>
      <c r="C51" s="21">
        <v>49.067391946963198</v>
      </c>
      <c r="D51" s="21">
        <v>50.504837113010701</v>
      </c>
      <c r="E51" s="21">
        <v>57.996613908514099</v>
      </c>
      <c r="F51" s="21">
        <v>58.185368549342101</v>
      </c>
      <c r="G51" s="21">
        <v>55.765723982790597</v>
      </c>
      <c r="H51" s="21">
        <v>49.873489110815299</v>
      </c>
      <c r="I51" s="21">
        <v>61.203843913529198</v>
      </c>
      <c r="J51" s="21">
        <v>82.899900234609007</v>
      </c>
      <c r="K51" s="21">
        <v>33.236581059785898</v>
      </c>
      <c r="L51" s="21">
        <v>36.746247816729301</v>
      </c>
      <c r="M51" s="21">
        <v>29.843422487233699</v>
      </c>
      <c r="N51" s="21">
        <v>35.875352887965299</v>
      </c>
      <c r="O51" s="21">
        <v>68.167280102852203</v>
      </c>
      <c r="P51" s="21">
        <v>42.260630651310201</v>
      </c>
      <c r="Q51" s="21">
        <v>35.221834995279202</v>
      </c>
      <c r="R51" s="21">
        <v>64.7563411615549</v>
      </c>
      <c r="S51" s="21">
        <v>43.073673975902203</v>
      </c>
    </row>
    <row r="52" spans="1:19">
      <c r="A52" s="9">
        <f t="shared" si="0"/>
        <v>34304</v>
      </c>
      <c r="B52" s="21">
        <v>46.369499147486302</v>
      </c>
      <c r="C52" s="21">
        <v>48.152976504840602</v>
      </c>
      <c r="D52" s="21">
        <v>51.897937908018299</v>
      </c>
      <c r="E52" s="21">
        <v>59.526985127143199</v>
      </c>
      <c r="F52" s="21">
        <v>59.725414725887099</v>
      </c>
      <c r="G52" s="21">
        <v>57.181746933998298</v>
      </c>
      <c r="H52" s="21">
        <v>51.312347004424502</v>
      </c>
      <c r="I52" s="21">
        <v>62.566963919792698</v>
      </c>
      <c r="J52" s="21">
        <v>83.131610358332907</v>
      </c>
      <c r="K52" s="21">
        <v>34.590899579483803</v>
      </c>
      <c r="L52" s="21">
        <v>38.664919275109703</v>
      </c>
      <c r="M52" s="21">
        <v>30.652122535306798</v>
      </c>
      <c r="N52" s="21">
        <v>37.733095579766399</v>
      </c>
      <c r="O52" s="21">
        <v>70.996000701965698</v>
      </c>
      <c r="P52" s="21">
        <v>38.449990701036697</v>
      </c>
      <c r="Q52" s="21">
        <v>31.144736467942401</v>
      </c>
      <c r="R52" s="21">
        <v>61.484831815456197</v>
      </c>
      <c r="S52" s="21">
        <v>42.685587602592598</v>
      </c>
    </row>
    <row r="53" spans="1:19">
      <c r="A53" s="9">
        <f t="shared" si="0"/>
        <v>34335</v>
      </c>
      <c r="B53" s="21">
        <v>47.494676169416401</v>
      </c>
      <c r="C53" s="21">
        <v>49.371825299791297</v>
      </c>
      <c r="D53" s="21">
        <v>52.854103808008901</v>
      </c>
      <c r="E53" s="21">
        <v>60.290800716672599</v>
      </c>
      <c r="F53" s="21">
        <v>60.8146556753588</v>
      </c>
      <c r="G53" s="21">
        <v>54.099362218806498</v>
      </c>
      <c r="H53" s="21">
        <v>52.972329885141001</v>
      </c>
      <c r="I53" s="21">
        <v>63.502708669457697</v>
      </c>
      <c r="J53" s="21">
        <v>85.230410060622106</v>
      </c>
      <c r="K53" s="21">
        <v>35.495218179233603</v>
      </c>
      <c r="L53" s="21">
        <v>40.150482529088698</v>
      </c>
      <c r="M53" s="21">
        <v>30.994491691467498</v>
      </c>
      <c r="N53" s="21">
        <v>39.124090881723397</v>
      </c>
      <c r="O53" s="21">
        <v>73.363288322743799</v>
      </c>
      <c r="P53" s="21">
        <v>39.817276764184797</v>
      </c>
      <c r="Q53" s="21">
        <v>33.015139289094698</v>
      </c>
      <c r="R53" s="21">
        <v>61.886090528234398</v>
      </c>
      <c r="S53" s="21">
        <v>43.073673975902203</v>
      </c>
    </row>
    <row r="54" spans="1:19">
      <c r="A54" s="9">
        <f t="shared" si="0"/>
        <v>34366</v>
      </c>
      <c r="B54" s="21">
        <v>48.288945624226599</v>
      </c>
      <c r="C54" s="21">
        <v>50.300053191993797</v>
      </c>
      <c r="D54" s="21">
        <v>53.783956372718798</v>
      </c>
      <c r="E54" s="21">
        <v>60.979557070267198</v>
      </c>
      <c r="F54" s="21">
        <v>61.4841924208256</v>
      </c>
      <c r="G54" s="21">
        <v>55.015275001300601</v>
      </c>
      <c r="H54" s="21">
        <v>55.165324192247098</v>
      </c>
      <c r="I54" s="21">
        <v>64.595406108980299</v>
      </c>
      <c r="J54" s="21">
        <v>89.055661304202403</v>
      </c>
      <c r="K54" s="21">
        <v>36.128690491929099</v>
      </c>
      <c r="L54" s="21">
        <v>41.694692123295603</v>
      </c>
      <c r="M54" s="21">
        <v>30.747459891346601</v>
      </c>
      <c r="N54" s="21">
        <v>40.578923804507902</v>
      </c>
      <c r="O54" s="21">
        <v>75.133515679852493</v>
      </c>
      <c r="P54" s="21">
        <v>40.417322925483603</v>
      </c>
      <c r="Q54" s="21">
        <v>31.852333834327201</v>
      </c>
      <c r="R54" s="21">
        <v>66.969957328159396</v>
      </c>
      <c r="S54" s="21">
        <v>43.073673975902203</v>
      </c>
    </row>
    <row r="55" spans="1:19">
      <c r="A55" s="9">
        <f t="shared" si="0"/>
        <v>34394</v>
      </c>
      <c r="B55" s="21">
        <v>47.378818258796699</v>
      </c>
      <c r="C55" s="21">
        <v>49.271962015018197</v>
      </c>
      <c r="D55" s="21">
        <v>53.7079883136619</v>
      </c>
      <c r="E55" s="21">
        <v>60.542733120105602</v>
      </c>
      <c r="F55" s="21">
        <v>60.721724673902798</v>
      </c>
      <c r="G55" s="21">
        <v>58.427233059265198</v>
      </c>
      <c r="H55" s="21">
        <v>55.251644876600899</v>
      </c>
      <c r="I55" s="21">
        <v>64.2245747343799</v>
      </c>
      <c r="J55" s="21">
        <v>89.131252117566902</v>
      </c>
      <c r="K55" s="21">
        <v>36.276136773939001</v>
      </c>
      <c r="L55" s="21">
        <v>41.785277685386198</v>
      </c>
      <c r="M55" s="21">
        <v>30.949879323970801</v>
      </c>
      <c r="N55" s="21">
        <v>40.743737393946503</v>
      </c>
      <c r="O55" s="21">
        <v>78.872482979919297</v>
      </c>
      <c r="P55" s="21">
        <v>38.312259347742298</v>
      </c>
      <c r="Q55" s="21">
        <v>30.899187140999199</v>
      </c>
      <c r="R55" s="21">
        <v>58.939841486718699</v>
      </c>
      <c r="S55" s="21">
        <v>42.003496081522499</v>
      </c>
    </row>
    <row r="56" spans="1:19">
      <c r="A56" s="9">
        <f t="shared" si="0"/>
        <v>34425</v>
      </c>
      <c r="B56" s="21">
        <v>48.468658861475902</v>
      </c>
      <c r="C56" s="21">
        <v>50.5456833576633</v>
      </c>
      <c r="D56" s="21">
        <v>53.923561883267801</v>
      </c>
      <c r="E56" s="21">
        <v>60.498502505995198</v>
      </c>
      <c r="F56" s="21">
        <v>60.459358121630203</v>
      </c>
      <c r="G56" s="21">
        <v>60.961149741291003</v>
      </c>
      <c r="H56" s="21">
        <v>56.375928425182202</v>
      </c>
      <c r="I56" s="21">
        <v>64.880947330190295</v>
      </c>
      <c r="J56" s="21">
        <v>94.527018731706306</v>
      </c>
      <c r="K56" s="21">
        <v>35.7342893984383</v>
      </c>
      <c r="L56" s="21">
        <v>41.211744638788502</v>
      </c>
      <c r="M56" s="21">
        <v>30.438665770412801</v>
      </c>
      <c r="N56" s="21">
        <v>40.188440214569297</v>
      </c>
      <c r="O56" s="21">
        <v>80.598907170769394</v>
      </c>
      <c r="P56" s="21">
        <v>40.654490625761198</v>
      </c>
      <c r="Q56" s="21">
        <v>34.4424352942344</v>
      </c>
      <c r="R56" s="21">
        <v>57.732847163468797</v>
      </c>
      <c r="S56" s="21">
        <v>42.003496081522499</v>
      </c>
    </row>
    <row r="57" spans="1:19">
      <c r="A57" s="9">
        <f t="shared" si="0"/>
        <v>34455</v>
      </c>
      <c r="B57" s="21">
        <v>49.887564124450101</v>
      </c>
      <c r="C57" s="21">
        <v>52.087202206669303</v>
      </c>
      <c r="D57" s="21">
        <v>54.966678664443798</v>
      </c>
      <c r="E57" s="21">
        <v>61.281236386606501</v>
      </c>
      <c r="F57" s="21">
        <v>60.172585977635599</v>
      </c>
      <c r="G57" s="21">
        <v>74.384368673435603</v>
      </c>
      <c r="H57" s="21">
        <v>58.7545117940995</v>
      </c>
      <c r="I57" s="21">
        <v>65.6719934299404</v>
      </c>
      <c r="J57" s="21">
        <v>95.374294778890103</v>
      </c>
      <c r="K57" s="21">
        <v>37.380859731901197</v>
      </c>
      <c r="L57" s="21">
        <v>44.198987563006703</v>
      </c>
      <c r="M57" s="21">
        <v>30.789068971965701</v>
      </c>
      <c r="N57" s="21">
        <v>42.889909699384397</v>
      </c>
      <c r="O57" s="21">
        <v>77.876306429133507</v>
      </c>
      <c r="P57" s="21">
        <v>42.611714243082702</v>
      </c>
      <c r="Q57" s="21">
        <v>37.086996244345301</v>
      </c>
      <c r="R57" s="21">
        <v>56.342110782055201</v>
      </c>
      <c r="S57" s="21">
        <v>43.359054747736799</v>
      </c>
    </row>
    <row r="58" spans="1:19">
      <c r="A58" s="9">
        <f t="shared" si="0"/>
        <v>34486</v>
      </c>
      <c r="B58" s="21">
        <v>51.090778483389201</v>
      </c>
      <c r="C58" s="21">
        <v>53.389528556885701</v>
      </c>
      <c r="D58" s="21">
        <v>55.695205959866399</v>
      </c>
      <c r="E58" s="21">
        <v>61.381696545382901</v>
      </c>
      <c r="F58" s="21">
        <v>59.475448865826699</v>
      </c>
      <c r="G58" s="21">
        <v>83.911626011493894</v>
      </c>
      <c r="H58" s="21">
        <v>61.415413557609497</v>
      </c>
      <c r="I58" s="21">
        <v>66.161550331889401</v>
      </c>
      <c r="J58" s="21">
        <v>98.495987461877306</v>
      </c>
      <c r="K58" s="21">
        <v>38.749783841930899</v>
      </c>
      <c r="L58" s="21">
        <v>46.676735499616598</v>
      </c>
      <c r="M58" s="21">
        <v>31.0859781776836</v>
      </c>
      <c r="N58" s="21">
        <v>45.096726136340997</v>
      </c>
      <c r="O58" s="21">
        <v>73.871128615551697</v>
      </c>
      <c r="P58" s="21">
        <v>44.494919531066202</v>
      </c>
      <c r="Q58" s="21">
        <v>38.848272457299601</v>
      </c>
      <c r="R58" s="21">
        <v>57.653612963106902</v>
      </c>
      <c r="S58" s="21">
        <v>46.092908112756</v>
      </c>
    </row>
    <row r="59" spans="1:19">
      <c r="A59" s="9">
        <f t="shared" si="0"/>
        <v>34516</v>
      </c>
      <c r="B59" s="21">
        <v>52.134950232764602</v>
      </c>
      <c r="C59" s="21">
        <v>54.555713787896899</v>
      </c>
      <c r="D59" s="21">
        <v>56.524928736380097</v>
      </c>
      <c r="E59" s="21">
        <v>62.755754621361397</v>
      </c>
      <c r="F59" s="21">
        <v>58.450531207326499</v>
      </c>
      <c r="G59" s="21">
        <v>113.63916336950101</v>
      </c>
      <c r="H59" s="21">
        <v>61.939786712682199</v>
      </c>
      <c r="I59" s="21">
        <v>67.177234742312507</v>
      </c>
      <c r="J59" s="21">
        <v>97.087369524254697</v>
      </c>
      <c r="K59" s="21">
        <v>39.395312529010397</v>
      </c>
      <c r="L59" s="21">
        <v>47.9694283003819</v>
      </c>
      <c r="M59" s="21">
        <v>31.105826248261099</v>
      </c>
      <c r="N59" s="21">
        <v>46.286459510317698</v>
      </c>
      <c r="O59" s="21">
        <v>73.032457381909495</v>
      </c>
      <c r="P59" s="21">
        <v>45.846290206842802</v>
      </c>
      <c r="Q59" s="21">
        <v>39.761072357670102</v>
      </c>
      <c r="R59" s="21">
        <v>58.142897912205001</v>
      </c>
      <c r="S59" s="21">
        <v>45.736182147962801</v>
      </c>
    </row>
    <row r="60" spans="1:19">
      <c r="A60" s="9">
        <f t="shared" si="0"/>
        <v>34547</v>
      </c>
      <c r="B60" s="21">
        <v>51.277990040083303</v>
      </c>
      <c r="C60" s="21">
        <v>53.643491552119301</v>
      </c>
      <c r="D60" s="21">
        <v>56.5110292512028</v>
      </c>
      <c r="E60" s="21">
        <v>63.147548631139102</v>
      </c>
      <c r="F60" s="21">
        <v>58.643402797975</v>
      </c>
      <c r="G60" s="21">
        <v>116.382020213491</v>
      </c>
      <c r="H60" s="21">
        <v>61.243907440369703</v>
      </c>
      <c r="I60" s="21">
        <v>67.564403019770694</v>
      </c>
      <c r="J60" s="21">
        <v>97.443245955236605</v>
      </c>
      <c r="K60" s="21">
        <v>38.679600646643202</v>
      </c>
      <c r="L60" s="21">
        <v>46.855500247418497</v>
      </c>
      <c r="M60" s="21">
        <v>30.775111206495399</v>
      </c>
      <c r="N60" s="21">
        <v>45.292486501814302</v>
      </c>
      <c r="O60" s="21">
        <v>74.608935639066701</v>
      </c>
      <c r="P60" s="21">
        <v>43.781642512653399</v>
      </c>
      <c r="Q60" s="21">
        <v>37.708545374310702</v>
      </c>
      <c r="R60" s="21">
        <v>55.199181097776403</v>
      </c>
      <c r="S60" s="21">
        <v>45.736182147962801</v>
      </c>
    </row>
    <row r="61" spans="1:19">
      <c r="A61" s="9">
        <f t="shared" si="0"/>
        <v>34578</v>
      </c>
      <c r="B61" s="21">
        <v>51.489083067430201</v>
      </c>
      <c r="C61" s="21">
        <v>53.776772695089399</v>
      </c>
      <c r="D61" s="21">
        <v>58.0212807845908</v>
      </c>
      <c r="E61" s="21">
        <v>64.663838838634703</v>
      </c>
      <c r="F61" s="21">
        <v>59.348375687007596</v>
      </c>
      <c r="G61" s="21">
        <v>127.487264760782</v>
      </c>
      <c r="H61" s="21">
        <v>62.482749835065597</v>
      </c>
      <c r="I61" s="21">
        <v>68.603738042400806</v>
      </c>
      <c r="J61" s="21">
        <v>95.256106251297396</v>
      </c>
      <c r="K61" s="21">
        <v>40.425574074089702</v>
      </c>
      <c r="L61" s="21">
        <v>49.456091985978297</v>
      </c>
      <c r="M61" s="21">
        <v>31.694836545607899</v>
      </c>
      <c r="N61" s="21">
        <v>47.726938741713298</v>
      </c>
      <c r="O61" s="21">
        <v>84.274797620513098</v>
      </c>
      <c r="P61" s="21">
        <v>42.131686298518197</v>
      </c>
      <c r="Q61" s="21">
        <v>35.647128798822003</v>
      </c>
      <c r="R61" s="21">
        <v>53.451378335350498</v>
      </c>
      <c r="S61" s="21">
        <v>46.124268521272398</v>
      </c>
    </row>
    <row r="62" spans="1:19">
      <c r="A62" s="9">
        <f t="shared" si="0"/>
        <v>34608</v>
      </c>
      <c r="B62" s="21">
        <v>51.990300082892396</v>
      </c>
      <c r="C62" s="21">
        <v>54.3563392872016</v>
      </c>
      <c r="D62" s="21">
        <v>58.306069354714097</v>
      </c>
      <c r="E62" s="21">
        <v>64.139054267535698</v>
      </c>
      <c r="F62" s="21">
        <v>59.195661782174902</v>
      </c>
      <c r="G62" s="21">
        <v>122.564979299695</v>
      </c>
      <c r="H62" s="21">
        <v>63.7167954415739</v>
      </c>
      <c r="I62" s="21">
        <v>68.021668376737594</v>
      </c>
      <c r="J62" s="21">
        <v>94.286518186244095</v>
      </c>
      <c r="K62" s="21">
        <v>41.375197008453199</v>
      </c>
      <c r="L62" s="21">
        <v>51.566031458820703</v>
      </c>
      <c r="M62" s="21">
        <v>31.522661234703499</v>
      </c>
      <c r="N62" s="21">
        <v>49.595586049140501</v>
      </c>
      <c r="O62" s="21">
        <v>95.638235679137793</v>
      </c>
      <c r="P62" s="21">
        <v>42.942937841838202</v>
      </c>
      <c r="Q62" s="21">
        <v>35.927821223133797</v>
      </c>
      <c r="R62" s="21">
        <v>53.849776059363201</v>
      </c>
      <c r="S62" s="21">
        <v>47.4825708278562</v>
      </c>
    </row>
    <row r="63" spans="1:19">
      <c r="A63" s="9">
        <f t="shared" si="0"/>
        <v>34639</v>
      </c>
      <c r="B63" s="21">
        <v>52.6142943432801</v>
      </c>
      <c r="C63" s="21">
        <v>55.098377376027798</v>
      </c>
      <c r="D63" s="21">
        <v>58.580850672187502</v>
      </c>
      <c r="E63" s="21">
        <v>62.9466104342156</v>
      </c>
      <c r="F63" s="21">
        <v>58.738684389417898</v>
      </c>
      <c r="G63" s="21">
        <v>112.68006218061799</v>
      </c>
      <c r="H63" s="21">
        <v>67.1472837269461</v>
      </c>
      <c r="I63" s="21">
        <v>67.048237919484905</v>
      </c>
      <c r="J63" s="21">
        <v>94.794654855389695</v>
      </c>
      <c r="K63" s="21">
        <v>43.393402149490697</v>
      </c>
      <c r="L63" s="21">
        <v>56.158087516984601</v>
      </c>
      <c r="M63" s="21">
        <v>31.052457957294699</v>
      </c>
      <c r="N63" s="21">
        <v>53.5795040791049</v>
      </c>
      <c r="O63" s="21">
        <v>98.472707761037796</v>
      </c>
      <c r="P63" s="21">
        <v>44.067180901355897</v>
      </c>
      <c r="Q63" s="21">
        <v>37.405763032853301</v>
      </c>
      <c r="R63" s="21">
        <v>53.834012095465802</v>
      </c>
      <c r="S63" s="21">
        <v>47.288527641201398</v>
      </c>
    </row>
    <row r="64" spans="1:19">
      <c r="A64" s="9">
        <f t="shared" si="0"/>
        <v>34669</v>
      </c>
      <c r="B64" s="21">
        <v>52.765598554341203</v>
      </c>
      <c r="C64" s="21">
        <v>55.312886739628098</v>
      </c>
      <c r="D64" s="21">
        <v>59.556494962385202</v>
      </c>
      <c r="E64" s="21">
        <v>63.472490712924703</v>
      </c>
      <c r="F64" s="21">
        <v>60.732175610932501</v>
      </c>
      <c r="G64" s="21">
        <v>95.860257856160899</v>
      </c>
      <c r="H64" s="21">
        <v>69.927866476332298</v>
      </c>
      <c r="I64" s="21">
        <v>68.009733538140594</v>
      </c>
      <c r="J64" s="21">
        <v>98.702972165981606</v>
      </c>
      <c r="K64" s="21">
        <v>44.280743578894501</v>
      </c>
      <c r="L64" s="21">
        <v>58.490421631508902</v>
      </c>
      <c r="M64" s="21">
        <v>30.542775208522301</v>
      </c>
      <c r="N64" s="21">
        <v>55.510891789225902</v>
      </c>
      <c r="O64" s="21">
        <v>101.318434725157</v>
      </c>
      <c r="P64" s="21">
        <v>43.037614978505601</v>
      </c>
      <c r="Q64" s="21">
        <v>35.922453502346102</v>
      </c>
      <c r="R64" s="21">
        <v>55.177899480551702</v>
      </c>
      <c r="S64" s="21">
        <v>50.593142549889798</v>
      </c>
    </row>
    <row r="65" spans="1:19">
      <c r="A65" s="9">
        <f t="shared" si="0"/>
        <v>34700</v>
      </c>
      <c r="B65" s="21">
        <v>53.752358584074699</v>
      </c>
      <c r="C65" s="21">
        <v>56.419745976602997</v>
      </c>
      <c r="D65" s="21">
        <v>60.528780449172203</v>
      </c>
      <c r="E65" s="21">
        <v>63.134009125976597</v>
      </c>
      <c r="F65" s="21">
        <v>60.145204726563101</v>
      </c>
      <c r="G65" s="21">
        <v>98.458669729610506</v>
      </c>
      <c r="H65" s="21">
        <v>73.492927310929304</v>
      </c>
      <c r="I65" s="21">
        <v>68.108639236294906</v>
      </c>
      <c r="J65" s="21">
        <v>101.760686292863</v>
      </c>
      <c r="K65" s="21">
        <v>46.110748213112302</v>
      </c>
      <c r="L65" s="21">
        <v>62.2571411515435</v>
      </c>
      <c r="M65" s="21">
        <v>30.500356854318799</v>
      </c>
      <c r="N65" s="21">
        <v>58.875695646628699</v>
      </c>
      <c r="O65" s="21">
        <v>110.251808721251</v>
      </c>
      <c r="P65" s="21">
        <v>44.045109843169698</v>
      </c>
      <c r="Q65" s="21">
        <v>36.979437985960899</v>
      </c>
      <c r="R65" s="21">
        <v>54.370202098729997</v>
      </c>
      <c r="S65" s="21">
        <v>52.8589399727149</v>
      </c>
    </row>
    <row r="66" spans="1:19">
      <c r="A66" s="9">
        <f t="shared" si="0"/>
        <v>34731</v>
      </c>
      <c r="B66" s="21">
        <v>54.0959747892161</v>
      </c>
      <c r="C66" s="21">
        <v>56.821133257316198</v>
      </c>
      <c r="D66" s="21">
        <v>60.325473770205903</v>
      </c>
      <c r="E66" s="21">
        <v>63.796060803447503</v>
      </c>
      <c r="F66" s="21">
        <v>60.7284298807187</v>
      </c>
      <c r="G66" s="21">
        <v>100.052371595772</v>
      </c>
      <c r="H66" s="21">
        <v>71.254729644783296</v>
      </c>
      <c r="I66" s="21">
        <v>69.016324658865798</v>
      </c>
      <c r="J66" s="21">
        <v>104.330018544539</v>
      </c>
      <c r="K66" s="21">
        <v>43.991405198003903</v>
      </c>
      <c r="L66" s="21">
        <v>58.108060555271003</v>
      </c>
      <c r="M66" s="21">
        <v>30.343371507479901</v>
      </c>
      <c r="N66" s="21">
        <v>55.175098621599297</v>
      </c>
      <c r="O66" s="21">
        <v>113.976204216615</v>
      </c>
      <c r="P66" s="21">
        <v>45.172195050657699</v>
      </c>
      <c r="Q66" s="21">
        <v>37.936679354163203</v>
      </c>
      <c r="R66" s="21">
        <v>55.557236350328097</v>
      </c>
      <c r="S66" s="21">
        <v>53.603752310817796</v>
      </c>
    </row>
    <row r="67" spans="1:19">
      <c r="A67" s="9">
        <f t="shared" si="0"/>
        <v>34759</v>
      </c>
      <c r="B67" s="21">
        <v>54.391769667616899</v>
      </c>
      <c r="C67" s="21">
        <v>57.103574711646999</v>
      </c>
      <c r="D67" s="21">
        <v>60.681072062736099</v>
      </c>
      <c r="E67" s="21">
        <v>64.2950101841231</v>
      </c>
      <c r="F67" s="21">
        <v>60.721129514709297</v>
      </c>
      <c r="G67" s="21">
        <v>106.53468358319201</v>
      </c>
      <c r="H67" s="21">
        <v>71.175603464346295</v>
      </c>
      <c r="I67" s="21">
        <v>69.981265271371001</v>
      </c>
      <c r="J67" s="21">
        <v>108.447265663</v>
      </c>
      <c r="K67" s="21">
        <v>43.323226108495398</v>
      </c>
      <c r="L67" s="21">
        <v>56.3609721900173</v>
      </c>
      <c r="M67" s="21">
        <v>30.718285825844902</v>
      </c>
      <c r="N67" s="21">
        <v>53.632613753741097</v>
      </c>
      <c r="O67" s="21">
        <v>116.024237132238</v>
      </c>
      <c r="P67" s="21">
        <v>45.382321322813802</v>
      </c>
      <c r="Q67" s="21">
        <v>36.323389118036602</v>
      </c>
      <c r="R67" s="21">
        <v>56.702327090917997</v>
      </c>
      <c r="S67" s="21">
        <v>54.332884444662497</v>
      </c>
    </row>
    <row r="68" spans="1:19">
      <c r="A68" s="9">
        <f t="shared" si="0"/>
        <v>34790</v>
      </c>
      <c r="B68" s="21">
        <v>55.307110464480097</v>
      </c>
      <c r="C68" s="21">
        <v>58.037557981321001</v>
      </c>
      <c r="D68" s="21">
        <v>60.547071679392502</v>
      </c>
      <c r="E68" s="21">
        <v>63.394584334824302</v>
      </c>
      <c r="F68" s="21">
        <v>59.904495752780001</v>
      </c>
      <c r="G68" s="21">
        <v>104.643919574534</v>
      </c>
      <c r="H68" s="21">
        <v>71.695220749028394</v>
      </c>
      <c r="I68" s="21">
        <v>69.333297399162802</v>
      </c>
      <c r="J68" s="21">
        <v>109.507108730794</v>
      </c>
      <c r="K68" s="21">
        <v>44.029806728102898</v>
      </c>
      <c r="L68" s="21">
        <v>56.6658621105422</v>
      </c>
      <c r="M68" s="21">
        <v>31.813222472819</v>
      </c>
      <c r="N68" s="21">
        <v>54.302790979338504</v>
      </c>
      <c r="O68" s="21">
        <v>114.85376030066701</v>
      </c>
      <c r="P68" s="21">
        <v>47.800847141673202</v>
      </c>
      <c r="Q68" s="21">
        <v>38.006543542187799</v>
      </c>
      <c r="R68" s="21">
        <v>58.956863766658302</v>
      </c>
      <c r="S68" s="21">
        <v>53.635112719334202</v>
      </c>
    </row>
    <row r="69" spans="1:19">
      <c r="A69" s="9">
        <f t="shared" si="0"/>
        <v>34820</v>
      </c>
      <c r="B69" s="21">
        <v>54.844844765934198</v>
      </c>
      <c r="C69" s="21">
        <v>57.575791435510098</v>
      </c>
      <c r="D69" s="21">
        <v>59.799960588489299</v>
      </c>
      <c r="E69" s="21">
        <v>63.054475062169402</v>
      </c>
      <c r="F69" s="21">
        <v>59.615819705872902</v>
      </c>
      <c r="G69" s="21">
        <v>103.695921326727</v>
      </c>
      <c r="H69" s="21">
        <v>70.4376535672031</v>
      </c>
      <c r="I69" s="21">
        <v>69.029524847814898</v>
      </c>
      <c r="J69" s="21">
        <v>109.449144416075</v>
      </c>
      <c r="K69" s="21">
        <v>42.935295197370998</v>
      </c>
      <c r="L69" s="21">
        <v>54.931480289833999</v>
      </c>
      <c r="M69" s="21">
        <v>31.337339863325401</v>
      </c>
      <c r="N69" s="21">
        <v>52.700590755128601</v>
      </c>
      <c r="O69" s="21">
        <v>108.566466073081</v>
      </c>
      <c r="P69" s="21">
        <v>47.746623494132699</v>
      </c>
      <c r="Q69" s="21">
        <v>38.241706998977897</v>
      </c>
      <c r="R69" s="21">
        <v>58.885115500286297</v>
      </c>
      <c r="S69" s="21">
        <v>54.826577441743602</v>
      </c>
    </row>
    <row r="70" spans="1:19">
      <c r="A70" s="9">
        <f t="shared" si="0"/>
        <v>34851</v>
      </c>
      <c r="B70" s="21">
        <v>54.380757684224903</v>
      </c>
      <c r="C70" s="21">
        <v>57.038149698846397</v>
      </c>
      <c r="D70" s="21">
        <v>60.351867587241301</v>
      </c>
      <c r="E70" s="21">
        <v>64.337706135457296</v>
      </c>
      <c r="F70" s="21">
        <v>61.681120902711399</v>
      </c>
      <c r="G70" s="21">
        <v>95.735870474945202</v>
      </c>
      <c r="H70" s="21">
        <v>70.887952369659104</v>
      </c>
      <c r="I70" s="21">
        <v>69.655203294590706</v>
      </c>
      <c r="J70" s="21">
        <v>105.626654569161</v>
      </c>
      <c r="K70" s="21">
        <v>44.040248280611102</v>
      </c>
      <c r="L70" s="21">
        <v>57.080114627104102</v>
      </c>
      <c r="M70" s="21">
        <v>31.433258118083</v>
      </c>
      <c r="N70" s="21">
        <v>54.5518793286735</v>
      </c>
      <c r="O70" s="21">
        <v>97.789560761966797</v>
      </c>
      <c r="P70" s="21">
        <v>45.827121230980403</v>
      </c>
      <c r="Q70" s="21">
        <v>35.572879548925798</v>
      </c>
      <c r="R70" s="21">
        <v>59.116751612487498</v>
      </c>
      <c r="S70" s="21">
        <v>56.168102298788497</v>
      </c>
    </row>
    <row r="71" spans="1:19">
      <c r="A71" s="9">
        <f t="shared" ref="A71:A134" si="1">EDATE(A70,1)</f>
        <v>34881</v>
      </c>
      <c r="B71" s="21">
        <v>53.725121525582601</v>
      </c>
      <c r="C71" s="21">
        <v>56.319267166524497</v>
      </c>
      <c r="D71" s="21">
        <v>60.944174401237603</v>
      </c>
      <c r="E71" s="21">
        <v>65.963087525700999</v>
      </c>
      <c r="F71" s="21">
        <v>64.250491017188097</v>
      </c>
      <c r="G71" s="21">
        <v>86.204255005933305</v>
      </c>
      <c r="H71" s="21">
        <v>70.840049384203994</v>
      </c>
      <c r="I71" s="21">
        <v>70.286558507230893</v>
      </c>
      <c r="J71" s="21">
        <v>99.533687578469795</v>
      </c>
      <c r="K71" s="21">
        <v>45.103160929488702</v>
      </c>
      <c r="L71" s="21">
        <v>59.434986001160297</v>
      </c>
      <c r="M71" s="21">
        <v>31.2471003772859</v>
      </c>
      <c r="N71" s="21">
        <v>56.555230143067497</v>
      </c>
      <c r="O71" s="21">
        <v>89.3550336131986</v>
      </c>
      <c r="P71" s="21">
        <v>43.383802267012598</v>
      </c>
      <c r="Q71" s="21">
        <v>33.311361110079098</v>
      </c>
      <c r="R71" s="21">
        <v>56.132384920599897</v>
      </c>
      <c r="S71" s="21">
        <v>57.345846499813</v>
      </c>
    </row>
    <row r="72" spans="1:19">
      <c r="A72" s="9">
        <f t="shared" si="1"/>
        <v>34912</v>
      </c>
      <c r="B72" s="21">
        <v>53.9731777139271</v>
      </c>
      <c r="C72" s="21">
        <v>56.618757487051901</v>
      </c>
      <c r="D72" s="21">
        <v>60.905234464663799</v>
      </c>
      <c r="E72" s="21">
        <v>66.322587309708496</v>
      </c>
      <c r="F72" s="21">
        <v>63.986005525427302</v>
      </c>
      <c r="G72" s="21">
        <v>93.938632882500499</v>
      </c>
      <c r="H72" s="21">
        <v>69.725415938223605</v>
      </c>
      <c r="I72" s="21">
        <v>69.963266010752207</v>
      </c>
      <c r="J72" s="21">
        <v>94.591487255030501</v>
      </c>
      <c r="K72" s="21">
        <v>45.222067467613599</v>
      </c>
      <c r="L72" s="21">
        <v>59.841722642329799</v>
      </c>
      <c r="M72" s="21">
        <v>31.0877317259921</v>
      </c>
      <c r="N72" s="21">
        <v>56.934994718535201</v>
      </c>
      <c r="O72" s="21">
        <v>93.976423072117001</v>
      </c>
      <c r="P72" s="21">
        <v>44.042981438506501</v>
      </c>
      <c r="Q72" s="21">
        <v>35.2278084891053</v>
      </c>
      <c r="R72" s="21">
        <v>56.0809455345847</v>
      </c>
      <c r="S72" s="21">
        <v>56.875281935804601</v>
      </c>
    </row>
    <row r="73" spans="1:19">
      <c r="A73" s="9">
        <f t="shared" si="1"/>
        <v>34943</v>
      </c>
      <c r="B73" s="21">
        <v>54.046520789031099</v>
      </c>
      <c r="C73" s="21">
        <v>56.704830006423201</v>
      </c>
      <c r="D73" s="21">
        <v>60.5565915669752</v>
      </c>
      <c r="E73" s="21">
        <v>66.012339216421296</v>
      </c>
      <c r="F73" s="21">
        <v>64.236627710714004</v>
      </c>
      <c r="G73" s="21">
        <v>86.999462455862997</v>
      </c>
      <c r="H73" s="21">
        <v>67.963969107987793</v>
      </c>
      <c r="I73" s="21">
        <v>69.796540707791806</v>
      </c>
      <c r="J73" s="21">
        <v>95.395655382669204</v>
      </c>
      <c r="K73" s="21">
        <v>43.840357300675997</v>
      </c>
      <c r="L73" s="21">
        <v>57.060502682840202</v>
      </c>
      <c r="M73" s="21">
        <v>31.059072711439399</v>
      </c>
      <c r="N73" s="21">
        <v>54.467134428664401</v>
      </c>
      <c r="O73" s="21">
        <v>106.52590791077</v>
      </c>
      <c r="P73" s="21">
        <v>44.720820940282103</v>
      </c>
      <c r="Q73" s="21">
        <v>36.387786875296598</v>
      </c>
      <c r="R73" s="21">
        <v>57.462461441270698</v>
      </c>
      <c r="S73" s="21">
        <v>57.089474264006398</v>
      </c>
    </row>
    <row r="74" spans="1:19">
      <c r="A74" s="9">
        <f t="shared" si="1"/>
        <v>34973</v>
      </c>
      <c r="B74" s="21">
        <v>53.9230054262487</v>
      </c>
      <c r="C74" s="21">
        <v>56.5686059952831</v>
      </c>
      <c r="D74" s="21">
        <v>60.767096787932601</v>
      </c>
      <c r="E74" s="21">
        <v>66.920626818545003</v>
      </c>
      <c r="F74" s="21">
        <v>65.491840596333006</v>
      </c>
      <c r="G74" s="21">
        <v>83.807442290540905</v>
      </c>
      <c r="H74" s="21">
        <v>66.269893549525904</v>
      </c>
      <c r="I74" s="21">
        <v>70.398886154377806</v>
      </c>
      <c r="J74" s="21">
        <v>93.928383674527495</v>
      </c>
      <c r="K74" s="21">
        <v>42.900398025330603</v>
      </c>
      <c r="L74" s="21">
        <v>55.2762777933346</v>
      </c>
      <c r="M74" s="21">
        <v>30.935352499398601</v>
      </c>
      <c r="N74" s="21">
        <v>52.7767413510607</v>
      </c>
      <c r="O74" s="21">
        <v>116.20884136235</v>
      </c>
      <c r="P74" s="21">
        <v>44.118819887633599</v>
      </c>
      <c r="Q74" s="21">
        <v>34.6488116765846</v>
      </c>
      <c r="R74" s="21">
        <v>59.996158347679902</v>
      </c>
      <c r="S74" s="21">
        <v>56.978301246798402</v>
      </c>
    </row>
    <row r="75" spans="1:19">
      <c r="A75" s="9">
        <f t="shared" si="1"/>
        <v>35004</v>
      </c>
      <c r="B75" s="21">
        <v>54.709564159547398</v>
      </c>
      <c r="C75" s="21">
        <v>57.4209382872342</v>
      </c>
      <c r="D75" s="21">
        <v>61.088743642593997</v>
      </c>
      <c r="E75" s="21">
        <v>65.923650967732797</v>
      </c>
      <c r="F75" s="21">
        <v>64.474131203664498</v>
      </c>
      <c r="G75" s="21">
        <v>83.055516041947897</v>
      </c>
      <c r="H75" s="21">
        <v>68.857131420515799</v>
      </c>
      <c r="I75" s="21">
        <v>70.129060466984399</v>
      </c>
      <c r="J75" s="21">
        <v>98.577535071641904</v>
      </c>
      <c r="K75" s="21">
        <v>43.848137204988198</v>
      </c>
      <c r="L75" s="21">
        <v>57.043952306879497</v>
      </c>
      <c r="M75" s="21">
        <v>31.090375219120499</v>
      </c>
      <c r="N75" s="21">
        <v>54.3219388527802</v>
      </c>
      <c r="O75" s="21">
        <v>121.151423708918</v>
      </c>
      <c r="P75" s="21">
        <v>45.571366562412003</v>
      </c>
      <c r="Q75" s="21">
        <v>36.256341256701901</v>
      </c>
      <c r="R75" s="21">
        <v>61.850202913393602</v>
      </c>
      <c r="S75" s="21">
        <v>56.242112862887197</v>
      </c>
    </row>
    <row r="76" spans="1:19">
      <c r="A76" s="9">
        <f t="shared" si="1"/>
        <v>35034</v>
      </c>
      <c r="B76" s="21">
        <v>56.247086951437304</v>
      </c>
      <c r="C76" s="21">
        <v>59.116355499530698</v>
      </c>
      <c r="D76" s="21">
        <v>60.850005886924997</v>
      </c>
      <c r="E76" s="21">
        <v>65.867001186281698</v>
      </c>
      <c r="F76" s="21">
        <v>65.277418070191104</v>
      </c>
      <c r="G76" s="21">
        <v>72.835280367622403</v>
      </c>
      <c r="H76" s="21">
        <v>67.862964059668897</v>
      </c>
      <c r="I76" s="21">
        <v>69.9196997371875</v>
      </c>
      <c r="J76" s="21">
        <v>97.335125470708107</v>
      </c>
      <c r="K76" s="21">
        <v>43.437985263880002</v>
      </c>
      <c r="L76" s="21">
        <v>56.148455545535199</v>
      </c>
      <c r="M76" s="21">
        <v>31.1494564136568</v>
      </c>
      <c r="N76" s="21">
        <v>53.458273905025202</v>
      </c>
      <c r="O76" s="21">
        <v>123.07372530431699</v>
      </c>
      <c r="P76" s="21">
        <v>49.6533889895179</v>
      </c>
      <c r="Q76" s="21">
        <v>39.2521843534537</v>
      </c>
      <c r="R76" s="21">
        <v>70.953652702821998</v>
      </c>
      <c r="S76" s="21">
        <v>55.24814128837</v>
      </c>
    </row>
    <row r="77" spans="1:19">
      <c r="A77" s="9">
        <f t="shared" si="1"/>
        <v>35065</v>
      </c>
      <c r="B77" s="21">
        <v>56.130989255335798</v>
      </c>
      <c r="C77" s="21">
        <v>58.872916294730203</v>
      </c>
      <c r="D77" s="21">
        <v>60.401362988499997</v>
      </c>
      <c r="E77" s="21">
        <v>66.015045988705694</v>
      </c>
      <c r="F77" s="21">
        <v>65.591825299190305</v>
      </c>
      <c r="G77" s="21">
        <v>71.017088685276605</v>
      </c>
      <c r="H77" s="21">
        <v>65.523063071864996</v>
      </c>
      <c r="I77" s="21">
        <v>69.793008780529505</v>
      </c>
      <c r="J77" s="21">
        <v>95.349920315462498</v>
      </c>
      <c r="K77" s="21">
        <v>42.726792176728097</v>
      </c>
      <c r="L77" s="21">
        <v>53.667571095660797</v>
      </c>
      <c r="M77" s="21">
        <v>32.149207365939397</v>
      </c>
      <c r="N77" s="21">
        <v>51.361499668587697</v>
      </c>
      <c r="O77" s="21">
        <v>118.776747133657</v>
      </c>
      <c r="P77" s="21">
        <v>50.013663494086799</v>
      </c>
      <c r="Q77" s="21">
        <v>39.196993235367302</v>
      </c>
      <c r="R77" s="21">
        <v>74.922145904472401</v>
      </c>
      <c r="S77" s="21">
        <v>55.060605412840701</v>
      </c>
    </row>
    <row r="78" spans="1:19">
      <c r="A78" s="9">
        <f t="shared" si="1"/>
        <v>35096</v>
      </c>
      <c r="B78" s="21">
        <v>57.701586120475199</v>
      </c>
      <c r="C78" s="21">
        <v>60.582077890841603</v>
      </c>
      <c r="D78" s="21">
        <v>61.516690533535503</v>
      </c>
      <c r="E78" s="21">
        <v>68.006809905584205</v>
      </c>
      <c r="F78" s="21">
        <v>67.183824985807206</v>
      </c>
      <c r="G78" s="21">
        <v>77.733663552726398</v>
      </c>
      <c r="H78" s="21">
        <v>65.853444622974706</v>
      </c>
      <c r="I78" s="21">
        <v>71.456363785523905</v>
      </c>
      <c r="J78" s="21">
        <v>94.791676545987897</v>
      </c>
      <c r="K78" s="21">
        <v>43.279827692693502</v>
      </c>
      <c r="L78" s="21">
        <v>54.351160840044002</v>
      </c>
      <c r="M78" s="21">
        <v>32.576022579517897</v>
      </c>
      <c r="N78" s="21">
        <v>52.0758308084962</v>
      </c>
      <c r="O78" s="21">
        <v>115.30709508757199</v>
      </c>
      <c r="P78" s="21">
        <v>52.236435300859299</v>
      </c>
      <c r="Q78" s="21">
        <v>38.622392078190202</v>
      </c>
      <c r="R78" s="21">
        <v>87.6491949774951</v>
      </c>
      <c r="S78" s="21">
        <v>54.608308365868197</v>
      </c>
    </row>
    <row r="79" spans="1:19">
      <c r="A79" s="9">
        <f t="shared" si="1"/>
        <v>35125</v>
      </c>
      <c r="B79" s="21">
        <v>57.838236771599902</v>
      </c>
      <c r="C79" s="21">
        <v>60.808690452484399</v>
      </c>
      <c r="D79" s="21">
        <v>61.610908884064301</v>
      </c>
      <c r="E79" s="21">
        <v>68.376709143810999</v>
      </c>
      <c r="F79" s="21">
        <v>67.904263278716002</v>
      </c>
      <c r="G79" s="21">
        <v>73.960543884334399</v>
      </c>
      <c r="H79" s="21">
        <v>66.327893795780099</v>
      </c>
      <c r="I79" s="21">
        <v>71.923704578663106</v>
      </c>
      <c r="J79" s="21">
        <v>95.918183491877301</v>
      </c>
      <c r="K79" s="21">
        <v>43.053548679769399</v>
      </c>
      <c r="L79" s="21">
        <v>54.566431996416597</v>
      </c>
      <c r="M79" s="21">
        <v>31.922851258599799</v>
      </c>
      <c r="N79" s="21">
        <v>52.195002079904199</v>
      </c>
      <c r="O79" s="21">
        <v>111.21762952426</v>
      </c>
      <c r="P79" s="21">
        <v>52.433870375494401</v>
      </c>
      <c r="Q79" s="21">
        <v>42.507558686718497</v>
      </c>
      <c r="R79" s="21">
        <v>75.525544959107805</v>
      </c>
      <c r="S79" s="21">
        <v>53.383366591876197</v>
      </c>
    </row>
    <row r="80" spans="1:19">
      <c r="A80" s="9">
        <f t="shared" si="1"/>
        <v>35156</v>
      </c>
      <c r="B80" s="21">
        <v>59.025383749287101</v>
      </c>
      <c r="C80" s="21">
        <v>62.160014294167603</v>
      </c>
      <c r="D80" s="21">
        <v>63.181997612979401</v>
      </c>
      <c r="E80" s="21">
        <v>72.288330568859607</v>
      </c>
      <c r="F80" s="21">
        <v>72.031763183710098</v>
      </c>
      <c r="G80" s="21">
        <v>75.320698897861703</v>
      </c>
      <c r="H80" s="21">
        <v>65.396216176604</v>
      </c>
      <c r="I80" s="21">
        <v>74.9390080189401</v>
      </c>
      <c r="J80" s="21">
        <v>92.8701346160464</v>
      </c>
      <c r="K80" s="21">
        <v>42.857562740433302</v>
      </c>
      <c r="L80" s="21">
        <v>54.475963434132503</v>
      </c>
      <c r="M80" s="21">
        <v>31.6248507357456</v>
      </c>
      <c r="N80" s="21">
        <v>52.046609705751102</v>
      </c>
      <c r="O80" s="21">
        <v>105.565974087301</v>
      </c>
      <c r="P80" s="21">
        <v>53.071019410995603</v>
      </c>
      <c r="Q80" s="21">
        <v>45.966770599655298</v>
      </c>
      <c r="R80" s="21">
        <v>67.115197609739496</v>
      </c>
      <c r="S80" s="21">
        <v>54.193800769308403</v>
      </c>
    </row>
    <row r="81" spans="1:19">
      <c r="A81" s="9">
        <f t="shared" si="1"/>
        <v>35186</v>
      </c>
      <c r="B81" s="21">
        <v>58.493210903059101</v>
      </c>
      <c r="C81" s="21">
        <v>61.578215184980998</v>
      </c>
      <c r="D81" s="21">
        <v>64.213508108510496</v>
      </c>
      <c r="E81" s="21">
        <v>74.300412754167596</v>
      </c>
      <c r="F81" s="21">
        <v>73.998857519349201</v>
      </c>
      <c r="G81" s="21">
        <v>77.864492198543502</v>
      </c>
      <c r="H81" s="21">
        <v>66.642200158045895</v>
      </c>
      <c r="I81" s="21">
        <v>77.0832727796532</v>
      </c>
      <c r="J81" s="21">
        <v>95.908579275353304</v>
      </c>
      <c r="K81" s="21">
        <v>43.053874483536603</v>
      </c>
      <c r="L81" s="21">
        <v>55.009485388129299</v>
      </c>
      <c r="M81" s="21">
        <v>31.495146421745499</v>
      </c>
      <c r="N81" s="21">
        <v>52.479524983731999</v>
      </c>
      <c r="O81" s="21">
        <v>92.065735533624107</v>
      </c>
      <c r="P81" s="21">
        <v>50.298864542891799</v>
      </c>
      <c r="Q81" s="21">
        <v>42.577053960130002</v>
      </c>
      <c r="R81" s="21">
        <v>66.975471043719494</v>
      </c>
      <c r="S81" s="21">
        <v>53.084892717694103</v>
      </c>
    </row>
    <row r="82" spans="1:19">
      <c r="A82" s="9">
        <f t="shared" si="1"/>
        <v>35217</v>
      </c>
      <c r="B82" s="21">
        <v>57.118067946972701</v>
      </c>
      <c r="C82" s="21">
        <v>60.107343259443901</v>
      </c>
      <c r="D82" s="21">
        <v>61.917297929511399</v>
      </c>
      <c r="E82" s="21">
        <v>71.809958052206596</v>
      </c>
      <c r="F82" s="21">
        <v>71.533097093761597</v>
      </c>
      <c r="G82" s="21">
        <v>75.082175997745395</v>
      </c>
      <c r="H82" s="21">
        <v>63.631963877384997</v>
      </c>
      <c r="I82" s="21">
        <v>75.038237542195205</v>
      </c>
      <c r="J82" s="21">
        <v>96.876688019853205</v>
      </c>
      <c r="K82" s="21">
        <v>40.500170502588396</v>
      </c>
      <c r="L82" s="21">
        <v>50.417948163182999</v>
      </c>
      <c r="M82" s="21">
        <v>30.911627025309301</v>
      </c>
      <c r="N82" s="21">
        <v>48.292964003250198</v>
      </c>
      <c r="O82" s="21">
        <v>87.664382173341394</v>
      </c>
      <c r="P82" s="21">
        <v>50.243153702736699</v>
      </c>
      <c r="Q82" s="21">
        <v>41.791846382660303</v>
      </c>
      <c r="R82" s="21">
        <v>70.108298489659703</v>
      </c>
      <c r="S82" s="21">
        <v>52.401860700669097</v>
      </c>
    </row>
    <row r="83" spans="1:19">
      <c r="A83" s="9">
        <f t="shared" si="1"/>
        <v>35247</v>
      </c>
      <c r="B83" s="21">
        <v>57.595606973673803</v>
      </c>
      <c r="C83" s="21">
        <v>60.654630335764303</v>
      </c>
      <c r="D83" s="21">
        <v>61.679401518254799</v>
      </c>
      <c r="E83" s="21">
        <v>72.245986113655903</v>
      </c>
      <c r="F83" s="21">
        <v>72.333849767699505</v>
      </c>
      <c r="G83" s="21">
        <v>71.207526133105006</v>
      </c>
      <c r="H83" s="21">
        <v>61.158601893912902</v>
      </c>
      <c r="I83" s="21">
        <v>75.011582701981197</v>
      </c>
      <c r="J83" s="21">
        <v>93.720106645654695</v>
      </c>
      <c r="K83" s="21">
        <v>39.348331749477303</v>
      </c>
      <c r="L83" s="21">
        <v>48.216150224779199</v>
      </c>
      <c r="M83" s="21">
        <v>30.774892627435701</v>
      </c>
      <c r="N83" s="21">
        <v>46.318966043904901</v>
      </c>
      <c r="O83" s="21">
        <v>97.537196334279699</v>
      </c>
      <c r="P83" s="21">
        <v>51.745556572417101</v>
      </c>
      <c r="Q83" s="21">
        <v>43.349307786789502</v>
      </c>
      <c r="R83" s="21">
        <v>70.993015765159896</v>
      </c>
      <c r="S83" s="21">
        <v>52.311699262600598</v>
      </c>
    </row>
    <row r="84" spans="1:19">
      <c r="A84" s="9">
        <f t="shared" si="1"/>
        <v>35278</v>
      </c>
      <c r="B84" s="21">
        <v>57.586148012994897</v>
      </c>
      <c r="C84" s="21">
        <v>60.6086608579093</v>
      </c>
      <c r="D84" s="21">
        <v>61.475175798851403</v>
      </c>
      <c r="E84" s="21">
        <v>71.502128867155804</v>
      </c>
      <c r="F84" s="21">
        <v>71.443372105090106</v>
      </c>
      <c r="G84" s="21">
        <v>72.196574672489106</v>
      </c>
      <c r="H84" s="21">
        <v>61.204449167507498</v>
      </c>
      <c r="I84" s="21">
        <v>74.355155838074495</v>
      </c>
      <c r="J84" s="21">
        <v>93.655123021538401</v>
      </c>
      <c r="K84" s="21">
        <v>39.544589648895503</v>
      </c>
      <c r="L84" s="21">
        <v>48.306050239425197</v>
      </c>
      <c r="M84" s="21">
        <v>31.0739777162899</v>
      </c>
      <c r="N84" s="21">
        <v>46.422266555887603</v>
      </c>
      <c r="O84" s="21">
        <v>102.197858694844</v>
      </c>
      <c r="P84" s="21">
        <v>52.015101695462199</v>
      </c>
      <c r="Q84" s="21">
        <v>44.860735307796297</v>
      </c>
      <c r="R84" s="21">
        <v>64.603469229354005</v>
      </c>
      <c r="S84" s="21">
        <v>52.221694573858002</v>
      </c>
    </row>
    <row r="85" spans="1:19">
      <c r="A85" s="9">
        <f t="shared" si="1"/>
        <v>35309</v>
      </c>
      <c r="B85" s="21">
        <v>57.274544848374298</v>
      </c>
      <c r="C85" s="21">
        <v>60.3026810956286</v>
      </c>
      <c r="D85" s="21">
        <v>58.557268189241199</v>
      </c>
      <c r="E85" s="21">
        <v>66.102971110402095</v>
      </c>
      <c r="F85" s="21">
        <v>65.772670610294796</v>
      </c>
      <c r="G85" s="21">
        <v>70.0067906664068</v>
      </c>
      <c r="H85" s="21">
        <v>61.227195319213898</v>
      </c>
      <c r="I85" s="21">
        <v>69.916049982204797</v>
      </c>
      <c r="J85" s="21">
        <v>95.710512440459894</v>
      </c>
      <c r="K85" s="21">
        <v>38.950227236881403</v>
      </c>
      <c r="L85" s="21">
        <v>47.520867290584803</v>
      </c>
      <c r="M85" s="21">
        <v>30.6641012926023</v>
      </c>
      <c r="N85" s="21">
        <v>45.639202889760099</v>
      </c>
      <c r="O85" s="21">
        <v>99.012027169864695</v>
      </c>
      <c r="P85" s="21">
        <v>55.437039040229102</v>
      </c>
      <c r="Q85" s="21">
        <v>49.679319428121197</v>
      </c>
      <c r="R85" s="21">
        <v>61.587427863025297</v>
      </c>
      <c r="S85" s="21">
        <v>53.091164799397397</v>
      </c>
    </row>
    <row r="86" spans="1:19">
      <c r="A86" s="9">
        <f t="shared" si="1"/>
        <v>35339</v>
      </c>
      <c r="B86" s="21">
        <v>58.035606005839597</v>
      </c>
      <c r="C86" s="21">
        <v>61.167650633407497</v>
      </c>
      <c r="D86" s="21">
        <v>57.1026797695745</v>
      </c>
      <c r="E86" s="21">
        <v>63.983950159608497</v>
      </c>
      <c r="F86" s="21">
        <v>63.477087742489303</v>
      </c>
      <c r="G86" s="21">
        <v>69.974553914402605</v>
      </c>
      <c r="H86" s="21">
        <v>60.0233714457801</v>
      </c>
      <c r="I86" s="21">
        <v>67.850286026065007</v>
      </c>
      <c r="J86" s="21">
        <v>94.005017861226193</v>
      </c>
      <c r="K86" s="21">
        <v>38.3505618662251</v>
      </c>
      <c r="L86" s="21">
        <v>46.516446021948902</v>
      </c>
      <c r="M86" s="21">
        <v>30.455755394743001</v>
      </c>
      <c r="N86" s="21">
        <v>44.677218381009197</v>
      </c>
      <c r="O86" s="21">
        <v>98.789106908285007</v>
      </c>
      <c r="P86" s="21">
        <v>59.372026201132698</v>
      </c>
      <c r="Q86" s="21">
        <v>52.618054621244298</v>
      </c>
      <c r="R86" s="21">
        <v>70.289442775069801</v>
      </c>
      <c r="S86" s="21">
        <v>53.409709124163001</v>
      </c>
    </row>
    <row r="87" spans="1:19">
      <c r="A87" s="9">
        <f t="shared" si="1"/>
        <v>35370</v>
      </c>
      <c r="B87" s="21">
        <v>58.757069132848201</v>
      </c>
      <c r="C87" s="21">
        <v>61.994567779211003</v>
      </c>
      <c r="D87" s="21">
        <v>57.537029640089997</v>
      </c>
      <c r="E87" s="21">
        <v>63.349424301588797</v>
      </c>
      <c r="F87" s="21">
        <v>62.866885224072902</v>
      </c>
      <c r="G87" s="21">
        <v>69.052550656925504</v>
      </c>
      <c r="H87" s="21">
        <v>62.382155541867199</v>
      </c>
      <c r="I87" s="21">
        <v>67.549548354129698</v>
      </c>
      <c r="J87" s="21">
        <v>95.962268320255006</v>
      </c>
      <c r="K87" s="21">
        <v>39.475421905034501</v>
      </c>
      <c r="L87" s="21">
        <v>49.034830533642598</v>
      </c>
      <c r="M87" s="21">
        <v>30.233350909969399</v>
      </c>
      <c r="N87" s="21">
        <v>46.877205954116498</v>
      </c>
      <c r="O87" s="21">
        <v>106.45886687050999</v>
      </c>
      <c r="P87" s="21">
        <v>60.5047801026938</v>
      </c>
      <c r="Q87" s="21">
        <v>49.901702192730603</v>
      </c>
      <c r="R87" s="21">
        <v>82.497343226410095</v>
      </c>
      <c r="S87" s="21">
        <v>51.968771455820502</v>
      </c>
    </row>
    <row r="88" spans="1:19">
      <c r="A88" s="9">
        <f t="shared" si="1"/>
        <v>35400</v>
      </c>
      <c r="B88" s="21">
        <v>60.008041711153098</v>
      </c>
      <c r="C88" s="21">
        <v>63.474968777761703</v>
      </c>
      <c r="D88" s="21">
        <v>57.015450108804203</v>
      </c>
      <c r="E88" s="21">
        <v>63.220457093154501</v>
      </c>
      <c r="F88" s="21">
        <v>63.015572727220302</v>
      </c>
      <c r="G88" s="21">
        <v>65.641984139566503</v>
      </c>
      <c r="H88" s="21">
        <v>61.230866280912501</v>
      </c>
      <c r="I88" s="21">
        <v>66.866979564243096</v>
      </c>
      <c r="J88" s="21">
        <v>91.5347323556269</v>
      </c>
      <c r="K88" s="21">
        <v>39.185393292330502</v>
      </c>
      <c r="L88" s="21">
        <v>49.185774229725403</v>
      </c>
      <c r="M88" s="21">
        <v>29.516988666912098</v>
      </c>
      <c r="N88" s="21">
        <v>46.970539277705299</v>
      </c>
      <c r="O88" s="21">
        <v>106.153429296817</v>
      </c>
      <c r="P88" s="21">
        <v>64.294939965461595</v>
      </c>
      <c r="Q88" s="21">
        <v>52.911531173277702</v>
      </c>
      <c r="R88" s="21">
        <v>91.680359364293196</v>
      </c>
      <c r="S88" s="21">
        <v>52.417618752422698</v>
      </c>
    </row>
    <row r="89" spans="1:19">
      <c r="A89" s="9">
        <f t="shared" si="1"/>
        <v>35431</v>
      </c>
      <c r="B89" s="21">
        <v>59.497422186294003</v>
      </c>
      <c r="C89" s="21">
        <v>63.0318713656931</v>
      </c>
      <c r="D89" s="21">
        <v>58.1102308792427</v>
      </c>
      <c r="E89" s="21">
        <v>64.704003416670602</v>
      </c>
      <c r="F89" s="21">
        <v>64.365372065372298</v>
      </c>
      <c r="G89" s="21">
        <v>68.7062852510754</v>
      </c>
      <c r="H89" s="21">
        <v>63.5359741210168</v>
      </c>
      <c r="I89" s="21">
        <v>68.412873810121397</v>
      </c>
      <c r="J89" s="21">
        <v>93.502393681807504</v>
      </c>
      <c r="K89" s="21">
        <v>39.869705262521201</v>
      </c>
      <c r="L89" s="21">
        <v>51.625009323182198</v>
      </c>
      <c r="M89" s="21">
        <v>28.504634585233202</v>
      </c>
      <c r="N89" s="21">
        <v>49.100618561514899</v>
      </c>
      <c r="O89" s="21">
        <v>102.581548941555</v>
      </c>
      <c r="P89" s="21">
        <v>61.484578732453699</v>
      </c>
      <c r="Q89" s="21">
        <v>53.093303586266899</v>
      </c>
      <c r="R89" s="21">
        <v>85.013802831053695</v>
      </c>
      <c r="S89" s="21">
        <v>51.967203329961201</v>
      </c>
    </row>
    <row r="90" spans="1:19">
      <c r="A90" s="9">
        <f t="shared" si="1"/>
        <v>35462</v>
      </c>
      <c r="B90" s="21">
        <v>56.442172739950898</v>
      </c>
      <c r="C90" s="21">
        <v>59.706172482126803</v>
      </c>
      <c r="D90" s="21">
        <v>58.509421841505898</v>
      </c>
      <c r="E90" s="21">
        <v>65.531106036350195</v>
      </c>
      <c r="F90" s="21">
        <v>64.439822112333601</v>
      </c>
      <c r="G90" s="21">
        <v>78.428983945539997</v>
      </c>
      <c r="H90" s="21">
        <v>64.083509706045902</v>
      </c>
      <c r="I90" s="21">
        <v>69.1068378017969</v>
      </c>
      <c r="J90" s="21">
        <v>93.295710333824999</v>
      </c>
      <c r="K90" s="21">
        <v>40.075242965439202</v>
      </c>
      <c r="L90" s="21">
        <v>52.4723296436797</v>
      </c>
      <c r="M90" s="21">
        <v>28.089694521637799</v>
      </c>
      <c r="N90" s="21">
        <v>50.022078711495602</v>
      </c>
      <c r="O90" s="21">
        <v>98.661107506825005</v>
      </c>
      <c r="P90" s="21">
        <v>53.4808309525447</v>
      </c>
      <c r="Q90" s="21">
        <v>47.947164028989199</v>
      </c>
      <c r="R90" s="21">
        <v>70.132845160297805</v>
      </c>
      <c r="S90" s="21">
        <v>50.920075599424898</v>
      </c>
    </row>
    <row r="91" spans="1:19">
      <c r="A91" s="9">
        <f t="shared" si="1"/>
        <v>35490</v>
      </c>
      <c r="B91" s="21">
        <v>55.723639676695598</v>
      </c>
      <c r="C91" s="21">
        <v>58.859389453502203</v>
      </c>
      <c r="D91" s="21">
        <v>59.342825457104901</v>
      </c>
      <c r="E91" s="21">
        <v>66.875436747065194</v>
      </c>
      <c r="F91" s="21">
        <v>65.145161330055601</v>
      </c>
      <c r="G91" s="21">
        <v>87.325551136841995</v>
      </c>
      <c r="H91" s="21">
        <v>64.679783935967507</v>
      </c>
      <c r="I91" s="21">
        <v>70.254960818472199</v>
      </c>
      <c r="J91" s="21">
        <v>93.116540585759296</v>
      </c>
      <c r="K91" s="21">
        <v>40.776919993986503</v>
      </c>
      <c r="L91" s="21">
        <v>53.376825077865</v>
      </c>
      <c r="M91" s="21">
        <v>28.595285978698801</v>
      </c>
      <c r="N91" s="21">
        <v>50.961297819083597</v>
      </c>
      <c r="O91" s="21">
        <v>93.604309124923901</v>
      </c>
      <c r="P91" s="21">
        <v>50.539143004354202</v>
      </c>
      <c r="Q91" s="21">
        <v>45.600239315232201</v>
      </c>
      <c r="R91" s="21">
        <v>64.260960478737303</v>
      </c>
      <c r="S91" s="21">
        <v>50.538261307818502</v>
      </c>
    </row>
    <row r="92" spans="1:19">
      <c r="A92" s="9">
        <f t="shared" si="1"/>
        <v>35521</v>
      </c>
      <c r="B92" s="21">
        <v>54.256262880664202</v>
      </c>
      <c r="C92" s="21">
        <v>57.290812806483302</v>
      </c>
      <c r="D92" s="21">
        <v>58.753657103113198</v>
      </c>
      <c r="E92" s="21">
        <v>67.0915304191915</v>
      </c>
      <c r="F92" s="21">
        <v>65.142621407609695</v>
      </c>
      <c r="G92" s="21">
        <v>90.125673903121594</v>
      </c>
      <c r="H92" s="21">
        <v>62.4160923729968</v>
      </c>
      <c r="I92" s="21">
        <v>69.973216576318094</v>
      </c>
      <c r="J92" s="21">
        <v>89.467055517376494</v>
      </c>
      <c r="K92" s="21">
        <v>39.598488357283998</v>
      </c>
      <c r="L92" s="21">
        <v>51.663954664099101</v>
      </c>
      <c r="M92" s="21">
        <v>27.933551693478101</v>
      </c>
      <c r="N92" s="21">
        <v>49.297779510998303</v>
      </c>
      <c r="O92" s="21">
        <v>95.1084116654025</v>
      </c>
      <c r="P92" s="21">
        <v>47.813729450436</v>
      </c>
      <c r="Q92" s="21">
        <v>42.352673498929903</v>
      </c>
      <c r="R92" s="21">
        <v>63.8262856059185</v>
      </c>
      <c r="S92" s="21">
        <v>50.8621372183324</v>
      </c>
    </row>
    <row r="93" spans="1:19">
      <c r="A93" s="9">
        <f t="shared" si="1"/>
        <v>35551</v>
      </c>
      <c r="B93" s="21">
        <v>55.996354261740102</v>
      </c>
      <c r="C93" s="21">
        <v>59.237051944988501</v>
      </c>
      <c r="D93" s="21">
        <v>59.692785347039703</v>
      </c>
      <c r="E93" s="21">
        <v>68.018416196052897</v>
      </c>
      <c r="F93" s="21">
        <v>64.6889877188828</v>
      </c>
      <c r="G93" s="21">
        <v>107.368910655704</v>
      </c>
      <c r="H93" s="21">
        <v>64.249213077629804</v>
      </c>
      <c r="I93" s="21">
        <v>71.077139284382</v>
      </c>
      <c r="J93" s="21">
        <v>91.768585888213593</v>
      </c>
      <c r="K93" s="21">
        <v>40.440267561708801</v>
      </c>
      <c r="L93" s="21">
        <v>53.3108932646672</v>
      </c>
      <c r="M93" s="21">
        <v>27.996899868264801</v>
      </c>
      <c r="N93" s="21">
        <v>50.877258003794502</v>
      </c>
      <c r="O93" s="21">
        <v>93.446689654627306</v>
      </c>
      <c r="P93" s="21">
        <v>50.701203411786302</v>
      </c>
      <c r="Q93" s="21">
        <v>45.2942440562774</v>
      </c>
      <c r="R93" s="21">
        <v>66.562462207687204</v>
      </c>
      <c r="S93" s="21">
        <v>50.740536891650997</v>
      </c>
    </row>
    <row r="94" spans="1:19">
      <c r="A94" s="9">
        <f t="shared" si="1"/>
        <v>35582</v>
      </c>
      <c r="B94" s="21">
        <v>53.850527473505203</v>
      </c>
      <c r="C94" s="21">
        <v>56.8763406165316</v>
      </c>
      <c r="D94" s="21">
        <v>57.851029165372402</v>
      </c>
      <c r="E94" s="21">
        <v>65.2935746529282</v>
      </c>
      <c r="F94" s="21">
        <v>62.402557504957997</v>
      </c>
      <c r="G94" s="21">
        <v>99.462488340076405</v>
      </c>
      <c r="H94" s="21">
        <v>63.313512698336503</v>
      </c>
      <c r="I94" s="21">
        <v>68.444053462257898</v>
      </c>
      <c r="J94" s="21">
        <v>89.756203067588501</v>
      </c>
      <c r="K94" s="21">
        <v>40.227612091441898</v>
      </c>
      <c r="L94" s="21">
        <v>52.803149472951297</v>
      </c>
      <c r="M94" s="21">
        <v>28.069536859341699</v>
      </c>
      <c r="N94" s="21">
        <v>50.701640728365597</v>
      </c>
      <c r="O94" s="21">
        <v>84.3035183944354</v>
      </c>
      <c r="P94" s="21">
        <v>48.119794383910801</v>
      </c>
      <c r="Q94" s="21">
        <v>41.775903085353498</v>
      </c>
      <c r="R94" s="21">
        <v>66.071210621392794</v>
      </c>
      <c r="S94" s="21">
        <v>49.668947831604797</v>
      </c>
    </row>
    <row r="95" spans="1:19">
      <c r="A95" s="9">
        <f t="shared" si="1"/>
        <v>35612</v>
      </c>
      <c r="B95" s="21">
        <v>52.9802588650549</v>
      </c>
      <c r="C95" s="21">
        <v>56.056451347026702</v>
      </c>
      <c r="D95" s="21">
        <v>56.197359420726201</v>
      </c>
      <c r="E95" s="21">
        <v>63.390003658211199</v>
      </c>
      <c r="F95" s="21">
        <v>61.189548035265503</v>
      </c>
      <c r="G95" s="21">
        <v>89.397174977004596</v>
      </c>
      <c r="H95" s="21">
        <v>62.462126775329097</v>
      </c>
      <c r="I95" s="21">
        <v>66.632449588770299</v>
      </c>
      <c r="J95" s="21">
        <v>88.5667322618132</v>
      </c>
      <c r="K95" s="21">
        <v>39.162765881048699</v>
      </c>
      <c r="L95" s="21">
        <v>52.086144540277402</v>
      </c>
      <c r="M95" s="21">
        <v>26.668396437811101</v>
      </c>
      <c r="N95" s="21">
        <v>49.837256334957502</v>
      </c>
      <c r="O95" s="21">
        <v>76.700279943738195</v>
      </c>
      <c r="P95" s="21">
        <v>48.371750726083697</v>
      </c>
      <c r="Q95" s="21">
        <v>43.112245601365302</v>
      </c>
      <c r="R95" s="21">
        <v>63.978548068897403</v>
      </c>
      <c r="S95" s="21">
        <v>49.241739322312597</v>
      </c>
    </row>
    <row r="96" spans="1:19">
      <c r="A96" s="9">
        <f t="shared" si="1"/>
        <v>35643</v>
      </c>
      <c r="B96" s="21">
        <v>53.1019719338965</v>
      </c>
      <c r="C96" s="21">
        <v>56.192374330599499</v>
      </c>
      <c r="D96" s="21">
        <v>55.440727551116602</v>
      </c>
      <c r="E96" s="21">
        <v>62.482693690886897</v>
      </c>
      <c r="F96" s="21">
        <v>60.356046605965702</v>
      </c>
      <c r="G96" s="21">
        <v>87.617522357924003</v>
      </c>
      <c r="H96" s="21">
        <v>61.419067118570801</v>
      </c>
      <c r="I96" s="21">
        <v>65.350860129987495</v>
      </c>
      <c r="J96" s="21">
        <v>84.753241781335504</v>
      </c>
      <c r="K96" s="21">
        <v>39.279747524149997</v>
      </c>
      <c r="L96" s="21">
        <v>52.144267624060198</v>
      </c>
      <c r="M96" s="21">
        <v>26.842282749917</v>
      </c>
      <c r="N96" s="21">
        <v>50.051331842777103</v>
      </c>
      <c r="O96" s="21">
        <v>74.628462066366197</v>
      </c>
      <c r="P96" s="21">
        <v>49.751696084413602</v>
      </c>
      <c r="Q96" s="21">
        <v>44.622120688136199</v>
      </c>
      <c r="R96" s="21">
        <v>67.166218614563107</v>
      </c>
      <c r="S96" s="21">
        <v>50.4324200872258</v>
      </c>
    </row>
    <row r="97" spans="1:19">
      <c r="A97" s="9">
        <f t="shared" si="1"/>
        <v>35674</v>
      </c>
      <c r="B97" s="21">
        <v>52.962841962304999</v>
      </c>
      <c r="C97" s="21">
        <v>56.033516616295699</v>
      </c>
      <c r="D97" s="21">
        <v>54.424569767557699</v>
      </c>
      <c r="E97" s="21">
        <v>61.723661909707502</v>
      </c>
      <c r="F97" s="21">
        <v>59.459826690472902</v>
      </c>
      <c r="G97" s="21">
        <v>88.4799162827629</v>
      </c>
      <c r="H97" s="21">
        <v>59.428688761780798</v>
      </c>
      <c r="I97" s="21">
        <v>64.467095296659096</v>
      </c>
      <c r="J97" s="21">
        <v>83.025691089090898</v>
      </c>
      <c r="K97" s="21">
        <v>38.260826827359097</v>
      </c>
      <c r="L97" s="21">
        <v>50.049421295915003</v>
      </c>
      <c r="M97" s="21">
        <v>26.863570862761801</v>
      </c>
      <c r="N97" s="21">
        <v>48.180905096015699</v>
      </c>
      <c r="O97" s="21">
        <v>70.237483626840501</v>
      </c>
      <c r="P97" s="21">
        <v>50.8689116138762</v>
      </c>
      <c r="Q97" s="21">
        <v>44.377561872597099</v>
      </c>
      <c r="R97" s="21">
        <v>72.814294586024005</v>
      </c>
      <c r="S97" s="21">
        <v>49.696780853122704</v>
      </c>
    </row>
    <row r="98" spans="1:19">
      <c r="A98" s="9">
        <f t="shared" si="1"/>
        <v>35704</v>
      </c>
      <c r="B98" s="21">
        <v>53.625968017021798</v>
      </c>
      <c r="C98" s="21">
        <v>56.777549549704297</v>
      </c>
      <c r="D98" s="21">
        <v>53.763184804838403</v>
      </c>
      <c r="E98" s="21">
        <v>61.3566386713388</v>
      </c>
      <c r="F98" s="21">
        <v>59.429794114326199</v>
      </c>
      <c r="G98" s="21">
        <v>84.130002503974495</v>
      </c>
      <c r="H98" s="21">
        <v>57.588610718372799</v>
      </c>
      <c r="I98" s="21">
        <v>63.761106187446998</v>
      </c>
      <c r="J98" s="21">
        <v>80.026688191268903</v>
      </c>
      <c r="K98" s="21">
        <v>37.640820326399101</v>
      </c>
      <c r="L98" s="21">
        <v>48.669989313884301</v>
      </c>
      <c r="M98" s="21">
        <v>26.977779676179399</v>
      </c>
      <c r="N98" s="21">
        <v>47.097963822070703</v>
      </c>
      <c r="O98" s="21">
        <v>70.024006356998697</v>
      </c>
      <c r="P98" s="21">
        <v>53.429404474007399</v>
      </c>
      <c r="Q98" s="21">
        <v>47.256346000437397</v>
      </c>
      <c r="R98" s="21">
        <v>74.406740319723298</v>
      </c>
      <c r="S98" s="21">
        <v>49.013748836097598</v>
      </c>
    </row>
    <row r="99" spans="1:19">
      <c r="A99" s="9">
        <f t="shared" si="1"/>
        <v>35735</v>
      </c>
      <c r="B99" s="21">
        <v>52.671292278263103</v>
      </c>
      <c r="C99" s="21">
        <v>55.883247213167401</v>
      </c>
      <c r="D99" s="21">
        <v>53.631611342663703</v>
      </c>
      <c r="E99" s="21">
        <v>62.167627838571597</v>
      </c>
      <c r="F99" s="21">
        <v>60.425867522966698</v>
      </c>
      <c r="G99" s="21">
        <v>82.753482173400101</v>
      </c>
      <c r="H99" s="21">
        <v>56.695166666379102</v>
      </c>
      <c r="I99" s="21">
        <v>64.478477985264306</v>
      </c>
      <c r="J99" s="21">
        <v>80.110763432152396</v>
      </c>
      <c r="K99" s="21">
        <v>36.300104692030601</v>
      </c>
      <c r="L99" s="21">
        <v>47.388003752517399</v>
      </c>
      <c r="M99" s="21">
        <v>25.580283593844499</v>
      </c>
      <c r="N99" s="21">
        <v>45.873872132326603</v>
      </c>
      <c r="O99" s="21">
        <v>68.549979504252093</v>
      </c>
      <c r="P99" s="21">
        <v>51.295631757954602</v>
      </c>
      <c r="Q99" s="21">
        <v>45.119372372196899</v>
      </c>
      <c r="R99" s="21">
        <v>73.314156367623895</v>
      </c>
      <c r="S99" s="21">
        <v>45.464208187994402</v>
      </c>
    </row>
    <row r="100" spans="1:19">
      <c r="A100" s="9">
        <f t="shared" si="1"/>
        <v>35765</v>
      </c>
      <c r="B100" s="21">
        <v>49.736279354373899</v>
      </c>
      <c r="C100" s="21">
        <v>52.775741263314202</v>
      </c>
      <c r="D100" s="21">
        <v>52.083654838379999</v>
      </c>
      <c r="E100" s="21">
        <v>61.2623171108024</v>
      </c>
      <c r="F100" s="21">
        <v>58.945821252595401</v>
      </c>
      <c r="G100" s="21">
        <v>88.640967248276795</v>
      </c>
      <c r="H100" s="21">
        <v>53.722635317359803</v>
      </c>
      <c r="I100" s="21">
        <v>63.026062281370699</v>
      </c>
      <c r="J100" s="21">
        <v>74.957328357344494</v>
      </c>
      <c r="K100" s="21">
        <v>34.6785129244426</v>
      </c>
      <c r="L100" s="21">
        <v>45.282331637469603</v>
      </c>
      <c r="M100" s="21">
        <v>24.426702465026501</v>
      </c>
      <c r="N100" s="21">
        <v>44.089256003133599</v>
      </c>
      <c r="O100" s="21">
        <v>65.787131608741305</v>
      </c>
      <c r="P100" s="21">
        <v>46.373655514657997</v>
      </c>
      <c r="Q100" s="21">
        <v>41.172456192192101</v>
      </c>
      <c r="R100" s="21">
        <v>65.554681973938798</v>
      </c>
      <c r="S100" s="21">
        <v>43.941184307701299</v>
      </c>
    </row>
    <row r="101" spans="1:19">
      <c r="A101" s="9">
        <f t="shared" si="1"/>
        <v>35796</v>
      </c>
      <c r="B101" s="21">
        <v>50.452883746116797</v>
      </c>
      <c r="C101" s="21">
        <v>53.5567875931917</v>
      </c>
      <c r="D101" s="21">
        <v>56.264151098107298</v>
      </c>
      <c r="E101" s="21">
        <v>70.202281830879301</v>
      </c>
      <c r="F101" s="21">
        <v>68.522791361321893</v>
      </c>
      <c r="G101" s="21">
        <v>90.052169242645704</v>
      </c>
      <c r="H101" s="21">
        <v>52.096493195403603</v>
      </c>
      <c r="I101" s="21">
        <v>70.513329572720593</v>
      </c>
      <c r="J101" s="21">
        <v>72.617484658255705</v>
      </c>
      <c r="K101" s="21">
        <v>34.172214113728998</v>
      </c>
      <c r="L101" s="21">
        <v>43.9398695308765</v>
      </c>
      <c r="M101" s="21">
        <v>24.728809366865001</v>
      </c>
      <c r="N101" s="21">
        <v>43.051788822003303</v>
      </c>
      <c r="O101" s="21">
        <v>64.346761417781494</v>
      </c>
      <c r="P101" s="21">
        <v>42.128222323217003</v>
      </c>
      <c r="Q101" s="21">
        <v>36.606741667414397</v>
      </c>
      <c r="R101" s="21">
        <v>62.113793901182198</v>
      </c>
      <c r="S101" s="21">
        <v>43.747141121046397</v>
      </c>
    </row>
    <row r="102" spans="1:19">
      <c r="A102" s="9">
        <f t="shared" si="1"/>
        <v>35827</v>
      </c>
      <c r="B102" s="21">
        <v>49.725072987015601</v>
      </c>
      <c r="C102" s="21">
        <v>52.673556999766703</v>
      </c>
      <c r="D102" s="21">
        <v>56.283746015123</v>
      </c>
      <c r="E102" s="21">
        <v>69.743413680587295</v>
      </c>
      <c r="F102" s="21">
        <v>67.978084788949204</v>
      </c>
      <c r="G102" s="21">
        <v>90.607824868934301</v>
      </c>
      <c r="H102" s="21">
        <v>52.083791661907398</v>
      </c>
      <c r="I102" s="21">
        <v>70.343985011063495</v>
      </c>
      <c r="J102" s="21">
        <v>74.406690021449506</v>
      </c>
      <c r="K102" s="21">
        <v>34.312615776202698</v>
      </c>
      <c r="L102" s="21">
        <v>43.210951314505998</v>
      </c>
      <c r="M102" s="21">
        <v>25.709672646771299</v>
      </c>
      <c r="N102" s="21">
        <v>42.790425395363599</v>
      </c>
      <c r="O102" s="21">
        <v>67.191628299947496</v>
      </c>
      <c r="P102" s="21">
        <v>40.329750239767101</v>
      </c>
      <c r="Q102" s="21">
        <v>33.956351821454703</v>
      </c>
      <c r="R102" s="21">
        <v>61.297599948013897</v>
      </c>
      <c r="S102" s="21">
        <v>44.628215224904601</v>
      </c>
    </row>
    <row r="103" spans="1:19">
      <c r="A103" s="9">
        <f t="shared" si="1"/>
        <v>35855</v>
      </c>
      <c r="B103" s="21">
        <v>49.063597695114701</v>
      </c>
      <c r="C103" s="21">
        <v>51.950457037287102</v>
      </c>
      <c r="D103" s="21">
        <v>56.501597067269799</v>
      </c>
      <c r="E103" s="21">
        <v>69.880223483351998</v>
      </c>
      <c r="F103" s="21">
        <v>68.627308734682302</v>
      </c>
      <c r="G103" s="21">
        <v>84.688415103628898</v>
      </c>
      <c r="H103" s="21">
        <v>52.1417575599339</v>
      </c>
      <c r="I103" s="21">
        <v>70.381831134414099</v>
      </c>
      <c r="J103" s="21">
        <v>73.7750732254121</v>
      </c>
      <c r="K103" s="21">
        <v>34.400999395402799</v>
      </c>
      <c r="L103" s="21">
        <v>43.5430105247992</v>
      </c>
      <c r="M103" s="21">
        <v>25.5624698191377</v>
      </c>
      <c r="N103" s="21">
        <v>43.047482383590399</v>
      </c>
      <c r="O103" s="21">
        <v>74.267670720613495</v>
      </c>
      <c r="P103" s="21">
        <v>38.408636791324298</v>
      </c>
      <c r="Q103" s="21">
        <v>31.814467378936399</v>
      </c>
      <c r="R103" s="21">
        <v>60.686039294895998</v>
      </c>
      <c r="S103" s="21">
        <v>43.4997067598173</v>
      </c>
    </row>
    <row r="104" spans="1:19">
      <c r="A104" s="9">
        <f t="shared" si="1"/>
        <v>35886</v>
      </c>
      <c r="B104" s="21">
        <v>50.342687369927397</v>
      </c>
      <c r="C104" s="21">
        <v>53.262717303013702</v>
      </c>
      <c r="D104" s="21">
        <v>57.939812334691602</v>
      </c>
      <c r="E104" s="21">
        <v>71.824292953236807</v>
      </c>
      <c r="F104" s="21">
        <v>70.736253243189395</v>
      </c>
      <c r="G104" s="21">
        <v>84.683827517706604</v>
      </c>
      <c r="H104" s="21">
        <v>52.2822262892265</v>
      </c>
      <c r="I104" s="21">
        <v>72.042073340306104</v>
      </c>
      <c r="J104" s="21">
        <v>73.515299624698997</v>
      </c>
      <c r="K104" s="21">
        <v>35.156310007222899</v>
      </c>
      <c r="L104" s="21">
        <v>43.842566404748197</v>
      </c>
      <c r="M104" s="21">
        <v>26.758405761659098</v>
      </c>
      <c r="N104" s="21">
        <v>43.614845059891302</v>
      </c>
      <c r="O104" s="21">
        <v>81.601713075544794</v>
      </c>
      <c r="P104" s="21">
        <v>39.459778481308</v>
      </c>
      <c r="Q104" s="21">
        <v>32.886972157147</v>
      </c>
      <c r="R104" s="21">
        <v>61.859822859439298</v>
      </c>
      <c r="S104" s="21">
        <v>43.473755784544501</v>
      </c>
    </row>
    <row r="105" spans="1:19">
      <c r="A105" s="9">
        <f t="shared" si="1"/>
        <v>35916</v>
      </c>
      <c r="B105" s="21">
        <v>49.979109363591498</v>
      </c>
      <c r="C105" s="21">
        <v>52.942619829952299</v>
      </c>
      <c r="D105" s="21">
        <v>57.608940774728602</v>
      </c>
      <c r="E105" s="21">
        <v>72.003678800580104</v>
      </c>
      <c r="F105" s="21">
        <v>71.107724060447097</v>
      </c>
      <c r="G105" s="21">
        <v>82.592962300572793</v>
      </c>
      <c r="H105" s="21">
        <v>51.041874162792197</v>
      </c>
      <c r="I105" s="21">
        <v>72.123008298343194</v>
      </c>
      <c r="J105" s="21">
        <v>72.930240551777999</v>
      </c>
      <c r="K105" s="21">
        <v>33.976599426587299</v>
      </c>
      <c r="L105" s="21">
        <v>42.341750312079</v>
      </c>
      <c r="M105" s="21">
        <v>25.8891411567547</v>
      </c>
      <c r="N105" s="21">
        <v>42.084011469127603</v>
      </c>
      <c r="O105" s="21">
        <v>85.088508699162205</v>
      </c>
      <c r="P105" s="21">
        <v>39.049348372683703</v>
      </c>
      <c r="Q105" s="21">
        <v>33.5228593657042</v>
      </c>
      <c r="R105" s="21">
        <v>58.237546484062698</v>
      </c>
      <c r="S105" s="21">
        <v>43.048977416970096</v>
      </c>
    </row>
    <row r="106" spans="1:19">
      <c r="A106" s="9">
        <f t="shared" si="1"/>
        <v>35947</v>
      </c>
      <c r="B106" s="21">
        <v>47.998949364494102</v>
      </c>
      <c r="C106" s="21">
        <v>50.795748771061803</v>
      </c>
      <c r="D106" s="21">
        <v>55.747363259263103</v>
      </c>
      <c r="E106" s="21">
        <v>69.732995028778106</v>
      </c>
      <c r="F106" s="21">
        <v>69.052867450543701</v>
      </c>
      <c r="G106" s="21">
        <v>77.771418644928602</v>
      </c>
      <c r="H106" s="21">
        <v>49.422063071051198</v>
      </c>
      <c r="I106" s="21">
        <v>70.010931136392401</v>
      </c>
      <c r="J106" s="21">
        <v>71.891094839971998</v>
      </c>
      <c r="K106" s="21">
        <v>32.577350107758399</v>
      </c>
      <c r="L106" s="21">
        <v>40.491138043517402</v>
      </c>
      <c r="M106" s="21">
        <v>24.926271177698599</v>
      </c>
      <c r="N106" s="21">
        <v>39.970494015314998</v>
      </c>
      <c r="O106" s="21">
        <v>81.824918264793695</v>
      </c>
      <c r="P106" s="21">
        <v>36.899318538466098</v>
      </c>
      <c r="Q106" s="21">
        <v>31.0020087662569</v>
      </c>
      <c r="R106" s="21">
        <v>58.076517435484298</v>
      </c>
      <c r="S106" s="21">
        <v>42.616359052700098</v>
      </c>
    </row>
    <row r="107" spans="1:19">
      <c r="A107" s="9">
        <f t="shared" si="1"/>
        <v>35977</v>
      </c>
      <c r="B107" s="21">
        <v>46.890102983028903</v>
      </c>
      <c r="C107" s="21">
        <v>49.558707235213099</v>
      </c>
      <c r="D107" s="21">
        <v>54.002608376097001</v>
      </c>
      <c r="E107" s="21">
        <v>66.793199545262794</v>
      </c>
      <c r="F107" s="21">
        <v>66.212982724629299</v>
      </c>
      <c r="G107" s="21">
        <v>73.650778538863094</v>
      </c>
      <c r="H107" s="21">
        <v>48.7469886923109</v>
      </c>
      <c r="I107" s="21">
        <v>67.163200157643402</v>
      </c>
      <c r="J107" s="21">
        <v>69.666155702611704</v>
      </c>
      <c r="K107" s="21">
        <v>32.676007416343602</v>
      </c>
      <c r="L107" s="21">
        <v>40.432099375813003</v>
      </c>
      <c r="M107" s="21">
        <v>25.1773895291294</v>
      </c>
      <c r="N107" s="21">
        <v>40.135088369280602</v>
      </c>
      <c r="O107" s="21">
        <v>77.182551429166196</v>
      </c>
      <c r="P107" s="21">
        <v>36.701413377213498</v>
      </c>
      <c r="Q107" s="21">
        <v>31.111215922860801</v>
      </c>
      <c r="R107" s="21">
        <v>57.061883356794603</v>
      </c>
      <c r="S107" s="21">
        <v>42.010944310337003</v>
      </c>
    </row>
    <row r="108" spans="1:19">
      <c r="A108" s="9">
        <f t="shared" si="1"/>
        <v>36008</v>
      </c>
      <c r="B108" s="21">
        <v>45.404273708079302</v>
      </c>
      <c r="C108" s="21">
        <v>47.982531433180199</v>
      </c>
      <c r="D108" s="21">
        <v>52.584776938570499</v>
      </c>
      <c r="E108" s="21">
        <v>64.797330966662798</v>
      </c>
      <c r="F108" s="21">
        <v>63.865398352420399</v>
      </c>
      <c r="G108" s="21">
        <v>75.811836736939796</v>
      </c>
      <c r="H108" s="21">
        <v>48.259445471549</v>
      </c>
      <c r="I108" s="21">
        <v>65.4178647593221</v>
      </c>
      <c r="J108" s="21">
        <v>69.615610506779106</v>
      </c>
      <c r="K108" s="21">
        <v>31.929670987905801</v>
      </c>
      <c r="L108" s="21">
        <v>39.770859458283603</v>
      </c>
      <c r="M108" s="21">
        <v>24.348781484757701</v>
      </c>
      <c r="N108" s="21">
        <v>39.345058912717803</v>
      </c>
      <c r="O108" s="21">
        <v>72.789485246952495</v>
      </c>
      <c r="P108" s="21">
        <v>35.118176955121903</v>
      </c>
      <c r="Q108" s="21">
        <v>30.468364810096102</v>
      </c>
      <c r="R108" s="21">
        <v>52.674208012616504</v>
      </c>
      <c r="S108" s="21">
        <v>39.1057837912536</v>
      </c>
    </row>
    <row r="109" spans="1:19">
      <c r="A109" s="9">
        <f t="shared" si="1"/>
        <v>36039</v>
      </c>
      <c r="B109" s="21">
        <v>46.249667815172899</v>
      </c>
      <c r="C109" s="21">
        <v>48.879743986666</v>
      </c>
      <c r="D109" s="21">
        <v>52.247341891677202</v>
      </c>
      <c r="E109" s="21">
        <v>63.808726562743402</v>
      </c>
      <c r="F109" s="21">
        <v>62.975816473737098</v>
      </c>
      <c r="G109" s="21">
        <v>73.652885723263694</v>
      </c>
      <c r="H109" s="21">
        <v>49.030005240693598</v>
      </c>
      <c r="I109" s="21">
        <v>64.803426471884904</v>
      </c>
      <c r="J109" s="21">
        <v>71.532306289534404</v>
      </c>
      <c r="K109" s="21">
        <v>32.212470671139201</v>
      </c>
      <c r="L109" s="21">
        <v>40.085856437087003</v>
      </c>
      <c r="M109" s="21">
        <v>24.600452705649101</v>
      </c>
      <c r="N109" s="21">
        <v>39.540962799657201</v>
      </c>
      <c r="O109" s="21">
        <v>69.044855647591604</v>
      </c>
      <c r="P109" s="21">
        <v>37.657978087681698</v>
      </c>
      <c r="Q109" s="21">
        <v>32.672750578590403</v>
      </c>
      <c r="R109" s="21">
        <v>54.416878204747903</v>
      </c>
      <c r="S109" s="21">
        <v>39.841658465646098</v>
      </c>
    </row>
    <row r="110" spans="1:19">
      <c r="A110" s="9">
        <f t="shared" si="1"/>
        <v>36069</v>
      </c>
      <c r="B110" s="21">
        <v>45.979332767978498</v>
      </c>
      <c r="C110" s="21">
        <v>48.517220516921697</v>
      </c>
      <c r="D110" s="21">
        <v>52.635416182945598</v>
      </c>
      <c r="E110" s="21">
        <v>65.358335283914897</v>
      </c>
      <c r="F110" s="21">
        <v>64.770946030741698</v>
      </c>
      <c r="G110" s="21">
        <v>72.3006852130829</v>
      </c>
      <c r="H110" s="21">
        <v>47.517358068358298</v>
      </c>
      <c r="I110" s="21">
        <v>65.913756784940702</v>
      </c>
      <c r="J110" s="21">
        <v>69.671035230624597</v>
      </c>
      <c r="K110" s="21">
        <v>31.729397452388302</v>
      </c>
      <c r="L110" s="21">
        <v>38.711779267492702</v>
      </c>
      <c r="M110" s="21">
        <v>24.978805343926101</v>
      </c>
      <c r="N110" s="21">
        <v>38.2311417069171</v>
      </c>
      <c r="O110" s="21">
        <v>65.606633646084504</v>
      </c>
      <c r="P110" s="21">
        <v>36.444469290530797</v>
      </c>
      <c r="Q110" s="21">
        <v>30.552796051560399</v>
      </c>
      <c r="R110" s="21">
        <v>52.132120655580799</v>
      </c>
      <c r="S110" s="21">
        <v>39.577132523625203</v>
      </c>
    </row>
    <row r="111" spans="1:19">
      <c r="A111" s="9">
        <f t="shared" si="1"/>
        <v>36100</v>
      </c>
      <c r="B111" s="21">
        <v>45.303732330428701</v>
      </c>
      <c r="C111" s="21">
        <v>47.782925714127202</v>
      </c>
      <c r="D111" s="21">
        <v>52.8351153395203</v>
      </c>
      <c r="E111" s="21">
        <v>66.208740084605495</v>
      </c>
      <c r="F111" s="21">
        <v>65.638078684055003</v>
      </c>
      <c r="G111" s="21">
        <v>72.953383627688297</v>
      </c>
      <c r="H111" s="21">
        <v>47.144586520472501</v>
      </c>
      <c r="I111" s="21">
        <v>66.464699863010907</v>
      </c>
      <c r="J111" s="21">
        <v>68.196199555745693</v>
      </c>
      <c r="K111" s="21">
        <v>31.694320656784299</v>
      </c>
      <c r="L111" s="21">
        <v>38.777052945361802</v>
      </c>
      <c r="M111" s="21">
        <v>24.846709345957301</v>
      </c>
      <c r="N111" s="21">
        <v>38.297141038648597</v>
      </c>
      <c r="O111" s="21">
        <v>60.727721666225897</v>
      </c>
      <c r="P111" s="21">
        <v>34.514999030214398</v>
      </c>
      <c r="Q111" s="21">
        <v>27.70866516433</v>
      </c>
      <c r="R111" s="21">
        <v>54.047396576790298</v>
      </c>
      <c r="S111" s="21">
        <v>39.344907696942698</v>
      </c>
    </row>
    <row r="112" spans="1:19">
      <c r="A112" s="9">
        <f t="shared" si="1"/>
        <v>36130</v>
      </c>
      <c r="B112" s="21">
        <v>43.065277337119198</v>
      </c>
      <c r="C112" s="21">
        <v>45.3081981302618</v>
      </c>
      <c r="D112" s="21">
        <v>51.602263193177897</v>
      </c>
      <c r="E112" s="21">
        <v>64.518246096865298</v>
      </c>
      <c r="F112" s="21">
        <v>63.733660373836003</v>
      </c>
      <c r="G112" s="21">
        <v>73.7912598765231</v>
      </c>
      <c r="H112" s="21">
        <v>46.102256349458003</v>
      </c>
      <c r="I112" s="21">
        <v>65.007363190682398</v>
      </c>
      <c r="J112" s="21">
        <v>68.316109990402794</v>
      </c>
      <c r="K112" s="21">
        <v>30.918778214161598</v>
      </c>
      <c r="L112" s="21">
        <v>37.272758777858201</v>
      </c>
      <c r="M112" s="21">
        <v>24.7757267187786</v>
      </c>
      <c r="N112" s="21">
        <v>37.026486497903299</v>
      </c>
      <c r="O112" s="21">
        <v>57.505955898421398</v>
      </c>
      <c r="P112" s="21">
        <v>30.836014334887899</v>
      </c>
      <c r="Q112" s="21">
        <v>24.095548190086301</v>
      </c>
      <c r="R112" s="21">
        <v>48.937662483310199</v>
      </c>
      <c r="S112" s="21">
        <v>39.344907696942698</v>
      </c>
    </row>
    <row r="113" spans="1:19">
      <c r="A113" s="9">
        <f t="shared" si="1"/>
        <v>36161</v>
      </c>
      <c r="B113" s="21">
        <v>43.939839038449598</v>
      </c>
      <c r="C113" s="21">
        <v>46.325582657999703</v>
      </c>
      <c r="D113" s="21">
        <v>51.893130283563401</v>
      </c>
      <c r="E113" s="21">
        <v>65.256950119732593</v>
      </c>
      <c r="F113" s="21">
        <v>64.623080609591</v>
      </c>
      <c r="G113" s="21">
        <v>72.748649916860799</v>
      </c>
      <c r="H113" s="21">
        <v>45.870257443952603</v>
      </c>
      <c r="I113" s="21">
        <v>65.8293467845576</v>
      </c>
      <c r="J113" s="21">
        <v>69.701457689801103</v>
      </c>
      <c r="K113" s="21">
        <v>30.420388157095498</v>
      </c>
      <c r="L113" s="21">
        <v>36.397901674434799</v>
      </c>
      <c r="M113" s="21">
        <v>24.641306369977102</v>
      </c>
      <c r="N113" s="21">
        <v>36.432264790452201</v>
      </c>
      <c r="O113" s="21">
        <v>57.515668673156902</v>
      </c>
      <c r="P113" s="21">
        <v>32.546720669767502</v>
      </c>
      <c r="Q113" s="21">
        <v>26.2210904198189</v>
      </c>
      <c r="R113" s="21">
        <v>49.622397078272499</v>
      </c>
      <c r="S113" s="21">
        <v>39.189673147618798</v>
      </c>
    </row>
    <row r="114" spans="1:19">
      <c r="A114" s="9">
        <f t="shared" si="1"/>
        <v>36192</v>
      </c>
      <c r="B114" s="21">
        <v>42.153609738711602</v>
      </c>
      <c r="C114" s="21">
        <v>44.329433608435203</v>
      </c>
      <c r="D114" s="21">
        <v>49.692815562156902</v>
      </c>
      <c r="E114" s="21">
        <v>60.476254726197098</v>
      </c>
      <c r="F114" s="21">
        <v>59.723042283355099</v>
      </c>
      <c r="G114" s="21">
        <v>69.378467902491295</v>
      </c>
      <c r="H114" s="21">
        <v>46.147408559776899</v>
      </c>
      <c r="I114" s="21">
        <v>61.621325328006101</v>
      </c>
      <c r="J114" s="21">
        <v>69.367422810760004</v>
      </c>
      <c r="K114" s="21">
        <v>30.8444776911644</v>
      </c>
      <c r="L114" s="21">
        <v>36.917985211831997</v>
      </c>
      <c r="M114" s="21">
        <v>24.972588552845899</v>
      </c>
      <c r="N114" s="21">
        <v>37.152754129614003</v>
      </c>
      <c r="O114" s="21">
        <v>62.496315907361698</v>
      </c>
      <c r="P114" s="21">
        <v>31.353670228745901</v>
      </c>
      <c r="Q114" s="21">
        <v>25.221507626980699</v>
      </c>
      <c r="R114" s="21">
        <v>48.414883609156199</v>
      </c>
      <c r="S114" s="21">
        <v>39.096532418024502</v>
      </c>
    </row>
    <row r="115" spans="1:19">
      <c r="A115" s="9">
        <f t="shared" si="1"/>
        <v>36220</v>
      </c>
      <c r="B115" s="21">
        <v>43.341470529948502</v>
      </c>
      <c r="C115" s="21">
        <v>45.665683216687299</v>
      </c>
      <c r="D115" s="21">
        <v>48.869988179440902</v>
      </c>
      <c r="E115" s="21">
        <v>58.607408980202003</v>
      </c>
      <c r="F115" s="21">
        <v>57.929843956844998</v>
      </c>
      <c r="G115" s="21">
        <v>66.615545776198303</v>
      </c>
      <c r="H115" s="21">
        <v>46.628720998508101</v>
      </c>
      <c r="I115" s="21">
        <v>60.087374950151101</v>
      </c>
      <c r="J115" s="21">
        <v>70.098950355434795</v>
      </c>
      <c r="K115" s="21">
        <v>30.937996540092001</v>
      </c>
      <c r="L115" s="21">
        <v>37.299842882110198</v>
      </c>
      <c r="M115" s="21">
        <v>24.787340381648299</v>
      </c>
      <c r="N115" s="21">
        <v>37.415255114861999</v>
      </c>
      <c r="O115" s="21">
        <v>64.441998226503102</v>
      </c>
      <c r="P115" s="21">
        <v>35.421849074779203</v>
      </c>
      <c r="Q115" s="21">
        <v>31.365284296441601</v>
      </c>
      <c r="R115" s="21">
        <v>48.5647333993711</v>
      </c>
      <c r="S115" s="21">
        <v>38.0642226650208</v>
      </c>
    </row>
    <row r="116" spans="1:19">
      <c r="A116" s="9">
        <f t="shared" si="1"/>
        <v>36251</v>
      </c>
      <c r="B116" s="21">
        <v>45.841842808643896</v>
      </c>
      <c r="C116" s="21">
        <v>48.4835317440591</v>
      </c>
      <c r="D116" s="21">
        <v>49.465258791521102</v>
      </c>
      <c r="E116" s="21">
        <v>59.515099086077697</v>
      </c>
      <c r="F116" s="21">
        <v>59.163557840621301</v>
      </c>
      <c r="G116" s="21">
        <v>63.669962879226297</v>
      </c>
      <c r="H116" s="21">
        <v>47.396466895406299</v>
      </c>
      <c r="I116" s="21">
        <v>60.749514197345398</v>
      </c>
      <c r="J116" s="21">
        <v>69.100003478057403</v>
      </c>
      <c r="K116" s="21">
        <v>31.501900192914999</v>
      </c>
      <c r="L116" s="21">
        <v>38.769808655503802</v>
      </c>
      <c r="M116" s="21">
        <v>24.4752598842393</v>
      </c>
      <c r="N116" s="21">
        <v>38.6680670314677</v>
      </c>
      <c r="O116" s="21">
        <v>63.8433395497456</v>
      </c>
      <c r="P116" s="21">
        <v>40.651286356023597</v>
      </c>
      <c r="Q116" s="21">
        <v>37.702175050038001</v>
      </c>
      <c r="R116" s="21">
        <v>52.347900413478897</v>
      </c>
      <c r="S116" s="21">
        <v>38.0642226650208</v>
      </c>
    </row>
    <row r="117" spans="1:19">
      <c r="A117" s="9">
        <f t="shared" si="1"/>
        <v>36281</v>
      </c>
      <c r="B117" s="21">
        <v>46.630938127559901</v>
      </c>
      <c r="C117" s="21">
        <v>49.414523818994802</v>
      </c>
      <c r="D117" s="21">
        <v>49.9446284548224</v>
      </c>
      <c r="E117" s="21">
        <v>59.984858337722699</v>
      </c>
      <c r="F117" s="21">
        <v>59.720515930274502</v>
      </c>
      <c r="G117" s="21">
        <v>63.109119606906198</v>
      </c>
      <c r="H117" s="21">
        <v>48.856261310448701</v>
      </c>
      <c r="I117" s="21">
        <v>61.4254291627717</v>
      </c>
      <c r="J117" s="21">
        <v>71.170506910827498</v>
      </c>
      <c r="K117" s="21">
        <v>31.861867190863599</v>
      </c>
      <c r="L117" s="21">
        <v>39.986860236450902</v>
      </c>
      <c r="M117" s="21">
        <v>24.006594393234199</v>
      </c>
      <c r="N117" s="21">
        <v>39.688800594076298</v>
      </c>
      <c r="O117" s="21">
        <v>61.276932602082503</v>
      </c>
      <c r="P117" s="21">
        <v>41.884064792718497</v>
      </c>
      <c r="Q117" s="21">
        <v>38.698404911016802</v>
      </c>
      <c r="R117" s="21">
        <v>55.824928756634897</v>
      </c>
      <c r="S117" s="21">
        <v>38.0642226650208</v>
      </c>
    </row>
    <row r="118" spans="1:19">
      <c r="A118" s="9">
        <f t="shared" si="1"/>
        <v>36312</v>
      </c>
      <c r="B118" s="21">
        <v>46.190358310967198</v>
      </c>
      <c r="C118" s="21">
        <v>49.066027917369802</v>
      </c>
      <c r="D118" s="21">
        <v>48.537796126591203</v>
      </c>
      <c r="E118" s="21">
        <v>58.297672859635902</v>
      </c>
      <c r="F118" s="21">
        <v>57.962456514767403</v>
      </c>
      <c r="G118" s="21">
        <v>62.259592754290601</v>
      </c>
      <c r="H118" s="21">
        <v>48.032670606442302</v>
      </c>
      <c r="I118" s="21">
        <v>59.896477056115899</v>
      </c>
      <c r="J118" s="21">
        <v>70.711961395863099</v>
      </c>
      <c r="K118" s="21">
        <v>30.805378556430799</v>
      </c>
      <c r="L118" s="21">
        <v>39.018172438429701</v>
      </c>
      <c r="M118" s="21">
        <v>22.865219591145301</v>
      </c>
      <c r="N118" s="21">
        <v>38.788274016265603</v>
      </c>
      <c r="O118" s="21">
        <v>57.057766181198403</v>
      </c>
      <c r="P118" s="21">
        <v>42.827645180984</v>
      </c>
      <c r="Q118" s="21">
        <v>39.639666980551503</v>
      </c>
      <c r="R118" s="21">
        <v>57.2216351837669</v>
      </c>
      <c r="S118" s="21">
        <v>38.2194572143447</v>
      </c>
    </row>
    <row r="119" spans="1:19">
      <c r="A119" s="9">
        <f t="shared" si="1"/>
        <v>36342</v>
      </c>
      <c r="B119" s="21">
        <v>47.646322549222297</v>
      </c>
      <c r="C119" s="21">
        <v>50.729900400777296</v>
      </c>
      <c r="D119" s="21">
        <v>47.920919268071401</v>
      </c>
      <c r="E119" s="21">
        <v>56.406896641362998</v>
      </c>
      <c r="F119" s="21">
        <v>56.287374521209998</v>
      </c>
      <c r="G119" s="21">
        <v>57.819527835916602</v>
      </c>
      <c r="H119" s="21">
        <v>49.772832333591403</v>
      </c>
      <c r="I119" s="21">
        <v>58.101872972888501</v>
      </c>
      <c r="J119" s="21">
        <v>69.567936178261903</v>
      </c>
      <c r="K119" s="21">
        <v>32.059907784288697</v>
      </c>
      <c r="L119" s="21">
        <v>41.904732356380499</v>
      </c>
      <c r="M119" s="21">
        <v>22.541895618040002</v>
      </c>
      <c r="N119" s="21">
        <v>41.356500201137898</v>
      </c>
      <c r="O119" s="21">
        <v>54.998407262956597</v>
      </c>
      <c r="P119" s="21">
        <v>47.252961759948903</v>
      </c>
      <c r="Q119" s="21">
        <v>45.498910281858201</v>
      </c>
      <c r="R119" s="21">
        <v>57.745043028390299</v>
      </c>
      <c r="S119" s="21">
        <v>37.078483276814303</v>
      </c>
    </row>
    <row r="120" spans="1:19">
      <c r="A120" s="9">
        <f t="shared" si="1"/>
        <v>36373</v>
      </c>
      <c r="B120" s="21">
        <v>49.864102522717502</v>
      </c>
      <c r="C120" s="21">
        <v>53.198249661048798</v>
      </c>
      <c r="D120" s="21">
        <v>48.880157026816299</v>
      </c>
      <c r="E120" s="21">
        <v>57.8333062863653</v>
      </c>
      <c r="F120" s="21">
        <v>57.944872357220497</v>
      </c>
      <c r="G120" s="21">
        <v>56.514707588967603</v>
      </c>
      <c r="H120" s="21">
        <v>50.5686095388834</v>
      </c>
      <c r="I120" s="21">
        <v>59.305813939008502</v>
      </c>
      <c r="J120" s="21">
        <v>69.266935815210701</v>
      </c>
      <c r="K120" s="21">
        <v>32.706169068106497</v>
      </c>
      <c r="L120" s="21">
        <v>43.136453501557902</v>
      </c>
      <c r="M120" s="21">
        <v>22.622132180699499</v>
      </c>
      <c r="N120" s="21">
        <v>42.511590726990903</v>
      </c>
      <c r="O120" s="21">
        <v>54.965015026534601</v>
      </c>
      <c r="P120" s="21">
        <v>51.273607991289602</v>
      </c>
      <c r="Q120" s="21">
        <v>48.060348874285602</v>
      </c>
      <c r="R120" s="21">
        <v>65.406600976899696</v>
      </c>
      <c r="S120" s="21">
        <v>36.581732718977896</v>
      </c>
    </row>
    <row r="121" spans="1:19">
      <c r="A121" s="9">
        <f t="shared" si="1"/>
        <v>36404</v>
      </c>
      <c r="B121" s="21">
        <v>52.156762258719702</v>
      </c>
      <c r="C121" s="21">
        <v>55.684395909719001</v>
      </c>
      <c r="D121" s="21">
        <v>49.890160931304202</v>
      </c>
      <c r="E121" s="21">
        <v>58.441140643834501</v>
      </c>
      <c r="F121" s="21">
        <v>58.687111266008699</v>
      </c>
      <c r="G121" s="21">
        <v>55.534015390515002</v>
      </c>
      <c r="H121" s="21">
        <v>52.580927567806597</v>
      </c>
      <c r="I121" s="21">
        <v>60.0506675645345</v>
      </c>
      <c r="J121" s="21">
        <v>70.938688276237599</v>
      </c>
      <c r="K121" s="21">
        <v>34.1067481254114</v>
      </c>
      <c r="L121" s="21">
        <v>45.284138536283699</v>
      </c>
      <c r="M121" s="21">
        <v>23.3004064645169</v>
      </c>
      <c r="N121" s="21">
        <v>44.564986915629099</v>
      </c>
      <c r="O121" s="21">
        <v>56.174108344352497</v>
      </c>
      <c r="P121" s="21">
        <v>55.403676828046102</v>
      </c>
      <c r="Q121" s="21">
        <v>53.681393870737701</v>
      </c>
      <c r="R121" s="21">
        <v>64.330842707019499</v>
      </c>
      <c r="S121" s="21">
        <v>36.084982161141497</v>
      </c>
    </row>
    <row r="122" spans="1:19">
      <c r="A122" s="9">
        <f t="shared" si="1"/>
        <v>36434</v>
      </c>
      <c r="B122" s="21">
        <v>52.403264716573197</v>
      </c>
      <c r="C122" s="21">
        <v>55.535130156666803</v>
      </c>
      <c r="D122" s="21">
        <v>50.613259193646897</v>
      </c>
      <c r="E122" s="21">
        <v>58.2867298242328</v>
      </c>
      <c r="F122" s="21">
        <v>58.344385309863398</v>
      </c>
      <c r="G122" s="21">
        <v>57.605299998232901</v>
      </c>
      <c r="H122" s="21">
        <v>52.721756453662302</v>
      </c>
      <c r="I122" s="21">
        <v>60.043446795120403</v>
      </c>
      <c r="J122" s="21">
        <v>71.927168973129398</v>
      </c>
      <c r="K122" s="21">
        <v>35.856880076774502</v>
      </c>
      <c r="L122" s="21">
        <v>45.088045259597102</v>
      </c>
      <c r="M122" s="21">
        <v>26.932156037726699</v>
      </c>
      <c r="N122" s="21">
        <v>44.720182708204099</v>
      </c>
      <c r="O122" s="21">
        <v>58.276117273475599</v>
      </c>
      <c r="P122" s="21">
        <v>54.967454078533599</v>
      </c>
      <c r="Q122" s="21">
        <v>50.979797565464501</v>
      </c>
      <c r="R122" s="21">
        <v>69.284467980413595</v>
      </c>
      <c r="S122" s="21">
        <v>35.728256196348298</v>
      </c>
    </row>
    <row r="123" spans="1:19">
      <c r="A123" s="9">
        <f t="shared" si="1"/>
        <v>36465</v>
      </c>
      <c r="B123" s="21">
        <v>53.310685267823402</v>
      </c>
      <c r="C123" s="21">
        <v>56.706361270822804</v>
      </c>
      <c r="D123" s="21">
        <v>50.211420889874198</v>
      </c>
      <c r="E123" s="21">
        <v>57.702288170075903</v>
      </c>
      <c r="F123" s="21">
        <v>57.348816807525502</v>
      </c>
      <c r="G123" s="21">
        <v>61.879964005150399</v>
      </c>
      <c r="H123" s="21">
        <v>53.161267330643199</v>
      </c>
      <c r="I123" s="21">
        <v>59.495349846806697</v>
      </c>
      <c r="J123" s="21">
        <v>71.624934274706206</v>
      </c>
      <c r="K123" s="21">
        <v>35.598681785004601</v>
      </c>
      <c r="L123" s="21">
        <v>45.822382998347798</v>
      </c>
      <c r="M123" s="21">
        <v>25.714370305392599</v>
      </c>
      <c r="N123" s="21">
        <v>45.393064461580003</v>
      </c>
      <c r="O123" s="21">
        <v>59.207398152270102</v>
      </c>
      <c r="P123" s="21">
        <v>57.750392657579702</v>
      </c>
      <c r="Q123" s="21">
        <v>56.794507684303703</v>
      </c>
      <c r="R123" s="21">
        <v>65.120673098320793</v>
      </c>
      <c r="S123" s="21">
        <v>36.147702978174401</v>
      </c>
    </row>
    <row r="124" spans="1:19">
      <c r="A124" s="9">
        <f t="shared" si="1"/>
        <v>36495</v>
      </c>
      <c r="B124" s="21">
        <v>54.054173988642901</v>
      </c>
      <c r="C124" s="21">
        <v>57.627814767178599</v>
      </c>
      <c r="D124" s="21">
        <v>50.546681278561501</v>
      </c>
      <c r="E124" s="21">
        <v>58.113976441458</v>
      </c>
      <c r="F124" s="21">
        <v>57.640494692262997</v>
      </c>
      <c r="G124" s="21">
        <v>63.7100542897143</v>
      </c>
      <c r="H124" s="21">
        <v>53.872199182388698</v>
      </c>
      <c r="I124" s="21">
        <v>59.778811647967402</v>
      </c>
      <c r="J124" s="21">
        <v>71.040978174616498</v>
      </c>
      <c r="K124" s="21">
        <v>35.902794046378098</v>
      </c>
      <c r="L124" s="21">
        <v>47.048003125753503</v>
      </c>
      <c r="M124" s="21">
        <v>25.127565413701699</v>
      </c>
      <c r="N124" s="21">
        <v>46.605813953249204</v>
      </c>
      <c r="O124" s="21">
        <v>61.412130930429498</v>
      </c>
      <c r="P124" s="21">
        <v>59.0786699352482</v>
      </c>
      <c r="Q124" s="21">
        <v>58.727498321557398</v>
      </c>
      <c r="R124" s="21">
        <v>66.183162778114607</v>
      </c>
      <c r="S124" s="21">
        <v>35.433624051284603</v>
      </c>
    </row>
    <row r="125" spans="1:19">
      <c r="A125" s="9">
        <f t="shared" si="1"/>
        <v>36526</v>
      </c>
      <c r="B125" s="21">
        <v>55.731231750049602</v>
      </c>
      <c r="C125" s="21">
        <v>59.4856616023595</v>
      </c>
      <c r="D125" s="21">
        <v>51.188140693954203</v>
      </c>
      <c r="E125" s="21">
        <v>58.380546970154398</v>
      </c>
      <c r="F125" s="21">
        <v>58.491216339129899</v>
      </c>
      <c r="G125" s="21">
        <v>57.072546386695201</v>
      </c>
      <c r="H125" s="21">
        <v>55.182375033305597</v>
      </c>
      <c r="I125" s="21">
        <v>59.899223788812598</v>
      </c>
      <c r="J125" s="21">
        <v>70.172667769943601</v>
      </c>
      <c r="K125" s="21">
        <v>37.0731177996309</v>
      </c>
      <c r="L125" s="21">
        <v>49.224077321658001</v>
      </c>
      <c r="M125" s="21">
        <v>25.325525984729101</v>
      </c>
      <c r="N125" s="21">
        <v>48.650367992791999</v>
      </c>
      <c r="O125" s="21">
        <v>66.510724688851198</v>
      </c>
      <c r="P125" s="21">
        <v>62.2392260591472</v>
      </c>
      <c r="Q125" s="21">
        <v>59.520874503967597</v>
      </c>
      <c r="R125" s="21">
        <v>75.115520159829998</v>
      </c>
      <c r="S125" s="21">
        <v>35.588858600608503</v>
      </c>
    </row>
    <row r="126" spans="1:19">
      <c r="A126" s="9">
        <f t="shared" si="1"/>
        <v>36557</v>
      </c>
      <c r="B126" s="21">
        <v>58.284329004127997</v>
      </c>
      <c r="C126" s="21">
        <v>62.186710435667599</v>
      </c>
      <c r="D126" s="21">
        <v>52.6026882045132</v>
      </c>
      <c r="E126" s="21">
        <v>58.783984107331101</v>
      </c>
      <c r="F126" s="21">
        <v>59.239620960320202</v>
      </c>
      <c r="G126" s="21">
        <v>53.398814976321198</v>
      </c>
      <c r="H126" s="21">
        <v>57.210207002157198</v>
      </c>
      <c r="I126" s="21">
        <v>60.8281271060767</v>
      </c>
      <c r="J126" s="21">
        <v>74.656209769240107</v>
      </c>
      <c r="K126" s="21">
        <v>38.700880118418603</v>
      </c>
      <c r="L126" s="21">
        <v>50.275820850348097</v>
      </c>
      <c r="M126" s="21">
        <v>27.510185362676101</v>
      </c>
      <c r="N126" s="21">
        <v>50.580666151043701</v>
      </c>
      <c r="O126" s="21">
        <v>76.844987847450795</v>
      </c>
      <c r="P126" s="21">
        <v>66.423299923634204</v>
      </c>
      <c r="Q126" s="21">
        <v>65.313164384797403</v>
      </c>
      <c r="R126" s="21">
        <v>78.619786926341902</v>
      </c>
      <c r="S126" s="21">
        <v>36.240843707768697</v>
      </c>
    </row>
    <row r="127" spans="1:19">
      <c r="A127" s="9">
        <f t="shared" si="1"/>
        <v>36586</v>
      </c>
      <c r="B127" s="21">
        <v>58.555546332881903</v>
      </c>
      <c r="C127" s="21">
        <v>62.605466608995798</v>
      </c>
      <c r="D127" s="21">
        <v>52.880468447995902</v>
      </c>
      <c r="E127" s="21">
        <v>59.759022716953702</v>
      </c>
      <c r="F127" s="21">
        <v>60.331971920946998</v>
      </c>
      <c r="G127" s="21">
        <v>52.987339639213403</v>
      </c>
      <c r="H127" s="21">
        <v>56.984034309683899</v>
      </c>
      <c r="I127" s="21">
        <v>61.7275309257925</v>
      </c>
      <c r="J127" s="21">
        <v>75.043964390399594</v>
      </c>
      <c r="K127" s="21">
        <v>37.963838799251498</v>
      </c>
      <c r="L127" s="21">
        <v>49.805626124936502</v>
      </c>
      <c r="M127" s="21">
        <v>26.515155787112299</v>
      </c>
      <c r="N127" s="21">
        <v>50.076177326033303</v>
      </c>
      <c r="O127" s="21">
        <v>78.345197877874895</v>
      </c>
      <c r="P127" s="21">
        <v>66.685115853389405</v>
      </c>
      <c r="Q127" s="21">
        <v>65.735665891209607</v>
      </c>
      <c r="R127" s="21">
        <v>81.899878029673303</v>
      </c>
      <c r="S127" s="21">
        <v>36.846258450131799</v>
      </c>
    </row>
    <row r="128" spans="1:19">
      <c r="A128" s="9">
        <f t="shared" si="1"/>
        <v>36617</v>
      </c>
      <c r="B128" s="21">
        <v>56.725481294882101</v>
      </c>
      <c r="C128" s="21">
        <v>60.6333590970549</v>
      </c>
      <c r="D128" s="21">
        <v>53.450464265701001</v>
      </c>
      <c r="E128" s="21">
        <v>62.140315980992597</v>
      </c>
      <c r="F128" s="21">
        <v>63.085715495986697</v>
      </c>
      <c r="G128" s="21">
        <v>50.966644994506503</v>
      </c>
      <c r="H128" s="21">
        <v>55.339171639449603</v>
      </c>
      <c r="I128" s="21">
        <v>63.727071612709203</v>
      </c>
      <c r="J128" s="21">
        <v>74.461050622534898</v>
      </c>
      <c r="K128" s="21">
        <v>36.528977147272599</v>
      </c>
      <c r="L128" s="21">
        <v>47.738663111096997</v>
      </c>
      <c r="M128" s="21">
        <v>25.691412028441999</v>
      </c>
      <c r="N128" s="21">
        <v>47.952082523942401</v>
      </c>
      <c r="O128" s="21">
        <v>76.122647510673303</v>
      </c>
      <c r="P128" s="21">
        <v>61.416954990860702</v>
      </c>
      <c r="Q128" s="21">
        <v>57.024374097887602</v>
      </c>
      <c r="R128" s="21">
        <v>87.207140686610899</v>
      </c>
      <c r="S128" s="21">
        <v>37.265391733306203</v>
      </c>
    </row>
    <row r="129" spans="1:19">
      <c r="A129" s="9">
        <f t="shared" si="1"/>
        <v>36647</v>
      </c>
      <c r="B129" s="21">
        <v>59.538232417750997</v>
      </c>
      <c r="C129" s="21">
        <v>63.792909952471</v>
      </c>
      <c r="D129" s="21">
        <v>53.162516230208098</v>
      </c>
      <c r="E129" s="21">
        <v>61.225316013925003</v>
      </c>
      <c r="F129" s="21">
        <v>62.164532157374701</v>
      </c>
      <c r="G129" s="21">
        <v>50.124726257257102</v>
      </c>
      <c r="H129" s="21">
        <v>56.445207526516597</v>
      </c>
      <c r="I129" s="21">
        <v>63.055448465969</v>
      </c>
      <c r="J129" s="21">
        <v>75.435806810239299</v>
      </c>
      <c r="K129" s="21">
        <v>37.034570090283999</v>
      </c>
      <c r="L129" s="21">
        <v>48.896879669085003</v>
      </c>
      <c r="M129" s="21">
        <v>25.566046089267001</v>
      </c>
      <c r="N129" s="21">
        <v>49.055101513915098</v>
      </c>
      <c r="O129" s="21">
        <v>72.232030630383704</v>
      </c>
      <c r="P129" s="21">
        <v>68.671468831597295</v>
      </c>
      <c r="Q129" s="21">
        <v>67.178962784683094</v>
      </c>
      <c r="R129" s="21">
        <v>92.204873666606403</v>
      </c>
      <c r="S129" s="21">
        <v>38.483669446846903</v>
      </c>
    </row>
    <row r="130" spans="1:19">
      <c r="A130" s="9">
        <f t="shared" si="1"/>
        <v>36678</v>
      </c>
      <c r="B130" s="21">
        <v>61.504013268005899</v>
      </c>
      <c r="C130" s="21">
        <v>65.900502115352595</v>
      </c>
      <c r="D130" s="21">
        <v>51.977549479943598</v>
      </c>
      <c r="E130" s="21">
        <v>59.110948109368799</v>
      </c>
      <c r="F130" s="21">
        <v>59.975141128447802</v>
      </c>
      <c r="G130" s="21">
        <v>48.897056192927202</v>
      </c>
      <c r="H130" s="21">
        <v>54.6648536542885</v>
      </c>
      <c r="I130" s="21">
        <v>61.100008626502898</v>
      </c>
      <c r="J130" s="21">
        <v>74.555472979947595</v>
      </c>
      <c r="K130" s="21">
        <v>36.529782147613901</v>
      </c>
      <c r="L130" s="21">
        <v>46.758788463068797</v>
      </c>
      <c r="M130" s="21">
        <v>26.6403416760051</v>
      </c>
      <c r="N130" s="21">
        <v>47.559765426929403</v>
      </c>
      <c r="O130" s="21">
        <v>79.373078046475001</v>
      </c>
      <c r="P130" s="21">
        <v>75.150706973462505</v>
      </c>
      <c r="Q130" s="21">
        <v>71.955803791371807</v>
      </c>
      <c r="R130" s="21">
        <v>103.825427046972</v>
      </c>
      <c r="S130" s="21">
        <v>39.221033556135197</v>
      </c>
    </row>
    <row r="131" spans="1:19">
      <c r="A131" s="9">
        <f t="shared" si="1"/>
        <v>36708</v>
      </c>
      <c r="B131" s="21">
        <v>60.013136581087601</v>
      </c>
      <c r="C131" s="21">
        <v>64.277697169522796</v>
      </c>
      <c r="D131" s="21">
        <v>51.166096182984198</v>
      </c>
      <c r="E131" s="21">
        <v>57.364109650457102</v>
      </c>
      <c r="F131" s="21">
        <v>58.082972495819199</v>
      </c>
      <c r="G131" s="21">
        <v>48.867874153092004</v>
      </c>
      <c r="H131" s="21">
        <v>54.46112384613</v>
      </c>
      <c r="I131" s="21">
        <v>59.2969572099936</v>
      </c>
      <c r="J131" s="21">
        <v>72.372155884922805</v>
      </c>
      <c r="K131" s="21">
        <v>36.786319906778203</v>
      </c>
      <c r="L131" s="21">
        <v>47.341899219572099</v>
      </c>
      <c r="M131" s="21">
        <v>26.581147474779499</v>
      </c>
      <c r="N131" s="21">
        <v>48.292299096513297</v>
      </c>
      <c r="O131" s="21">
        <v>85.995901445966297</v>
      </c>
      <c r="P131" s="21">
        <v>72.686553832094205</v>
      </c>
      <c r="Q131" s="21">
        <v>68.737722144779397</v>
      </c>
      <c r="R131" s="21">
        <v>103.692272750695</v>
      </c>
      <c r="S131" s="21">
        <v>39.221033556135197</v>
      </c>
    </row>
    <row r="132" spans="1:19">
      <c r="A132" s="9">
        <f t="shared" si="1"/>
        <v>36739</v>
      </c>
      <c r="B132" s="21">
        <v>61.150543844022302</v>
      </c>
      <c r="C132" s="21">
        <v>65.609911927215805</v>
      </c>
      <c r="D132" s="21">
        <v>50.226556727019897</v>
      </c>
      <c r="E132" s="21">
        <v>56.1627391236037</v>
      </c>
      <c r="F132" s="21">
        <v>57.038362385339603</v>
      </c>
      <c r="G132" s="21">
        <v>45.813753240306603</v>
      </c>
      <c r="H132" s="21">
        <v>53.685970554952299</v>
      </c>
      <c r="I132" s="21">
        <v>57.9030047099603</v>
      </c>
      <c r="J132" s="21">
        <v>69.675437655583394</v>
      </c>
      <c r="K132" s="21">
        <v>36.667762869938301</v>
      </c>
      <c r="L132" s="21">
        <v>47.330523939603502</v>
      </c>
      <c r="M132" s="21">
        <v>26.358966725964699</v>
      </c>
      <c r="N132" s="21">
        <v>48.5417047485534</v>
      </c>
      <c r="O132" s="21">
        <v>82.814508037923304</v>
      </c>
      <c r="P132" s="21">
        <v>76.799194754226207</v>
      </c>
      <c r="Q132" s="21">
        <v>73.5711040529591</v>
      </c>
      <c r="R132" s="21">
        <v>109.981648808617</v>
      </c>
      <c r="S132" s="21">
        <v>39.221033556135197</v>
      </c>
    </row>
    <row r="133" spans="1:19">
      <c r="A133" s="9">
        <f t="shared" si="1"/>
        <v>36770</v>
      </c>
      <c r="B133" s="21">
        <v>63.800885927068002</v>
      </c>
      <c r="C133" s="21">
        <v>68.570169384833306</v>
      </c>
      <c r="D133" s="21">
        <v>50.443903572001503</v>
      </c>
      <c r="E133" s="21">
        <v>55.677374279404603</v>
      </c>
      <c r="F133" s="21">
        <v>56.546369196197503</v>
      </c>
      <c r="G133" s="21">
        <v>45.406728763754501</v>
      </c>
      <c r="H133" s="21">
        <v>55.719461968619697</v>
      </c>
      <c r="I133" s="21">
        <v>57.696712219901698</v>
      </c>
      <c r="J133" s="21">
        <v>71.356995274067302</v>
      </c>
      <c r="K133" s="21">
        <v>37.661757777968802</v>
      </c>
      <c r="L133" s="21">
        <v>49.503900968804402</v>
      </c>
      <c r="M133" s="21">
        <v>26.212730714108801</v>
      </c>
      <c r="N133" s="21">
        <v>50.397416209002103</v>
      </c>
      <c r="O133" s="21">
        <v>80.749920030700906</v>
      </c>
      <c r="P133" s="21">
        <v>82.934811283210607</v>
      </c>
      <c r="Q133" s="21">
        <v>80.466694555502002</v>
      </c>
      <c r="R133" s="21">
        <v>118.536764091934</v>
      </c>
      <c r="S133" s="21">
        <v>40.326884046994302</v>
      </c>
    </row>
    <row r="134" spans="1:19">
      <c r="A134" s="9">
        <f t="shared" si="1"/>
        <v>36800</v>
      </c>
      <c r="B134" s="21">
        <v>63.035441390167399</v>
      </c>
      <c r="C134" s="21">
        <v>67.750422404600002</v>
      </c>
      <c r="D134" s="21">
        <v>49.583368634025199</v>
      </c>
      <c r="E134" s="21">
        <v>55.285014887599502</v>
      </c>
      <c r="F134" s="21">
        <v>56.2115496235267</v>
      </c>
      <c r="G134" s="21">
        <v>44.3343066075496</v>
      </c>
      <c r="H134" s="21">
        <v>53.411092020280002</v>
      </c>
      <c r="I134" s="21">
        <v>57.236857702174902</v>
      </c>
      <c r="J134" s="21">
        <v>70.440554215585294</v>
      </c>
      <c r="K134" s="21">
        <v>36.116178964614299</v>
      </c>
      <c r="L134" s="21">
        <v>46.6422711965958</v>
      </c>
      <c r="M134" s="21">
        <v>25.939514749482498</v>
      </c>
      <c r="N134" s="21">
        <v>47.835361844329597</v>
      </c>
      <c r="O134" s="21">
        <v>81.2040939988199</v>
      </c>
      <c r="P134" s="21">
        <v>82.305584088513498</v>
      </c>
      <c r="Q134" s="21">
        <v>79.057309513351797</v>
      </c>
      <c r="R134" s="21">
        <v>122.189918369263</v>
      </c>
      <c r="S134" s="21">
        <v>41.242767888005098</v>
      </c>
    </row>
    <row r="135" spans="1:19">
      <c r="A135" s="9">
        <f t="shared" ref="A135:A198" si="2">EDATE(A134,1)</f>
        <v>36831</v>
      </c>
      <c r="B135" s="21">
        <v>64.117585461806499</v>
      </c>
      <c r="C135" s="21">
        <v>68.9888913107023</v>
      </c>
      <c r="D135" s="21">
        <v>49.6708989820265</v>
      </c>
      <c r="E135" s="21">
        <v>55.706973110643297</v>
      </c>
      <c r="F135" s="21">
        <v>56.866242484152799</v>
      </c>
      <c r="G135" s="21">
        <v>42.0055755968271</v>
      </c>
      <c r="H135" s="21">
        <v>52.979400352667398</v>
      </c>
      <c r="I135" s="21">
        <v>57.857946527201001</v>
      </c>
      <c r="J135" s="21">
        <v>72.408708498686295</v>
      </c>
      <c r="K135" s="21">
        <v>35.3997468991858</v>
      </c>
      <c r="L135" s="21">
        <v>45.256695779835702</v>
      </c>
      <c r="M135" s="21">
        <v>25.870012907370899</v>
      </c>
      <c r="N135" s="21">
        <v>46.7748305361117</v>
      </c>
      <c r="O135" s="21">
        <v>81.197882816657099</v>
      </c>
      <c r="P135" s="21">
        <v>84.812515903400694</v>
      </c>
      <c r="Q135" s="21">
        <v>81.624337487437899</v>
      </c>
      <c r="R135" s="21">
        <v>128.45865983259401</v>
      </c>
      <c r="S135" s="21">
        <v>39.682660667300198</v>
      </c>
    </row>
    <row r="136" spans="1:19">
      <c r="A136" s="9">
        <f t="shared" si="2"/>
        <v>36861</v>
      </c>
      <c r="B136" s="21">
        <v>64.441698896369502</v>
      </c>
      <c r="C136" s="21">
        <v>69.302912127496995</v>
      </c>
      <c r="D136" s="21">
        <v>51.262633851749598</v>
      </c>
      <c r="E136" s="21">
        <v>58.640306763892198</v>
      </c>
      <c r="F136" s="21">
        <v>60.209266070306498</v>
      </c>
      <c r="G136" s="21">
        <v>40.096786481711099</v>
      </c>
      <c r="H136" s="21">
        <v>52.427335546672801</v>
      </c>
      <c r="I136" s="21">
        <v>59.788669905806202</v>
      </c>
      <c r="J136" s="21">
        <v>67.557040544974399</v>
      </c>
      <c r="K136" s="21">
        <v>36.463392742995602</v>
      </c>
      <c r="L136" s="21">
        <v>46.413624657028102</v>
      </c>
      <c r="M136" s="21">
        <v>26.843472375574201</v>
      </c>
      <c r="N136" s="21">
        <v>48.364783571139299</v>
      </c>
      <c r="O136" s="21">
        <v>83.024852610789495</v>
      </c>
      <c r="P136" s="21">
        <v>83.320757064164098</v>
      </c>
      <c r="Q136" s="21">
        <v>62.759288172525899</v>
      </c>
      <c r="R136" s="21">
        <v>172.11944743126099</v>
      </c>
      <c r="S136" s="21">
        <v>48.871841142474302</v>
      </c>
    </row>
    <row r="137" spans="1:19">
      <c r="A137" s="9">
        <f t="shared" si="2"/>
        <v>36892</v>
      </c>
      <c r="B137" s="21">
        <v>64.025851812649805</v>
      </c>
      <c r="C137" s="21">
        <v>68.894110125073595</v>
      </c>
      <c r="D137" s="21">
        <v>51.222216961218898</v>
      </c>
      <c r="E137" s="21">
        <v>57.212216334011302</v>
      </c>
      <c r="F137" s="21">
        <v>58.575168039196903</v>
      </c>
      <c r="G137" s="21">
        <v>41.103498609200798</v>
      </c>
      <c r="H137" s="21">
        <v>53.199025392050402</v>
      </c>
      <c r="I137" s="21">
        <v>58.962459437531002</v>
      </c>
      <c r="J137" s="21">
        <v>70.802387627952896</v>
      </c>
      <c r="K137" s="21">
        <v>36.423325951985298</v>
      </c>
      <c r="L137" s="21">
        <v>46.202092458837697</v>
      </c>
      <c r="M137" s="21">
        <v>26.969178963223801</v>
      </c>
      <c r="N137" s="21">
        <v>48.678607165875697</v>
      </c>
      <c r="O137" s="21">
        <v>103.288468216292</v>
      </c>
      <c r="P137" s="21">
        <v>82.3671048758208</v>
      </c>
      <c r="Q137" s="21">
        <v>63.978680374355903</v>
      </c>
      <c r="R137" s="21">
        <v>161.35245712135799</v>
      </c>
      <c r="S137" s="21">
        <v>50.029044434070897</v>
      </c>
    </row>
    <row r="138" spans="1:19">
      <c r="A138" s="9">
        <f t="shared" si="2"/>
        <v>36923</v>
      </c>
      <c r="B138" s="21">
        <v>61.210300517026297</v>
      </c>
      <c r="C138" s="21">
        <v>65.788977638253797</v>
      </c>
      <c r="D138" s="21">
        <v>50.5291914126094</v>
      </c>
      <c r="E138" s="21">
        <v>56.396376536613701</v>
      </c>
      <c r="F138" s="21">
        <v>57.558573396097501</v>
      </c>
      <c r="G138" s="21">
        <v>42.660379084278098</v>
      </c>
      <c r="H138" s="21">
        <v>52.511032166500797</v>
      </c>
      <c r="I138" s="21">
        <v>58.173744345691503</v>
      </c>
      <c r="J138" s="21">
        <v>70.197163941020506</v>
      </c>
      <c r="K138" s="21">
        <v>35.749748451298203</v>
      </c>
      <c r="L138" s="21">
        <v>45.481200239172303</v>
      </c>
      <c r="M138" s="21">
        <v>26.341345504757101</v>
      </c>
      <c r="N138" s="21">
        <v>47.680405216409397</v>
      </c>
      <c r="O138" s="21">
        <v>104.737349861624</v>
      </c>
      <c r="P138" s="21">
        <v>76.5110277989791</v>
      </c>
      <c r="Q138" s="21">
        <v>68.062862457880996</v>
      </c>
      <c r="R138" s="21">
        <v>125.68849254907001</v>
      </c>
      <c r="S138" s="21">
        <v>49.563340786099303</v>
      </c>
    </row>
    <row r="139" spans="1:19">
      <c r="A139" s="9">
        <f t="shared" si="2"/>
        <v>36951</v>
      </c>
      <c r="B139" s="21">
        <v>59.287301257227298</v>
      </c>
      <c r="C139" s="21">
        <v>63.638483692852297</v>
      </c>
      <c r="D139" s="21">
        <v>50.324161394569998</v>
      </c>
      <c r="E139" s="21">
        <v>57.635483866187101</v>
      </c>
      <c r="F139" s="21">
        <v>58.978484568269799</v>
      </c>
      <c r="G139" s="21">
        <v>41.762566922935903</v>
      </c>
      <c r="H139" s="21">
        <v>50.251640128110402</v>
      </c>
      <c r="I139" s="21">
        <v>58.710763720967201</v>
      </c>
      <c r="J139" s="21">
        <v>65.9847453979135</v>
      </c>
      <c r="K139" s="21">
        <v>34.588554127569999</v>
      </c>
      <c r="L139" s="21">
        <v>43.998091463442798</v>
      </c>
      <c r="M139" s="21">
        <v>25.491379242860098</v>
      </c>
      <c r="N139" s="21">
        <v>45.519524703949202</v>
      </c>
      <c r="O139" s="21">
        <v>101.64284022341199</v>
      </c>
      <c r="P139" s="21">
        <v>72.127031409577</v>
      </c>
      <c r="Q139" s="21">
        <v>63.454381939987201</v>
      </c>
      <c r="R139" s="21">
        <v>121.657878765281</v>
      </c>
      <c r="S139" s="21">
        <v>50.812665409504703</v>
      </c>
    </row>
    <row r="140" spans="1:19">
      <c r="A140" s="9">
        <f t="shared" si="2"/>
        <v>36982</v>
      </c>
      <c r="B140" s="21">
        <v>59.6024174969168</v>
      </c>
      <c r="C140" s="21">
        <v>64.014072499902696</v>
      </c>
      <c r="D140" s="21">
        <v>50.176337940662101</v>
      </c>
      <c r="E140" s="21">
        <v>57.9012262794934</v>
      </c>
      <c r="F140" s="21">
        <v>59.407086231775402</v>
      </c>
      <c r="G140" s="21">
        <v>40.103476871267702</v>
      </c>
      <c r="H140" s="21">
        <v>50.333846895571</v>
      </c>
      <c r="I140" s="21">
        <v>59.113979409065699</v>
      </c>
      <c r="J140" s="21">
        <v>67.317931156094104</v>
      </c>
      <c r="K140" s="21">
        <v>34.118393158661597</v>
      </c>
      <c r="L140" s="21">
        <v>43.5830627606775</v>
      </c>
      <c r="M140" s="21">
        <v>24.9679161987283</v>
      </c>
      <c r="N140" s="21">
        <v>44.843868837613499</v>
      </c>
      <c r="O140" s="21">
        <v>92.7441627688343</v>
      </c>
      <c r="P140" s="21">
        <v>73.105310428569695</v>
      </c>
      <c r="Q140" s="21">
        <v>65.632238240973393</v>
      </c>
      <c r="R140" s="21">
        <v>121.757635102244</v>
      </c>
      <c r="S140" s="21">
        <v>51.478057328531101</v>
      </c>
    </row>
    <row r="141" spans="1:19">
      <c r="A141" s="9">
        <f t="shared" si="2"/>
        <v>37012</v>
      </c>
      <c r="B141" s="21">
        <v>59.944102115092697</v>
      </c>
      <c r="C141" s="21">
        <v>64.287378960780103</v>
      </c>
      <c r="D141" s="21">
        <v>50.817457329083702</v>
      </c>
      <c r="E141" s="21">
        <v>59.305170377222197</v>
      </c>
      <c r="F141" s="21">
        <v>60.893174490486203</v>
      </c>
      <c r="G141" s="21">
        <v>40.536559641360903</v>
      </c>
      <c r="H141" s="21">
        <v>51.101510126743101</v>
      </c>
      <c r="I141" s="21">
        <v>60.2620907884424</v>
      </c>
      <c r="J141" s="21">
        <v>66.735402370137294</v>
      </c>
      <c r="K141" s="21">
        <v>35.145023759662799</v>
      </c>
      <c r="L141" s="21">
        <v>44.887396365623097</v>
      </c>
      <c r="M141" s="21">
        <v>25.7260625265165</v>
      </c>
      <c r="N141" s="21">
        <v>45.938720561353399</v>
      </c>
      <c r="O141" s="21">
        <v>73.713485602135194</v>
      </c>
      <c r="P141" s="21">
        <v>73.018053659341405</v>
      </c>
      <c r="Q141" s="21">
        <v>69.907078714094894</v>
      </c>
      <c r="R141" s="21">
        <v>109.579235678942</v>
      </c>
      <c r="S141" s="21">
        <v>51.086678165043999</v>
      </c>
    </row>
    <row r="142" spans="1:19">
      <c r="A142" s="9">
        <f t="shared" si="2"/>
        <v>37043</v>
      </c>
      <c r="B142" s="21">
        <v>58.478861256188203</v>
      </c>
      <c r="C142" s="21">
        <v>62.672559221630998</v>
      </c>
      <c r="D142" s="21">
        <v>49.897771988562297</v>
      </c>
      <c r="E142" s="21">
        <v>58.913711893039903</v>
      </c>
      <c r="F142" s="21">
        <v>60.669869964929099</v>
      </c>
      <c r="G142" s="21">
        <v>38.157690566254402</v>
      </c>
      <c r="H142" s="21">
        <v>50.047643361007303</v>
      </c>
      <c r="I142" s="21">
        <v>60.027228843107999</v>
      </c>
      <c r="J142" s="21">
        <v>67.559874280254405</v>
      </c>
      <c r="K142" s="21">
        <v>34.032006116832399</v>
      </c>
      <c r="L142" s="21">
        <v>43.086933036987602</v>
      </c>
      <c r="M142" s="21">
        <v>25.2776698704712</v>
      </c>
      <c r="N142" s="21">
        <v>44.048191997725397</v>
      </c>
      <c r="O142" s="21">
        <v>58.387271311897202</v>
      </c>
      <c r="P142" s="21">
        <v>70.771302554418099</v>
      </c>
      <c r="Q142" s="21">
        <v>69.617839355748401</v>
      </c>
      <c r="R142" s="21">
        <v>104.186622438044</v>
      </c>
      <c r="S142" s="21">
        <v>51.158023358002701</v>
      </c>
    </row>
    <row r="143" spans="1:19">
      <c r="A143" s="9">
        <f t="shared" si="2"/>
        <v>37073</v>
      </c>
      <c r="B143" s="21">
        <v>55.987732975234202</v>
      </c>
      <c r="C143" s="21">
        <v>59.922213572832803</v>
      </c>
      <c r="D143" s="21">
        <v>49.942187894726203</v>
      </c>
      <c r="E143" s="21">
        <v>60.229975183942202</v>
      </c>
      <c r="F143" s="21">
        <v>62.219631299262502</v>
      </c>
      <c r="G143" s="21">
        <v>36.714241934411803</v>
      </c>
      <c r="H143" s="21">
        <v>48.0492355483916</v>
      </c>
      <c r="I143" s="21">
        <v>60.920341305784099</v>
      </c>
      <c r="J143" s="21">
        <v>65.590484151237902</v>
      </c>
      <c r="K143" s="21">
        <v>32.644458836115099</v>
      </c>
      <c r="L143" s="21">
        <v>41.076991360369099</v>
      </c>
      <c r="M143" s="21">
        <v>24.491855753104101</v>
      </c>
      <c r="N143" s="21">
        <v>41.712022054447097</v>
      </c>
      <c r="O143" s="21">
        <v>60.891796683777201</v>
      </c>
      <c r="P143" s="21">
        <v>64.647998088465997</v>
      </c>
      <c r="Q143" s="21">
        <v>64.025892084414096</v>
      </c>
      <c r="R143" s="21">
        <v>92.146124862749005</v>
      </c>
      <c r="S143" s="21">
        <v>50.918899452313603</v>
      </c>
    </row>
    <row r="144" spans="1:19">
      <c r="A144" s="9">
        <f t="shared" si="2"/>
        <v>37104</v>
      </c>
      <c r="B144" s="21">
        <v>56.213516144285897</v>
      </c>
      <c r="C144" s="21">
        <v>60.1320599287886</v>
      </c>
      <c r="D144" s="21">
        <v>49.557779731596703</v>
      </c>
      <c r="E144" s="21">
        <v>60.289455670674698</v>
      </c>
      <c r="F144" s="21">
        <v>62.267116407958397</v>
      </c>
      <c r="G144" s="21">
        <v>36.915495719536501</v>
      </c>
      <c r="H144" s="21">
        <v>46.793846912712198</v>
      </c>
      <c r="I144" s="21">
        <v>60.835289293306097</v>
      </c>
      <c r="J144" s="21">
        <v>64.527708296630493</v>
      </c>
      <c r="K144" s="21">
        <v>31.840349310881699</v>
      </c>
      <c r="L144" s="21">
        <v>39.745043559845001</v>
      </c>
      <c r="M144" s="21">
        <v>24.198062190256898</v>
      </c>
      <c r="N144" s="21">
        <v>39.961957508477099</v>
      </c>
      <c r="O144" s="21">
        <v>59.920412255704399</v>
      </c>
      <c r="P144" s="21">
        <v>65.747882539720194</v>
      </c>
      <c r="Q144" s="21">
        <v>65.318472902682601</v>
      </c>
      <c r="R144" s="21">
        <v>88.716989765241394</v>
      </c>
      <c r="S144" s="21">
        <v>50.620974517072398</v>
      </c>
    </row>
    <row r="145" spans="1:19">
      <c r="A145" s="9">
        <f t="shared" si="2"/>
        <v>37135</v>
      </c>
      <c r="B145" s="21">
        <v>54.319302037541298</v>
      </c>
      <c r="C145" s="21">
        <v>57.909268223228999</v>
      </c>
      <c r="D145" s="21">
        <v>48.347969543866803</v>
      </c>
      <c r="E145" s="21">
        <v>58.299991310732601</v>
      </c>
      <c r="F145" s="21">
        <v>60.195399454644999</v>
      </c>
      <c r="G145" s="21">
        <v>35.898174248964501</v>
      </c>
      <c r="H145" s="21">
        <v>45.332690174923499</v>
      </c>
      <c r="I145" s="21">
        <v>58.836214595182398</v>
      </c>
      <c r="J145" s="21">
        <v>62.463622221671102</v>
      </c>
      <c r="K145" s="21">
        <v>31.698494474872401</v>
      </c>
      <c r="L145" s="21">
        <v>38.5235374114786</v>
      </c>
      <c r="M145" s="21">
        <v>25.100018165813601</v>
      </c>
      <c r="N145" s="21">
        <v>38.903481188088698</v>
      </c>
      <c r="O145" s="21">
        <v>60.915875713103297</v>
      </c>
      <c r="P145" s="21">
        <v>62.873257352705501</v>
      </c>
      <c r="Q145" s="21">
        <v>63.512539278099602</v>
      </c>
      <c r="R145" s="21">
        <v>78.294503751208296</v>
      </c>
      <c r="S145" s="21">
        <v>49.061494293670897</v>
      </c>
    </row>
    <row r="146" spans="1:19">
      <c r="A146" s="9">
        <f t="shared" si="2"/>
        <v>37165</v>
      </c>
      <c r="B146" s="21">
        <v>50.639831030169503</v>
      </c>
      <c r="C146" s="21">
        <v>53.830986486401102</v>
      </c>
      <c r="D146" s="21">
        <v>47.235095943474498</v>
      </c>
      <c r="E146" s="21">
        <v>57.165150854754899</v>
      </c>
      <c r="F146" s="21">
        <v>59.023928039402101</v>
      </c>
      <c r="G146" s="21">
        <v>35.196274872664802</v>
      </c>
      <c r="H146" s="21">
        <v>43.572151609019002</v>
      </c>
      <c r="I146" s="21">
        <v>57.450232152540103</v>
      </c>
      <c r="J146" s="21">
        <v>59.3787311635758</v>
      </c>
      <c r="K146" s="21">
        <v>30.7403921148486</v>
      </c>
      <c r="L146" s="21">
        <v>37.289398600553596</v>
      </c>
      <c r="M146" s="21">
        <v>24.408788849465299</v>
      </c>
      <c r="N146" s="21">
        <v>37.313497868624601</v>
      </c>
      <c r="O146" s="21">
        <v>64.2251128426159</v>
      </c>
      <c r="P146" s="21">
        <v>55.517126310981901</v>
      </c>
      <c r="Q146" s="21">
        <v>52.891634148997298</v>
      </c>
      <c r="R146" s="21">
        <v>77.904557716432805</v>
      </c>
      <c r="S146" s="21">
        <v>48.752828339437698</v>
      </c>
    </row>
    <row r="147" spans="1:19">
      <c r="A147" s="9">
        <f t="shared" si="2"/>
        <v>37196</v>
      </c>
      <c r="B147" s="21">
        <v>48.206135044207599</v>
      </c>
      <c r="C147" s="21">
        <v>51.1665610975178</v>
      </c>
      <c r="D147" s="21">
        <v>46.867499428486198</v>
      </c>
      <c r="E147" s="21">
        <v>56.1616707733615</v>
      </c>
      <c r="F147" s="21">
        <v>57.8064707105747</v>
      </c>
      <c r="G147" s="21">
        <v>36.721790547564098</v>
      </c>
      <c r="H147" s="21">
        <v>44.632487953313998</v>
      </c>
      <c r="I147" s="21">
        <v>56.644233112998101</v>
      </c>
      <c r="J147" s="21">
        <v>59.908638747398101</v>
      </c>
      <c r="K147" s="21">
        <v>31.119736880668398</v>
      </c>
      <c r="L147" s="21">
        <v>38.560568217102997</v>
      </c>
      <c r="M147" s="21">
        <v>23.925914109264799</v>
      </c>
      <c r="N147" s="21">
        <v>38.328811678640399</v>
      </c>
      <c r="O147" s="21">
        <v>62.463263472464398</v>
      </c>
      <c r="P147" s="21">
        <v>50.1237353875647</v>
      </c>
      <c r="Q147" s="21">
        <v>47.413558576356003</v>
      </c>
      <c r="R147" s="21">
        <v>73.267123208978106</v>
      </c>
      <c r="S147" s="21">
        <v>45.424928248350803</v>
      </c>
    </row>
    <row r="148" spans="1:19">
      <c r="A148" s="9">
        <f t="shared" si="2"/>
        <v>37226</v>
      </c>
      <c r="B148" s="21">
        <v>47.988735199988298</v>
      </c>
      <c r="C148" s="21">
        <v>50.936709753879597</v>
      </c>
      <c r="D148" s="21">
        <v>46.956210485752102</v>
      </c>
      <c r="E148" s="21">
        <v>55.976785002790102</v>
      </c>
      <c r="F148" s="21">
        <v>57.535424641453297</v>
      </c>
      <c r="G148" s="21">
        <v>37.555232809561801</v>
      </c>
      <c r="H148" s="21">
        <v>45.025517296309701</v>
      </c>
      <c r="I148" s="21">
        <v>56.487605625996103</v>
      </c>
      <c r="J148" s="21">
        <v>59.943171018473201</v>
      </c>
      <c r="K148" s="21">
        <v>31.5925092262761</v>
      </c>
      <c r="L148" s="21">
        <v>39.096091927672703</v>
      </c>
      <c r="M148" s="21">
        <v>24.338018207227702</v>
      </c>
      <c r="N148" s="21">
        <v>39.271225639927003</v>
      </c>
      <c r="O148" s="21">
        <v>62.349975116522501</v>
      </c>
      <c r="P148" s="21">
        <v>49.4678305738828</v>
      </c>
      <c r="Q148" s="21">
        <v>47.355722572928201</v>
      </c>
      <c r="R148" s="21">
        <v>72.776746913029001</v>
      </c>
      <c r="S148" s="21">
        <v>43.147370408748202</v>
      </c>
    </row>
    <row r="149" spans="1:19">
      <c r="A149" s="9">
        <f t="shared" si="2"/>
        <v>37257</v>
      </c>
      <c r="B149" s="21">
        <v>48.655007101328998</v>
      </c>
      <c r="C149" s="21">
        <v>51.631738925207699</v>
      </c>
      <c r="D149" s="21">
        <v>48.102712054000101</v>
      </c>
      <c r="E149" s="21">
        <v>57.546609168797502</v>
      </c>
      <c r="F149" s="21">
        <v>59.191879050945801</v>
      </c>
      <c r="G149" s="21">
        <v>38.101174666735602</v>
      </c>
      <c r="H149" s="21">
        <v>46.056346460006203</v>
      </c>
      <c r="I149" s="21">
        <v>57.898658957005097</v>
      </c>
      <c r="J149" s="21">
        <v>60.280181959979998</v>
      </c>
      <c r="K149" s="21">
        <v>32.4834306750571</v>
      </c>
      <c r="L149" s="21">
        <v>40.402697928966802</v>
      </c>
      <c r="M149" s="21">
        <v>24.8270543203008</v>
      </c>
      <c r="N149" s="21">
        <v>40.548034526372597</v>
      </c>
      <c r="O149" s="21">
        <v>61.012986943560399</v>
      </c>
      <c r="P149" s="21">
        <v>49.446171746848798</v>
      </c>
      <c r="Q149" s="21">
        <v>49.542989233730999</v>
      </c>
      <c r="R149" s="21">
        <v>66.846822313870106</v>
      </c>
      <c r="S149" s="21">
        <v>43.813781725559998</v>
      </c>
    </row>
    <row r="150" spans="1:19">
      <c r="A150" s="9">
        <f t="shared" si="2"/>
        <v>37288</v>
      </c>
      <c r="B150" s="21">
        <v>49.6487736826247</v>
      </c>
      <c r="C150" s="21">
        <v>52.6083416463511</v>
      </c>
      <c r="D150" s="21">
        <v>48.605233851596203</v>
      </c>
      <c r="E150" s="21">
        <v>57.920172523806102</v>
      </c>
      <c r="F150" s="21">
        <v>59.461073466215602</v>
      </c>
      <c r="G150" s="21">
        <v>39.708273871249503</v>
      </c>
      <c r="H150" s="21">
        <v>46.741123426440701</v>
      </c>
      <c r="I150" s="21">
        <v>58.469167666681699</v>
      </c>
      <c r="J150" s="21">
        <v>62.182973511975803</v>
      </c>
      <c r="K150" s="21">
        <v>32.999342308390801</v>
      </c>
      <c r="L150" s="21">
        <v>40.603342020519698</v>
      </c>
      <c r="M150" s="21">
        <v>25.647767758513801</v>
      </c>
      <c r="N150" s="21">
        <v>40.555654058327399</v>
      </c>
      <c r="O150" s="21">
        <v>59.530167847939701</v>
      </c>
      <c r="P150" s="21">
        <v>51.143648251017602</v>
      </c>
      <c r="Q150" s="21">
        <v>52.0132559292813</v>
      </c>
      <c r="R150" s="21">
        <v>67.845151764906703</v>
      </c>
      <c r="S150" s="21">
        <v>43.766741112785397</v>
      </c>
    </row>
    <row r="151" spans="1:19">
      <c r="A151" s="9">
        <f t="shared" si="2"/>
        <v>37316</v>
      </c>
      <c r="B151" s="21">
        <v>54.03430345105</v>
      </c>
      <c r="C151" s="21">
        <v>57.504491747780797</v>
      </c>
      <c r="D151" s="21">
        <v>50.293712238863499</v>
      </c>
      <c r="E151" s="21">
        <v>60.868985220910098</v>
      </c>
      <c r="F151" s="21">
        <v>62.290496235777901</v>
      </c>
      <c r="G151" s="21">
        <v>44.068155379256197</v>
      </c>
      <c r="H151" s="21">
        <v>47.342100755697103</v>
      </c>
      <c r="I151" s="21">
        <v>60.868024654204397</v>
      </c>
      <c r="J151" s="21">
        <v>60.861526676412403</v>
      </c>
      <c r="K151" s="21">
        <v>33.726301832162299</v>
      </c>
      <c r="L151" s="21">
        <v>41.968438883884197</v>
      </c>
      <c r="M151" s="21">
        <v>25.7577737837737</v>
      </c>
      <c r="N151" s="21">
        <v>41.950752455972797</v>
      </c>
      <c r="O151" s="21">
        <v>59.238969090124598</v>
      </c>
      <c r="P151" s="21">
        <v>59.3927138419023</v>
      </c>
      <c r="Q151" s="21">
        <v>61.232800177451097</v>
      </c>
      <c r="R151" s="21">
        <v>77.484067558404206</v>
      </c>
      <c r="S151" s="21">
        <v>43.087001885937902</v>
      </c>
    </row>
    <row r="152" spans="1:19">
      <c r="A152" s="9">
        <f t="shared" si="2"/>
        <v>37347</v>
      </c>
      <c r="B152" s="21">
        <v>55.780080959127098</v>
      </c>
      <c r="C152" s="21">
        <v>59.370270713400103</v>
      </c>
      <c r="D152" s="21">
        <v>50.585276297858599</v>
      </c>
      <c r="E152" s="21">
        <v>61.020341699853603</v>
      </c>
      <c r="F152" s="21">
        <v>62.465222856034998</v>
      </c>
      <c r="G152" s="21">
        <v>43.943300303398097</v>
      </c>
      <c r="H152" s="21">
        <v>47.639711069630998</v>
      </c>
      <c r="I152" s="21">
        <v>61.1281597888403</v>
      </c>
      <c r="J152" s="21">
        <v>61.8575204294646</v>
      </c>
      <c r="K152" s="21">
        <v>34.094442925112403</v>
      </c>
      <c r="L152" s="21">
        <v>41.988457791148498</v>
      </c>
      <c r="M152" s="21">
        <v>26.462480670703702</v>
      </c>
      <c r="N152" s="21">
        <v>42.057195113582701</v>
      </c>
      <c r="O152" s="21">
        <v>59.0382402330535</v>
      </c>
      <c r="P152" s="21">
        <v>63.2216573561155</v>
      </c>
      <c r="Q152" s="21">
        <v>65.197944270706003</v>
      </c>
      <c r="R152" s="21">
        <v>82.599821276072007</v>
      </c>
      <c r="S152" s="21">
        <v>41.400668441070103</v>
      </c>
    </row>
    <row r="153" spans="1:19">
      <c r="A153" s="9">
        <f t="shared" si="2"/>
        <v>37377</v>
      </c>
      <c r="B153" s="21">
        <v>55.951292982718201</v>
      </c>
      <c r="C153" s="21">
        <v>59.4532648705082</v>
      </c>
      <c r="D153" s="21">
        <v>50.370990759209299</v>
      </c>
      <c r="E153" s="21">
        <v>60.234385882102998</v>
      </c>
      <c r="F153" s="21">
        <v>61.737316652615498</v>
      </c>
      <c r="G153" s="21">
        <v>42.471256454988897</v>
      </c>
      <c r="H153" s="21">
        <v>47.428001367749197</v>
      </c>
      <c r="I153" s="21">
        <v>60.515429924997903</v>
      </c>
      <c r="J153" s="21">
        <v>62.416617982548303</v>
      </c>
      <c r="K153" s="21">
        <v>34.2468391659879</v>
      </c>
      <c r="L153" s="21">
        <v>41.470369876107704</v>
      </c>
      <c r="M153" s="21">
        <v>27.2631034296402</v>
      </c>
      <c r="N153" s="21">
        <v>41.567848175235099</v>
      </c>
      <c r="O153" s="21">
        <v>62.8752900749407</v>
      </c>
      <c r="P153" s="21">
        <v>63.945096026774301</v>
      </c>
      <c r="Q153" s="21">
        <v>64.704422023989096</v>
      </c>
      <c r="R153" s="21">
        <v>85.260847734658597</v>
      </c>
      <c r="S153" s="21">
        <v>40.412576969508102</v>
      </c>
    </row>
    <row r="154" spans="1:19">
      <c r="A154" s="9">
        <f t="shared" si="2"/>
        <v>37408</v>
      </c>
      <c r="B154" s="21">
        <v>55.010513977250902</v>
      </c>
      <c r="C154" s="21">
        <v>58.344407733929899</v>
      </c>
      <c r="D154" s="21">
        <v>50.785192973307502</v>
      </c>
      <c r="E154" s="21">
        <v>59.6903448357629</v>
      </c>
      <c r="F154" s="21">
        <v>61.139064156971898</v>
      </c>
      <c r="G154" s="21">
        <v>42.567940190722503</v>
      </c>
      <c r="H154" s="21">
        <v>48.940868774105901</v>
      </c>
      <c r="I154" s="21">
        <v>60.432000627670099</v>
      </c>
      <c r="J154" s="21">
        <v>65.449104423442407</v>
      </c>
      <c r="K154" s="21">
        <v>34.962054642825002</v>
      </c>
      <c r="L154" s="21">
        <v>42.379223553370899</v>
      </c>
      <c r="M154" s="21">
        <v>27.7911087907449</v>
      </c>
      <c r="N154" s="21">
        <v>42.428398790424801</v>
      </c>
      <c r="O154" s="21">
        <v>71.023241984222594</v>
      </c>
      <c r="P154" s="21">
        <v>61.063301541541499</v>
      </c>
      <c r="Q154" s="21">
        <v>60.717089630994003</v>
      </c>
      <c r="R154" s="21">
        <v>82.013658284998598</v>
      </c>
      <c r="S154" s="21">
        <v>37.936585486058398</v>
      </c>
    </row>
    <row r="155" spans="1:19">
      <c r="A155" s="9">
        <f t="shared" si="2"/>
        <v>37438</v>
      </c>
      <c r="B155" s="21">
        <v>56.471916952253402</v>
      </c>
      <c r="C155" s="21">
        <v>60.044125723035002</v>
      </c>
      <c r="D155" s="21">
        <v>51.798503972122901</v>
      </c>
      <c r="E155" s="21">
        <v>61.685373235304901</v>
      </c>
      <c r="F155" s="21">
        <v>63.141007121317301</v>
      </c>
      <c r="G155" s="21">
        <v>44.481245391869301</v>
      </c>
      <c r="H155" s="21">
        <v>49.511877885363802</v>
      </c>
      <c r="I155" s="21">
        <v>62.588957379489301</v>
      </c>
      <c r="J155" s="21">
        <v>68.701463327738495</v>
      </c>
      <c r="K155" s="21">
        <v>34.356683752987301</v>
      </c>
      <c r="L155" s="21">
        <v>41.884457591608403</v>
      </c>
      <c r="M155" s="21">
        <v>27.078804654574899</v>
      </c>
      <c r="N155" s="21">
        <v>41.844363419046701</v>
      </c>
      <c r="O155" s="21">
        <v>70.054334777124296</v>
      </c>
      <c r="P155" s="21">
        <v>63.166597887152399</v>
      </c>
      <c r="Q155" s="21">
        <v>62.2012966542718</v>
      </c>
      <c r="R155" s="21">
        <v>84.149988543079104</v>
      </c>
      <c r="S155" s="21">
        <v>35.407359577360197</v>
      </c>
    </row>
    <row r="156" spans="1:19">
      <c r="A156" s="9">
        <f t="shared" si="2"/>
        <v>37469</v>
      </c>
      <c r="B156" s="21">
        <v>56.671998039762897</v>
      </c>
      <c r="C156" s="21">
        <v>60.294442631701898</v>
      </c>
      <c r="D156" s="21">
        <v>51.467899853423397</v>
      </c>
      <c r="E156" s="21">
        <v>61.551688430449701</v>
      </c>
      <c r="F156" s="21">
        <v>62.965421992545799</v>
      </c>
      <c r="G156" s="21">
        <v>44.842780254722797</v>
      </c>
      <c r="H156" s="21">
        <v>48.559656869888002</v>
      </c>
      <c r="I156" s="21">
        <v>62.6104280232625</v>
      </c>
      <c r="J156" s="21">
        <v>69.772519235650094</v>
      </c>
      <c r="K156" s="21">
        <v>33.360713230682897</v>
      </c>
      <c r="L156" s="21">
        <v>40.128030382534902</v>
      </c>
      <c r="M156" s="21">
        <v>26.8180464200641</v>
      </c>
      <c r="N156" s="21">
        <v>40.2380439909033</v>
      </c>
      <c r="O156" s="21">
        <v>71.959485486700999</v>
      </c>
      <c r="P156" s="21">
        <v>64.126887444905094</v>
      </c>
      <c r="Q156" s="21">
        <v>65.022425748146603</v>
      </c>
      <c r="R156" s="21">
        <v>79.864052171638505</v>
      </c>
      <c r="S156" s="21">
        <v>33.616517175735801</v>
      </c>
    </row>
    <row r="157" spans="1:19">
      <c r="A157" s="9">
        <f t="shared" si="2"/>
        <v>37500</v>
      </c>
      <c r="B157" s="21">
        <v>58.9717879311101</v>
      </c>
      <c r="C157" s="21">
        <v>62.775313890729699</v>
      </c>
      <c r="D157" s="21">
        <v>52.305954062780998</v>
      </c>
      <c r="E157" s="21">
        <v>62.482836331873202</v>
      </c>
      <c r="F157" s="21">
        <v>63.549499225620799</v>
      </c>
      <c r="G157" s="21">
        <v>49.875954226267197</v>
      </c>
      <c r="H157" s="21">
        <v>49.477686848236097</v>
      </c>
      <c r="I157" s="21">
        <v>63.8437725042983</v>
      </c>
      <c r="J157" s="21">
        <v>73.0501430484005</v>
      </c>
      <c r="K157" s="21">
        <v>33.699221064481797</v>
      </c>
      <c r="L157" s="21">
        <v>40.108175905192901</v>
      </c>
      <c r="M157" s="21">
        <v>27.503020238339001</v>
      </c>
      <c r="N157" s="21">
        <v>40.2767110753175</v>
      </c>
      <c r="O157" s="21">
        <v>71.091299735849205</v>
      </c>
      <c r="P157" s="21">
        <v>68.520618968135196</v>
      </c>
      <c r="Q157" s="21">
        <v>68.842766903549901</v>
      </c>
      <c r="R157" s="21">
        <v>86.533465871069893</v>
      </c>
      <c r="S157" s="21">
        <v>35.357966670363098</v>
      </c>
    </row>
    <row r="158" spans="1:19">
      <c r="A158" s="9">
        <f t="shared" si="2"/>
        <v>37530</v>
      </c>
      <c r="B158" s="21">
        <v>60.058838943055697</v>
      </c>
      <c r="C158" s="21">
        <v>64.009653609846794</v>
      </c>
      <c r="D158" s="21">
        <v>53.521934646052102</v>
      </c>
      <c r="E158" s="21">
        <v>64.914496862356799</v>
      </c>
      <c r="F158" s="21">
        <v>66.072590248113301</v>
      </c>
      <c r="G158" s="21">
        <v>51.226998340475397</v>
      </c>
      <c r="H158" s="21">
        <v>49.604310954402202</v>
      </c>
      <c r="I158" s="21">
        <v>65.912252534043603</v>
      </c>
      <c r="J158" s="21">
        <v>72.661803771013396</v>
      </c>
      <c r="K158" s="21">
        <v>33.767758273942199</v>
      </c>
      <c r="L158" s="21">
        <v>40.439486150830298</v>
      </c>
      <c r="M158" s="21">
        <v>27.317507521670102</v>
      </c>
      <c r="N158" s="21">
        <v>40.567731974069197</v>
      </c>
      <c r="O158" s="21">
        <v>69.821819813996001</v>
      </c>
      <c r="P158" s="21">
        <v>69.422977904553306</v>
      </c>
      <c r="Q158" s="21">
        <v>66.910214997527802</v>
      </c>
      <c r="R158" s="21">
        <v>96.586510624686298</v>
      </c>
      <c r="S158" s="21">
        <v>39.956437771683198</v>
      </c>
    </row>
    <row r="159" spans="1:19">
      <c r="A159" s="9">
        <f t="shared" si="2"/>
        <v>37561</v>
      </c>
      <c r="B159" s="21">
        <v>57.967482500078503</v>
      </c>
      <c r="C159" s="21">
        <v>61.644807490228501</v>
      </c>
      <c r="D159" s="21">
        <v>53.2748156567433</v>
      </c>
      <c r="E159" s="21">
        <v>63.5870727356656</v>
      </c>
      <c r="F159" s="21">
        <v>64.730992253297302</v>
      </c>
      <c r="G159" s="21">
        <v>50.067095072979697</v>
      </c>
      <c r="H159" s="21">
        <v>50.987243872187499</v>
      </c>
      <c r="I159" s="21">
        <v>64.789641295594294</v>
      </c>
      <c r="J159" s="21">
        <v>72.924697142968995</v>
      </c>
      <c r="K159" s="21">
        <v>34.772575473363098</v>
      </c>
      <c r="L159" s="21">
        <v>42.267609111273103</v>
      </c>
      <c r="M159" s="21">
        <v>27.526349719955601</v>
      </c>
      <c r="N159" s="21">
        <v>42.133773241503398</v>
      </c>
      <c r="O159" s="21">
        <v>70.874231592077294</v>
      </c>
      <c r="P159" s="21">
        <v>64.689744663400305</v>
      </c>
      <c r="Q159" s="21">
        <v>59.500900700586797</v>
      </c>
      <c r="R159" s="21">
        <v>95.839391419318204</v>
      </c>
      <c r="S159" s="21">
        <v>39.591636580772096</v>
      </c>
    </row>
    <row r="160" spans="1:19">
      <c r="A160" s="9">
        <f t="shared" si="2"/>
        <v>37591</v>
      </c>
      <c r="B160" s="21">
        <v>61.440382794403803</v>
      </c>
      <c r="C160" s="21">
        <v>65.407311285830403</v>
      </c>
      <c r="D160" s="21">
        <v>54.004576351077702</v>
      </c>
      <c r="E160" s="21">
        <v>64.530294974351307</v>
      </c>
      <c r="F160" s="21">
        <v>65.677912741920693</v>
      </c>
      <c r="G160" s="21">
        <v>50.966607718656199</v>
      </c>
      <c r="H160" s="21">
        <v>51.328589226492298</v>
      </c>
      <c r="I160" s="21">
        <v>65.749794352972302</v>
      </c>
      <c r="J160" s="21">
        <v>73.999382677075303</v>
      </c>
      <c r="K160" s="21">
        <v>35.1526906189644</v>
      </c>
      <c r="L160" s="21">
        <v>42.317468555867002</v>
      </c>
      <c r="M160" s="21">
        <v>28.225757277234099</v>
      </c>
      <c r="N160" s="21">
        <v>42.0698456330718</v>
      </c>
      <c r="O160" s="21">
        <v>71.605967229791702</v>
      </c>
      <c r="P160" s="21">
        <v>72.092202319744302</v>
      </c>
      <c r="Q160" s="21">
        <v>67.004918318225904</v>
      </c>
      <c r="R160" s="21">
        <v>104.645494204298</v>
      </c>
      <c r="S160" s="21">
        <v>39.591636580772096</v>
      </c>
    </row>
    <row r="161" spans="1:19">
      <c r="A161" s="9">
        <f t="shared" si="2"/>
        <v>37622</v>
      </c>
      <c r="B161" s="21">
        <v>65.151363011744195</v>
      </c>
      <c r="C161" s="21">
        <v>69.287942771522097</v>
      </c>
      <c r="D161" s="21">
        <v>55.263318360609901</v>
      </c>
      <c r="E161" s="21">
        <v>65.037127794973003</v>
      </c>
      <c r="F161" s="21">
        <v>65.980652856879104</v>
      </c>
      <c r="G161" s="21">
        <v>53.885610957873801</v>
      </c>
      <c r="H161" s="21">
        <v>53.2018681380952</v>
      </c>
      <c r="I161" s="21">
        <v>66.317571291865804</v>
      </c>
      <c r="J161" s="21">
        <v>74.979430335684398</v>
      </c>
      <c r="K161" s="21">
        <v>37.259977662659402</v>
      </c>
      <c r="L161" s="21">
        <v>44.545786413285697</v>
      </c>
      <c r="M161" s="21">
        <v>30.216031290470401</v>
      </c>
      <c r="N161" s="21">
        <v>44.2732012446995</v>
      </c>
      <c r="O161" s="21">
        <v>69.972224048942394</v>
      </c>
      <c r="P161" s="21">
        <v>79.454165896420605</v>
      </c>
      <c r="Q161" s="21">
        <v>71.792980613814905</v>
      </c>
      <c r="R161" s="21">
        <v>117.88657910362799</v>
      </c>
      <c r="S161" s="21">
        <v>40.347581886491199</v>
      </c>
    </row>
    <row r="162" spans="1:19">
      <c r="A162" s="9">
        <f t="shared" si="2"/>
        <v>37653</v>
      </c>
      <c r="B162" s="21">
        <v>70.227482806714306</v>
      </c>
      <c r="C162" s="21">
        <v>74.919196354848395</v>
      </c>
      <c r="D162" s="21">
        <v>55.943246373552498</v>
      </c>
      <c r="E162" s="21">
        <v>65.3399345246971</v>
      </c>
      <c r="F162" s="21">
        <v>66.244962947433294</v>
      </c>
      <c r="G162" s="21">
        <v>54.643409226463099</v>
      </c>
      <c r="H162" s="21">
        <v>54.256970016259899</v>
      </c>
      <c r="I162" s="21">
        <v>66.613471233170102</v>
      </c>
      <c r="J162" s="21">
        <v>75.228607693850606</v>
      </c>
      <c r="K162" s="21">
        <v>38.0873426691481</v>
      </c>
      <c r="L162" s="21">
        <v>45.921224812399799</v>
      </c>
      <c r="M162" s="21">
        <v>30.5135169496122</v>
      </c>
      <c r="N162" s="21">
        <v>45.6328412867637</v>
      </c>
      <c r="O162" s="21">
        <v>75.844061279516794</v>
      </c>
      <c r="P162" s="21">
        <v>90.889264308499094</v>
      </c>
      <c r="Q162" s="21">
        <v>77.150500873048401</v>
      </c>
      <c r="R162" s="21">
        <v>150.58706340491099</v>
      </c>
      <c r="S162" s="21">
        <v>40.375688805126202</v>
      </c>
    </row>
    <row r="163" spans="1:19">
      <c r="A163" s="9">
        <f t="shared" si="2"/>
        <v>37681</v>
      </c>
      <c r="B163" s="21">
        <v>65.780830006109198</v>
      </c>
      <c r="C163" s="21">
        <v>70.136422313254201</v>
      </c>
      <c r="D163" s="21">
        <v>55.5411980865399</v>
      </c>
      <c r="E163" s="21">
        <v>64.780409158033194</v>
      </c>
      <c r="F163" s="21">
        <v>66.009244300747696</v>
      </c>
      <c r="G163" s="21">
        <v>50.2568142507441</v>
      </c>
      <c r="H163" s="21">
        <v>53.638851593438297</v>
      </c>
      <c r="I163" s="21">
        <v>66.095555711906201</v>
      </c>
      <c r="J163" s="21">
        <v>74.992171688522902</v>
      </c>
      <c r="K163" s="21">
        <v>36.951313346837097</v>
      </c>
      <c r="L163" s="21">
        <v>45.151396378660799</v>
      </c>
      <c r="M163" s="21">
        <v>29.023443277684201</v>
      </c>
      <c r="N163" s="21">
        <v>44.771355580630797</v>
      </c>
      <c r="O163" s="21">
        <v>86.296081859201706</v>
      </c>
      <c r="P163" s="21">
        <v>80.592194853702296</v>
      </c>
      <c r="Q163" s="21">
        <v>71.014174736551595</v>
      </c>
      <c r="R163" s="21">
        <v>126.274711279572</v>
      </c>
      <c r="S163" s="21">
        <v>37.147868425413201</v>
      </c>
    </row>
    <row r="164" spans="1:19">
      <c r="A164" s="9">
        <f t="shared" si="2"/>
        <v>37712</v>
      </c>
      <c r="B164" s="21">
        <v>61.8851855274062</v>
      </c>
      <c r="C164" s="21">
        <v>65.912164482430299</v>
      </c>
      <c r="D164" s="21">
        <v>55.689422789573896</v>
      </c>
      <c r="E164" s="21">
        <v>66.204355777953594</v>
      </c>
      <c r="F164" s="21">
        <v>67.556333400720604</v>
      </c>
      <c r="G164" s="21">
        <v>50.225340664980003</v>
      </c>
      <c r="H164" s="21">
        <v>53.010221944315902</v>
      </c>
      <c r="I164" s="21">
        <v>67.540532878811902</v>
      </c>
      <c r="J164" s="21">
        <v>76.579414901562501</v>
      </c>
      <c r="K164" s="21">
        <v>35.531840364647998</v>
      </c>
      <c r="L164" s="21">
        <v>43.642008065522901</v>
      </c>
      <c r="M164" s="21">
        <v>27.690900764152602</v>
      </c>
      <c r="N164" s="21">
        <v>43.005351305077397</v>
      </c>
      <c r="O164" s="21">
        <v>81.676663930308294</v>
      </c>
      <c r="P164" s="21">
        <v>70.847197359469803</v>
      </c>
      <c r="Q164" s="21">
        <v>60.177368022530899</v>
      </c>
      <c r="R164" s="21">
        <v>119.511069885811</v>
      </c>
      <c r="S164" s="21">
        <v>36.421676282798401</v>
      </c>
    </row>
    <row r="165" spans="1:19">
      <c r="A165" s="9">
        <f t="shared" si="2"/>
        <v>37742</v>
      </c>
      <c r="B165" s="21">
        <v>63.063843714066003</v>
      </c>
      <c r="C165" s="21">
        <v>66.974924245970598</v>
      </c>
      <c r="D165" s="21">
        <v>56.278495289778597</v>
      </c>
      <c r="E165" s="21">
        <v>66.475126653619398</v>
      </c>
      <c r="F165" s="21">
        <v>67.993735425660802</v>
      </c>
      <c r="G165" s="21">
        <v>48.526699023966103</v>
      </c>
      <c r="H165" s="21">
        <v>53.623738293420402</v>
      </c>
      <c r="I165" s="21">
        <v>67.490139056325404</v>
      </c>
      <c r="J165" s="21">
        <v>74.356427480064397</v>
      </c>
      <c r="K165" s="21">
        <v>37.476238040149603</v>
      </c>
      <c r="L165" s="21">
        <v>45.382969636837998</v>
      </c>
      <c r="M165" s="21">
        <v>29.831981204341702</v>
      </c>
      <c r="N165" s="21">
        <v>44.740542128517497</v>
      </c>
      <c r="O165" s="21">
        <v>77.670207526947294</v>
      </c>
      <c r="P165" s="21">
        <v>72.878676114251306</v>
      </c>
      <c r="Q165" s="21">
        <v>59.499738704185397</v>
      </c>
      <c r="R165" s="21">
        <v>125.130117977601</v>
      </c>
      <c r="S165" s="21">
        <v>35.973260084497099</v>
      </c>
    </row>
    <row r="166" spans="1:19">
      <c r="A166" s="9">
        <f t="shared" si="2"/>
        <v>37773</v>
      </c>
      <c r="B166" s="21">
        <v>64.387946147604296</v>
      </c>
      <c r="C166" s="21">
        <v>68.442752239446193</v>
      </c>
      <c r="D166" s="21">
        <v>56.2189978570118</v>
      </c>
      <c r="E166" s="21">
        <v>65.834658803099401</v>
      </c>
      <c r="F166" s="21">
        <v>67.575112310369704</v>
      </c>
      <c r="G166" s="21">
        <v>45.264249627847498</v>
      </c>
      <c r="H166" s="21">
        <v>54.678282860433796</v>
      </c>
      <c r="I166" s="21">
        <v>67.086456686669393</v>
      </c>
      <c r="J166" s="21">
        <v>75.554535789844095</v>
      </c>
      <c r="K166" s="21">
        <v>38.002464238179599</v>
      </c>
      <c r="L166" s="21">
        <v>46.3804509072882</v>
      </c>
      <c r="M166" s="21">
        <v>29.9025962861087</v>
      </c>
      <c r="N166" s="21">
        <v>45.648883757811397</v>
      </c>
      <c r="O166" s="21">
        <v>76.852414931941894</v>
      </c>
      <c r="P166" s="21">
        <v>76.204120254590805</v>
      </c>
      <c r="Q166" s="21">
        <v>63.527375362171703</v>
      </c>
      <c r="R166" s="21">
        <v>124.59060530119901</v>
      </c>
      <c r="S166" s="21">
        <v>39.184969011031697</v>
      </c>
    </row>
    <row r="167" spans="1:19">
      <c r="A167" s="9">
        <f t="shared" si="2"/>
        <v>37803</v>
      </c>
      <c r="B167" s="21">
        <v>63.325088107772302</v>
      </c>
      <c r="C167" s="21">
        <v>67.307981048589795</v>
      </c>
      <c r="D167" s="21">
        <v>55.073095321181299</v>
      </c>
      <c r="E167" s="21">
        <v>63.326142248028397</v>
      </c>
      <c r="F167" s="21">
        <v>64.776315136762904</v>
      </c>
      <c r="G167" s="21">
        <v>46.186557897446697</v>
      </c>
      <c r="H167" s="21">
        <v>55.081795173915097</v>
      </c>
      <c r="I167" s="21">
        <v>64.881184860450404</v>
      </c>
      <c r="J167" s="21">
        <v>75.400633745635403</v>
      </c>
      <c r="K167" s="21">
        <v>38.190632873617702</v>
      </c>
      <c r="L167" s="21">
        <v>47.005522649275299</v>
      </c>
      <c r="M167" s="21">
        <v>29.668365410702101</v>
      </c>
      <c r="N167" s="21">
        <v>46.3346330906354</v>
      </c>
      <c r="O167" s="21">
        <v>78.964822294572002</v>
      </c>
      <c r="P167" s="21">
        <v>75.261383947500804</v>
      </c>
      <c r="Q167" s="21">
        <v>65.832928469075995</v>
      </c>
      <c r="R167" s="21">
        <v>114.21586709386401</v>
      </c>
      <c r="S167" s="21">
        <v>41.510547259659802</v>
      </c>
    </row>
    <row r="168" spans="1:19">
      <c r="A168" s="9">
        <f t="shared" si="2"/>
        <v>37834</v>
      </c>
      <c r="B168" s="21">
        <v>64.433636138953105</v>
      </c>
      <c r="C168" s="21">
        <v>68.462661747092596</v>
      </c>
      <c r="D168" s="21">
        <v>55.623147550513103</v>
      </c>
      <c r="E168" s="21">
        <v>63.692341633350097</v>
      </c>
      <c r="F168" s="21">
        <v>65.1626445343733</v>
      </c>
      <c r="G168" s="21">
        <v>46.314840792755298</v>
      </c>
      <c r="H168" s="21">
        <v>56.0509859337348</v>
      </c>
      <c r="I168" s="21">
        <v>65.302951678748798</v>
      </c>
      <c r="J168" s="21">
        <v>76.198299440407496</v>
      </c>
      <c r="K168" s="21">
        <v>39.086119823345001</v>
      </c>
      <c r="L168" s="21">
        <v>48.042890690254097</v>
      </c>
      <c r="M168" s="21">
        <v>30.426681205900099</v>
      </c>
      <c r="N168" s="21">
        <v>47.387571979739903</v>
      </c>
      <c r="O168" s="21">
        <v>77.715588408986093</v>
      </c>
      <c r="P168" s="21">
        <v>77.177781826411504</v>
      </c>
      <c r="Q168" s="21">
        <v>68.940452240285396</v>
      </c>
      <c r="R168" s="21">
        <v>114.037855242424</v>
      </c>
      <c r="S168" s="21">
        <v>42.789468485117801</v>
      </c>
    </row>
    <row r="169" spans="1:19">
      <c r="A169" s="9">
        <f t="shared" si="2"/>
        <v>37865</v>
      </c>
      <c r="B169" s="21">
        <v>64.473770321003201</v>
      </c>
      <c r="C169" s="21">
        <v>68.333536689512201</v>
      </c>
      <c r="D169" s="21">
        <v>59.281512491907002</v>
      </c>
      <c r="E169" s="21">
        <v>69.553151934895496</v>
      </c>
      <c r="F169" s="21">
        <v>71.389049609146099</v>
      </c>
      <c r="G169" s="21">
        <v>47.8546887438524</v>
      </c>
      <c r="H169" s="21">
        <v>57.034931310285799</v>
      </c>
      <c r="I169" s="21">
        <v>70.625397636272893</v>
      </c>
      <c r="J169" s="21">
        <v>77.878854073991704</v>
      </c>
      <c r="K169" s="21">
        <v>40.237612650075803</v>
      </c>
      <c r="L169" s="21">
        <v>48.749949856841504</v>
      </c>
      <c r="M169" s="21">
        <v>32.007854110052101</v>
      </c>
      <c r="N169" s="21">
        <v>48.227929252066602</v>
      </c>
      <c r="O169" s="21">
        <v>81.162600762847404</v>
      </c>
      <c r="P169" s="21">
        <v>71.984238050076698</v>
      </c>
      <c r="Q169" s="21">
        <v>61.953128288387298</v>
      </c>
      <c r="R169" s="21">
        <v>110.074914499668</v>
      </c>
      <c r="S169" s="21">
        <v>46.906418409101398</v>
      </c>
    </row>
    <row r="170" spans="1:19">
      <c r="A170" s="9">
        <f t="shared" si="2"/>
        <v>37895</v>
      </c>
      <c r="B170" s="21">
        <v>67.478506764364894</v>
      </c>
      <c r="C170" s="21">
        <v>71.678435012384298</v>
      </c>
      <c r="D170" s="21">
        <v>61.7824720689269</v>
      </c>
      <c r="E170" s="21">
        <v>72.618440986941295</v>
      </c>
      <c r="F170" s="21">
        <v>74.892150579462594</v>
      </c>
      <c r="G170" s="21">
        <v>45.745481457437698</v>
      </c>
      <c r="H170" s="21">
        <v>60.503208013038197</v>
      </c>
      <c r="I170" s="21">
        <v>73.842469243980503</v>
      </c>
      <c r="J170" s="21">
        <v>82.1226942237261</v>
      </c>
      <c r="K170" s="21">
        <v>41.793628027677101</v>
      </c>
      <c r="L170" s="21">
        <v>51.909957869143597</v>
      </c>
      <c r="M170" s="21">
        <v>32.013123580516201</v>
      </c>
      <c r="N170" s="21">
        <v>51.043814946983503</v>
      </c>
      <c r="O170" s="21">
        <v>81.975688933296396</v>
      </c>
      <c r="P170" s="21">
        <v>75.717674804911894</v>
      </c>
      <c r="Q170" s="21">
        <v>65.078697932377295</v>
      </c>
      <c r="R170" s="21">
        <v>109.674705630958</v>
      </c>
      <c r="S170" s="21">
        <v>49.497189138340403</v>
      </c>
    </row>
    <row r="171" spans="1:19">
      <c r="A171" s="9">
        <f t="shared" si="2"/>
        <v>37926</v>
      </c>
      <c r="B171" s="21">
        <v>67.381817745580705</v>
      </c>
      <c r="C171" s="21">
        <v>71.471207033024697</v>
      </c>
      <c r="D171" s="21">
        <v>61.465064203332602</v>
      </c>
      <c r="E171" s="21">
        <v>70.314937020317402</v>
      </c>
      <c r="F171" s="21">
        <v>72.459235952188806</v>
      </c>
      <c r="G171" s="21">
        <v>44.971481283985803</v>
      </c>
      <c r="H171" s="21">
        <v>62.498123007145701</v>
      </c>
      <c r="I171" s="21">
        <v>71.852641586878093</v>
      </c>
      <c r="J171" s="21">
        <v>82.254803212055407</v>
      </c>
      <c r="K171" s="21">
        <v>43.6068588604778</v>
      </c>
      <c r="L171" s="21">
        <v>54.645295545881197</v>
      </c>
      <c r="M171" s="21">
        <v>32.934858166237703</v>
      </c>
      <c r="N171" s="21">
        <v>53.611329410398596</v>
      </c>
      <c r="O171" s="21">
        <v>86.509272684625998</v>
      </c>
      <c r="P171" s="21">
        <v>75.940249934929298</v>
      </c>
      <c r="Q171" s="21">
        <v>65.200671547913998</v>
      </c>
      <c r="R171" s="21">
        <v>108.84775451228499</v>
      </c>
      <c r="S171" s="21">
        <v>53.281766840739401</v>
      </c>
    </row>
    <row r="172" spans="1:19">
      <c r="A172" s="9">
        <f t="shared" si="2"/>
        <v>37956</v>
      </c>
      <c r="B172" s="21">
        <v>70.492933303520303</v>
      </c>
      <c r="C172" s="21">
        <v>74.779836230634004</v>
      </c>
      <c r="D172" s="21">
        <v>62.348439434769602</v>
      </c>
      <c r="E172" s="21">
        <v>69.879739821482403</v>
      </c>
      <c r="F172" s="21">
        <v>71.780589796885494</v>
      </c>
      <c r="G172" s="21">
        <v>47.413605787179698</v>
      </c>
      <c r="H172" s="21">
        <v>65.277936930140797</v>
      </c>
      <c r="I172" s="21">
        <v>71.250669213307205</v>
      </c>
      <c r="J172" s="21">
        <v>80.524641223654299</v>
      </c>
      <c r="K172" s="21">
        <v>46.636648638141203</v>
      </c>
      <c r="L172" s="21">
        <v>59.217721502848001</v>
      </c>
      <c r="M172" s="21">
        <v>34.473221680773101</v>
      </c>
      <c r="N172" s="21">
        <v>57.987087072844801</v>
      </c>
      <c r="O172" s="21">
        <v>88.669407521834003</v>
      </c>
      <c r="P172" s="21">
        <v>82.273734716753907</v>
      </c>
      <c r="Q172" s="21">
        <v>65.609632759524104</v>
      </c>
      <c r="R172" s="21">
        <v>130.32780235720901</v>
      </c>
      <c r="S172" s="21">
        <v>56.018217712627703</v>
      </c>
    </row>
    <row r="173" spans="1:19">
      <c r="A173" s="9">
        <f t="shared" si="2"/>
        <v>37987</v>
      </c>
      <c r="B173" s="21">
        <v>73.167237718912105</v>
      </c>
      <c r="C173" s="21">
        <v>77.694739787625593</v>
      </c>
      <c r="D173" s="21">
        <v>64.561384196129893</v>
      </c>
      <c r="E173" s="21">
        <v>71.570368732845296</v>
      </c>
      <c r="F173" s="21">
        <v>73.396967026123406</v>
      </c>
      <c r="G173" s="21">
        <v>49.981814867665399</v>
      </c>
      <c r="H173" s="21">
        <v>69.581975148287299</v>
      </c>
      <c r="I173" s="21">
        <v>73.013626567007904</v>
      </c>
      <c r="J173" s="21">
        <v>82.776881215681598</v>
      </c>
      <c r="K173" s="21">
        <v>49.635420228705101</v>
      </c>
      <c r="L173" s="21">
        <v>64.3373024785799</v>
      </c>
      <c r="M173" s="21">
        <v>35.421587052058598</v>
      </c>
      <c r="N173" s="21">
        <v>62.967903993453803</v>
      </c>
      <c r="O173" s="21">
        <v>89.651727238478998</v>
      </c>
      <c r="P173" s="21">
        <v>85.615384034334795</v>
      </c>
      <c r="Q173" s="21">
        <v>67.628758068997001</v>
      </c>
      <c r="R173" s="21">
        <v>129.30537647329101</v>
      </c>
      <c r="S173" s="21">
        <v>60.873708307214002</v>
      </c>
    </row>
    <row r="174" spans="1:19">
      <c r="A174" s="9">
        <f t="shared" si="2"/>
        <v>38018</v>
      </c>
      <c r="B174" s="21">
        <v>72.940508703807197</v>
      </c>
      <c r="C174" s="21">
        <v>77.523112814024799</v>
      </c>
      <c r="D174" s="21">
        <v>65.444400394755306</v>
      </c>
      <c r="E174" s="21">
        <v>72.040454301267303</v>
      </c>
      <c r="F174" s="21">
        <v>73.972720371747201</v>
      </c>
      <c r="G174" s="21">
        <v>49.203013634687402</v>
      </c>
      <c r="H174" s="21">
        <v>72.578808985712698</v>
      </c>
      <c r="I174" s="21">
        <v>73.694876521559294</v>
      </c>
      <c r="J174" s="21">
        <v>84.886601971300493</v>
      </c>
      <c r="K174" s="21">
        <v>51.018184106019802</v>
      </c>
      <c r="L174" s="21">
        <v>67.686743429032504</v>
      </c>
      <c r="M174" s="21">
        <v>34.902960389385903</v>
      </c>
      <c r="N174" s="21">
        <v>66.045944729695194</v>
      </c>
      <c r="O174" s="21">
        <v>88.224411201642496</v>
      </c>
      <c r="P174" s="21">
        <v>83.783437040933407</v>
      </c>
      <c r="Q174" s="21">
        <v>67.5001650351509</v>
      </c>
      <c r="R174" s="21">
        <v>119.464151059708</v>
      </c>
      <c r="S174" s="21">
        <v>64.707532180632498</v>
      </c>
    </row>
    <row r="175" spans="1:19">
      <c r="A175" s="9">
        <f t="shared" si="2"/>
        <v>38047</v>
      </c>
      <c r="B175" s="21">
        <v>75.440370766053803</v>
      </c>
      <c r="C175" s="21">
        <v>80.289564620110696</v>
      </c>
      <c r="D175" s="21">
        <v>67.557072011847794</v>
      </c>
      <c r="E175" s="21">
        <v>76.290283587643998</v>
      </c>
      <c r="F175" s="21">
        <v>78.6300258460424</v>
      </c>
      <c r="G175" s="21">
        <v>48.636884390922503</v>
      </c>
      <c r="H175" s="21">
        <v>72.338238472617107</v>
      </c>
      <c r="I175" s="21">
        <v>77.315391963568302</v>
      </c>
      <c r="J175" s="21">
        <v>84.249976955753496</v>
      </c>
      <c r="K175" s="21">
        <v>51.351816428652498</v>
      </c>
      <c r="L175" s="21">
        <v>67.603595501146103</v>
      </c>
      <c r="M175" s="21">
        <v>35.639537372539998</v>
      </c>
      <c r="N175" s="21">
        <v>66.5334136476732</v>
      </c>
      <c r="O175" s="21">
        <v>84.2701173278098</v>
      </c>
      <c r="P175" s="21">
        <v>86.843360147729996</v>
      </c>
      <c r="Q175" s="21">
        <v>73.195177927999893</v>
      </c>
      <c r="R175" s="21">
        <v>120.12560495856199</v>
      </c>
      <c r="S175" s="21">
        <v>70.395792235754598</v>
      </c>
    </row>
    <row r="176" spans="1:19">
      <c r="A176" s="9">
        <f t="shared" si="2"/>
        <v>38078</v>
      </c>
      <c r="B176" s="21">
        <v>76.573551073998402</v>
      </c>
      <c r="C176" s="21">
        <v>81.581821535124902</v>
      </c>
      <c r="D176" s="21">
        <v>67.858428392942102</v>
      </c>
      <c r="E176" s="21">
        <v>77.624406892129699</v>
      </c>
      <c r="F176" s="21">
        <v>80.219614944993694</v>
      </c>
      <c r="G176" s="21">
        <v>46.951659059844303</v>
      </c>
      <c r="H176" s="21">
        <v>71.307849723460905</v>
      </c>
      <c r="I176" s="21">
        <v>78.452965437243293</v>
      </c>
      <c r="J176" s="21">
        <v>84.057943200604797</v>
      </c>
      <c r="K176" s="21">
        <v>50.551004873761897</v>
      </c>
      <c r="L176" s="21">
        <v>66.239979861087804</v>
      </c>
      <c r="M176" s="21">
        <v>35.382846852068496</v>
      </c>
      <c r="N176" s="21">
        <v>65.305776460276107</v>
      </c>
      <c r="O176" s="21">
        <v>82.585474991220906</v>
      </c>
      <c r="P176" s="21">
        <v>89.179752423283603</v>
      </c>
      <c r="Q176" s="21">
        <v>74.550523212044794</v>
      </c>
      <c r="R176" s="21">
        <v>125.92335119325899</v>
      </c>
      <c r="S176" s="21">
        <v>77.379142903276701</v>
      </c>
    </row>
    <row r="177" spans="1:19">
      <c r="A177" s="9">
        <f t="shared" si="2"/>
        <v>38108</v>
      </c>
      <c r="B177" s="21">
        <v>79.673201882528801</v>
      </c>
      <c r="C177" s="21">
        <v>85.208683765030898</v>
      </c>
      <c r="D177" s="21">
        <v>67.302579313557004</v>
      </c>
      <c r="E177" s="21">
        <v>78.541462573935405</v>
      </c>
      <c r="F177" s="21">
        <v>81.168845082527895</v>
      </c>
      <c r="G177" s="21">
        <v>47.488445049549703</v>
      </c>
      <c r="H177" s="21">
        <v>69.278435816416703</v>
      </c>
      <c r="I177" s="21">
        <v>79.614140004450405</v>
      </c>
      <c r="J177" s="21">
        <v>86.870516974737001</v>
      </c>
      <c r="K177" s="21">
        <v>47.458869170116799</v>
      </c>
      <c r="L177" s="21">
        <v>62.285986852925298</v>
      </c>
      <c r="M177" s="21">
        <v>33.123957921882401</v>
      </c>
      <c r="N177" s="21">
        <v>60.975206183011601</v>
      </c>
      <c r="O177" s="21">
        <v>81.210943076165606</v>
      </c>
      <c r="P177" s="21">
        <v>97.566990028442603</v>
      </c>
      <c r="Q177" s="21">
        <v>83.063860056839104</v>
      </c>
      <c r="R177" s="21">
        <v>133.882124048935</v>
      </c>
      <c r="S177" s="21">
        <v>83.939126361359897</v>
      </c>
    </row>
    <row r="178" spans="1:19">
      <c r="A178" s="9">
        <f t="shared" si="2"/>
        <v>38139</v>
      </c>
      <c r="B178" s="21">
        <v>78.400216827023399</v>
      </c>
      <c r="C178" s="21">
        <v>83.713804433738702</v>
      </c>
      <c r="D178" s="21">
        <v>66.605970053271605</v>
      </c>
      <c r="E178" s="21">
        <v>75.594203698748402</v>
      </c>
      <c r="F178" s="21">
        <v>77.801663532162493</v>
      </c>
      <c r="G178" s="21">
        <v>49.504249660001101</v>
      </c>
      <c r="H178" s="21">
        <v>71.369270051370705</v>
      </c>
      <c r="I178" s="21">
        <v>76.938778387659895</v>
      </c>
      <c r="J178" s="21">
        <v>86.034467855801097</v>
      </c>
      <c r="K178" s="21">
        <v>49.3269998734091</v>
      </c>
      <c r="L178" s="21">
        <v>65.540190122502395</v>
      </c>
      <c r="M178" s="21">
        <v>33.652028631967802</v>
      </c>
      <c r="N178" s="21">
        <v>63.797253367801197</v>
      </c>
      <c r="O178" s="21">
        <v>85.730852829534598</v>
      </c>
      <c r="P178" s="21">
        <v>95.460292173553398</v>
      </c>
      <c r="Q178" s="21">
        <v>78.203943110002996</v>
      </c>
      <c r="R178" s="21">
        <v>134.83313097597301</v>
      </c>
      <c r="S178" s="21">
        <v>94.070386451260902</v>
      </c>
    </row>
    <row r="179" spans="1:19">
      <c r="A179" s="9">
        <f t="shared" si="2"/>
        <v>38169</v>
      </c>
      <c r="B179" s="21">
        <v>79.758071420620297</v>
      </c>
      <c r="C179" s="21">
        <v>85.173452909745293</v>
      </c>
      <c r="D179" s="21">
        <v>66.002135365237606</v>
      </c>
      <c r="E179" s="21">
        <v>73.050937792488398</v>
      </c>
      <c r="F179" s="21">
        <v>75.141931338021294</v>
      </c>
      <c r="G179" s="21">
        <v>48.337498085684601</v>
      </c>
      <c r="H179" s="21">
        <v>72.6415355937838</v>
      </c>
      <c r="I179" s="21">
        <v>74.394853186864907</v>
      </c>
      <c r="J179" s="21">
        <v>83.486082703166304</v>
      </c>
      <c r="K179" s="21">
        <v>50.965745188609503</v>
      </c>
      <c r="L179" s="21">
        <v>68.331076728110006</v>
      </c>
      <c r="M179" s="21">
        <v>34.176879561439598</v>
      </c>
      <c r="N179" s="21">
        <v>66.390698128562306</v>
      </c>
      <c r="O179" s="21">
        <v>93.487331484779304</v>
      </c>
      <c r="P179" s="21">
        <v>99.655679980851104</v>
      </c>
      <c r="Q179" s="21">
        <v>82.814926274250098</v>
      </c>
      <c r="R179" s="21">
        <v>132.35050544848099</v>
      </c>
      <c r="S179" s="21">
        <v>100.08366762024799</v>
      </c>
    </row>
    <row r="180" spans="1:19">
      <c r="A180" s="9">
        <f t="shared" si="2"/>
        <v>38200</v>
      </c>
      <c r="B180" s="21">
        <v>80.823433561168898</v>
      </c>
      <c r="C180" s="21">
        <v>86.337421350847407</v>
      </c>
      <c r="D180" s="21">
        <v>63.992083764060297</v>
      </c>
      <c r="E180" s="21">
        <v>69.355439807104403</v>
      </c>
      <c r="F180" s="21">
        <v>71.047967049403297</v>
      </c>
      <c r="G180" s="21">
        <v>49.351470859406703</v>
      </c>
      <c r="H180" s="21">
        <v>71.2435749736579</v>
      </c>
      <c r="I180" s="21">
        <v>71.118355437305198</v>
      </c>
      <c r="J180" s="21">
        <v>83.044009893748097</v>
      </c>
      <c r="K180" s="21">
        <v>50.303263498821401</v>
      </c>
      <c r="L180" s="21">
        <v>66.553172616873297</v>
      </c>
      <c r="M180" s="21">
        <v>34.592792321457402</v>
      </c>
      <c r="N180" s="21">
        <v>65.035870765060295</v>
      </c>
      <c r="O180" s="21">
        <v>98.322642680970404</v>
      </c>
      <c r="P180" s="21">
        <v>105.169549191165</v>
      </c>
      <c r="Q180" s="21">
        <v>91.884364105303206</v>
      </c>
      <c r="R180" s="21">
        <v>126.226818248462</v>
      </c>
      <c r="S180" s="21">
        <v>94.675448319366794</v>
      </c>
    </row>
    <row r="181" spans="1:19">
      <c r="A181" s="9">
        <f t="shared" si="2"/>
        <v>38231</v>
      </c>
      <c r="B181" s="21">
        <v>80.673881633171106</v>
      </c>
      <c r="C181" s="21">
        <v>86.127763557093303</v>
      </c>
      <c r="D181" s="21">
        <v>64.558205353609694</v>
      </c>
      <c r="E181" s="21">
        <v>70.118324042021399</v>
      </c>
      <c r="F181" s="21">
        <v>71.8071892301638</v>
      </c>
      <c r="G181" s="21">
        <v>50.157636889618303</v>
      </c>
      <c r="H181" s="21">
        <v>71.648439969116197</v>
      </c>
      <c r="I181" s="21">
        <v>71.785726671849204</v>
      </c>
      <c r="J181" s="21">
        <v>83.065261133079701</v>
      </c>
      <c r="K181" s="21">
        <v>50.692036833175202</v>
      </c>
      <c r="L181" s="21">
        <v>67.110515286079604</v>
      </c>
      <c r="M181" s="21">
        <v>34.818592210399899</v>
      </c>
      <c r="N181" s="21">
        <v>65.430327261663507</v>
      </c>
      <c r="O181" s="21">
        <v>99.172019412656297</v>
      </c>
      <c r="P181" s="21">
        <v>103.984793882478</v>
      </c>
      <c r="Q181" s="21">
        <v>91.3484921274936</v>
      </c>
      <c r="R181" s="21">
        <v>125.504758660787</v>
      </c>
      <c r="S181" s="21">
        <v>89.675895330404302</v>
      </c>
    </row>
    <row r="182" spans="1:19">
      <c r="A182" s="9">
        <f t="shared" si="2"/>
        <v>38261</v>
      </c>
      <c r="B182" s="21">
        <v>86.474190376634397</v>
      </c>
      <c r="C182" s="21">
        <v>92.446611531521199</v>
      </c>
      <c r="D182" s="21">
        <v>65.175312732367999</v>
      </c>
      <c r="E182" s="21">
        <v>69.324217828123096</v>
      </c>
      <c r="F182" s="21">
        <v>71.175000738809899</v>
      </c>
      <c r="G182" s="21">
        <v>47.449826120240402</v>
      </c>
      <c r="H182" s="21">
        <v>73.738085090517203</v>
      </c>
      <c r="I182" s="21">
        <v>71.046538508956999</v>
      </c>
      <c r="J182" s="21">
        <v>82.697578950677894</v>
      </c>
      <c r="K182" s="21">
        <v>52.865728009810901</v>
      </c>
      <c r="L182" s="21">
        <v>70.1768916767261</v>
      </c>
      <c r="M182" s="21">
        <v>36.129232078668799</v>
      </c>
      <c r="N182" s="21">
        <v>68.377793923949696</v>
      </c>
      <c r="O182" s="21">
        <v>105.76709795717601</v>
      </c>
      <c r="P182" s="21">
        <v>117.28247041164001</v>
      </c>
      <c r="Q182" s="21">
        <v>101.85510941036399</v>
      </c>
      <c r="R182" s="21">
        <v>146.368234856828</v>
      </c>
      <c r="S182" s="21">
        <v>89.612684577591295</v>
      </c>
    </row>
    <row r="183" spans="1:19">
      <c r="A183" s="9">
        <f t="shared" si="2"/>
        <v>38292</v>
      </c>
      <c r="B183" s="21">
        <v>83.836699260499799</v>
      </c>
      <c r="C183" s="21">
        <v>89.339362013278503</v>
      </c>
      <c r="D183" s="21">
        <v>66.437264674974202</v>
      </c>
      <c r="E183" s="21">
        <v>71.307407068392706</v>
      </c>
      <c r="F183" s="21">
        <v>73.016565118588801</v>
      </c>
      <c r="G183" s="21">
        <v>51.106878705615102</v>
      </c>
      <c r="H183" s="21">
        <v>73.207953141070305</v>
      </c>
      <c r="I183" s="21">
        <v>72.481861690892401</v>
      </c>
      <c r="J183" s="21">
        <v>80.426734243363697</v>
      </c>
      <c r="K183" s="21">
        <v>53.706125142334102</v>
      </c>
      <c r="L183" s="21">
        <v>70.338653142841906</v>
      </c>
      <c r="M183" s="21">
        <v>37.625736639213301</v>
      </c>
      <c r="N183" s="21">
        <v>68.672813869215801</v>
      </c>
      <c r="O183" s="21">
        <v>108.920441908464</v>
      </c>
      <c r="P183" s="21">
        <v>109.004534961266</v>
      </c>
      <c r="Q183" s="21">
        <v>89.629211659551302</v>
      </c>
      <c r="R183" s="21">
        <v>145.12120914094899</v>
      </c>
      <c r="S183" s="21">
        <v>87.532599550415</v>
      </c>
    </row>
    <row r="184" spans="1:19">
      <c r="A184" s="9">
        <f t="shared" si="2"/>
        <v>38322</v>
      </c>
      <c r="B184" s="21">
        <v>82.599972339966598</v>
      </c>
      <c r="C184" s="21">
        <v>87.938219147907105</v>
      </c>
      <c r="D184" s="21">
        <v>68.172543924340005</v>
      </c>
      <c r="E184" s="21">
        <v>75.2589706331229</v>
      </c>
      <c r="F184" s="21">
        <v>76.911377573616903</v>
      </c>
      <c r="G184" s="21">
        <v>55.729183282873301</v>
      </c>
      <c r="H184" s="21">
        <v>72.515305922554703</v>
      </c>
      <c r="I184" s="21">
        <v>75.537933477065806</v>
      </c>
      <c r="J184" s="21">
        <v>77.425042778304302</v>
      </c>
      <c r="K184" s="21">
        <v>53.785678860058503</v>
      </c>
      <c r="L184" s="21">
        <v>70.563798077687494</v>
      </c>
      <c r="M184" s="21">
        <v>37.564532239237302</v>
      </c>
      <c r="N184" s="21">
        <v>68.641549296459104</v>
      </c>
      <c r="O184" s="21">
        <v>106.50318085212299</v>
      </c>
      <c r="P184" s="21">
        <v>103.468877370428</v>
      </c>
      <c r="Q184" s="21">
        <v>81.484438903590501</v>
      </c>
      <c r="R184" s="21">
        <v>148.485780262204</v>
      </c>
      <c r="S184" s="21">
        <v>82.077045825910403</v>
      </c>
    </row>
    <row r="185" spans="1:19">
      <c r="A185" s="9">
        <f t="shared" si="2"/>
        <v>38353</v>
      </c>
      <c r="B185" s="21">
        <v>85.492885465017295</v>
      </c>
      <c r="C185" s="21">
        <v>91.321976951141593</v>
      </c>
      <c r="D185" s="21">
        <v>69.266909819812398</v>
      </c>
      <c r="E185" s="21">
        <v>75.0067614792206</v>
      </c>
      <c r="F185" s="21">
        <v>76.593192050291904</v>
      </c>
      <c r="G185" s="21">
        <v>56.256748428745802</v>
      </c>
      <c r="H185" s="21">
        <v>78.671527458562295</v>
      </c>
      <c r="I185" s="21">
        <v>75.782240415524896</v>
      </c>
      <c r="J185" s="21">
        <v>81.028148769948899</v>
      </c>
      <c r="K185" s="21">
        <v>56.591964136890198</v>
      </c>
      <c r="L185" s="21">
        <v>77.734824512626105</v>
      </c>
      <c r="M185" s="21">
        <v>36.1509699056651</v>
      </c>
      <c r="N185" s="21">
        <v>74.886097522984002</v>
      </c>
      <c r="O185" s="21">
        <v>102.559356769068</v>
      </c>
      <c r="P185" s="21">
        <v>108.963342916714</v>
      </c>
      <c r="Q185" s="21">
        <v>90.857347306119493</v>
      </c>
      <c r="R185" s="21">
        <v>145.15869321820699</v>
      </c>
      <c r="S185" s="21">
        <v>80.457138204564302</v>
      </c>
    </row>
    <row r="186" spans="1:19">
      <c r="A186" s="9">
        <f t="shared" si="2"/>
        <v>38384</v>
      </c>
      <c r="B186" s="21">
        <v>87.428507308732506</v>
      </c>
      <c r="C186" s="21">
        <v>93.482739091262502</v>
      </c>
      <c r="D186" s="21">
        <v>71.1514522490194</v>
      </c>
      <c r="E186" s="21">
        <v>77.678489781877204</v>
      </c>
      <c r="F186" s="21">
        <v>79.011714125987893</v>
      </c>
      <c r="G186" s="21">
        <v>61.9211195526807</v>
      </c>
      <c r="H186" s="21">
        <v>80.323027727327599</v>
      </c>
      <c r="I186" s="21">
        <v>78.120499967890893</v>
      </c>
      <c r="J186" s="21">
        <v>81.110581089372403</v>
      </c>
      <c r="K186" s="21">
        <v>57.759613949459997</v>
      </c>
      <c r="L186" s="21">
        <v>80.009993320507604</v>
      </c>
      <c r="M186" s="21">
        <v>36.247866329534602</v>
      </c>
      <c r="N186" s="21">
        <v>77.041954766364995</v>
      </c>
      <c r="O186" s="21">
        <v>104.78458668721601</v>
      </c>
      <c r="P186" s="21">
        <v>110.972849822941</v>
      </c>
      <c r="Q186" s="21">
        <v>94.004764737586399</v>
      </c>
      <c r="R186" s="21">
        <v>146.23599256549301</v>
      </c>
      <c r="S186" s="21">
        <v>74.331341085990999</v>
      </c>
    </row>
    <row r="187" spans="1:19">
      <c r="A187" s="9">
        <f t="shared" si="2"/>
        <v>38412</v>
      </c>
      <c r="B187" s="21">
        <v>94.596161106499807</v>
      </c>
      <c r="C187" s="21">
        <v>101.361844718214</v>
      </c>
      <c r="D187" s="21">
        <v>73.583695094632205</v>
      </c>
      <c r="E187" s="21">
        <v>79.937025765855097</v>
      </c>
      <c r="F187" s="21">
        <v>80.9271403351934</v>
      </c>
      <c r="G187" s="21">
        <v>68.234867830243502</v>
      </c>
      <c r="H187" s="21">
        <v>83.798931207657603</v>
      </c>
      <c r="I187" s="21">
        <v>80.695261343662594</v>
      </c>
      <c r="J187" s="21">
        <v>85.824522972867001</v>
      </c>
      <c r="K187" s="21">
        <v>59.695257679728797</v>
      </c>
      <c r="L187" s="21">
        <v>82.993804917503098</v>
      </c>
      <c r="M187" s="21">
        <v>37.170137557863903</v>
      </c>
      <c r="N187" s="21">
        <v>79.832096250976406</v>
      </c>
      <c r="O187" s="21">
        <v>110.561983986198</v>
      </c>
      <c r="P187" s="21">
        <v>124.990154063866</v>
      </c>
      <c r="Q187" s="21">
        <v>107.55583951746399</v>
      </c>
      <c r="R187" s="21">
        <v>158.51835537250699</v>
      </c>
      <c r="S187" s="21">
        <v>74.088346329917002</v>
      </c>
    </row>
    <row r="188" spans="1:19">
      <c r="A188" s="9">
        <f t="shared" si="2"/>
        <v>38443</v>
      </c>
      <c r="B188" s="21">
        <v>94.188551584521093</v>
      </c>
      <c r="C188" s="21">
        <v>100.954232848486</v>
      </c>
      <c r="D188" s="21">
        <v>72.009968136285906</v>
      </c>
      <c r="E188" s="21">
        <v>77.394873553310603</v>
      </c>
      <c r="F188" s="21">
        <v>78.4962605355054</v>
      </c>
      <c r="G188" s="21">
        <v>64.377587662362899</v>
      </c>
      <c r="H188" s="21">
        <v>82.541413627780898</v>
      </c>
      <c r="I188" s="21">
        <v>78.221170187256007</v>
      </c>
      <c r="J188" s="21">
        <v>83.810846724318907</v>
      </c>
      <c r="K188" s="21">
        <v>59.018395178609701</v>
      </c>
      <c r="L188" s="21">
        <v>82.036843073551097</v>
      </c>
      <c r="M188" s="21">
        <v>36.764076119101802</v>
      </c>
      <c r="N188" s="21">
        <v>78.9374991265868</v>
      </c>
      <c r="O188" s="21">
        <v>114.584724205775</v>
      </c>
      <c r="P188" s="21">
        <v>126.26930349385501</v>
      </c>
      <c r="Q188" s="21">
        <v>108.190919260577</v>
      </c>
      <c r="R188" s="21">
        <v>167.43912279870699</v>
      </c>
      <c r="S188" s="21">
        <v>75.074144593257799</v>
      </c>
    </row>
    <row r="189" spans="1:19">
      <c r="A189" s="9">
        <f t="shared" si="2"/>
        <v>38473</v>
      </c>
      <c r="B189" s="21">
        <v>91.749124290202303</v>
      </c>
      <c r="C189" s="21">
        <v>98.305539319556999</v>
      </c>
      <c r="D189" s="21">
        <v>72.4336414900948</v>
      </c>
      <c r="E189" s="21">
        <v>78.497606871527793</v>
      </c>
      <c r="F189" s="21">
        <v>79.580371993834902</v>
      </c>
      <c r="G189" s="21">
        <v>65.700412626748104</v>
      </c>
      <c r="H189" s="21">
        <v>82.170903281196303</v>
      </c>
      <c r="I189" s="21">
        <v>79.274062236754006</v>
      </c>
      <c r="J189" s="21">
        <v>84.526575872635505</v>
      </c>
      <c r="K189" s="21">
        <v>58.326309943475103</v>
      </c>
      <c r="L189" s="21">
        <v>81.234577429689807</v>
      </c>
      <c r="M189" s="21">
        <v>36.178513703450903</v>
      </c>
      <c r="N189" s="21">
        <v>78.162584429945298</v>
      </c>
      <c r="O189" s="21">
        <v>116.93122548329001</v>
      </c>
      <c r="P189" s="21">
        <v>119.68847457222201</v>
      </c>
      <c r="Q189" s="21">
        <v>103.13173910602799</v>
      </c>
      <c r="R189" s="21">
        <v>159.07980100672501</v>
      </c>
      <c r="S189" s="21">
        <v>74.830855612131799</v>
      </c>
    </row>
    <row r="190" spans="1:19">
      <c r="A190" s="9">
        <f t="shared" si="2"/>
        <v>38504</v>
      </c>
      <c r="B190" s="21">
        <v>95.513685740586297</v>
      </c>
      <c r="C190" s="21">
        <v>102.41637977101</v>
      </c>
      <c r="D190" s="21">
        <v>71.043364021293698</v>
      </c>
      <c r="E190" s="21">
        <v>75.230795678249393</v>
      </c>
      <c r="F190" s="21">
        <v>75.9533416009956</v>
      </c>
      <c r="G190" s="21">
        <v>66.691029912193997</v>
      </c>
      <c r="H190" s="21">
        <v>82.632618937588404</v>
      </c>
      <c r="I190" s="21">
        <v>76.426530475442405</v>
      </c>
      <c r="J190" s="21">
        <v>84.515357738970593</v>
      </c>
      <c r="K190" s="21">
        <v>59.030703073451001</v>
      </c>
      <c r="L190" s="21">
        <v>81.884273425663295</v>
      </c>
      <c r="M190" s="21">
        <v>36.935788221315903</v>
      </c>
      <c r="N190" s="21">
        <v>78.867554422078996</v>
      </c>
      <c r="O190" s="21">
        <v>116.92655584171899</v>
      </c>
      <c r="P190" s="21">
        <v>130.909378258571</v>
      </c>
      <c r="Q190" s="21">
        <v>118.361953355672</v>
      </c>
      <c r="R190" s="21">
        <v>165.35885870210601</v>
      </c>
      <c r="S190" s="21">
        <v>77.1145380443634</v>
      </c>
    </row>
    <row r="191" spans="1:19">
      <c r="A191" s="9">
        <f t="shared" si="2"/>
        <v>38534</v>
      </c>
      <c r="B191" s="21">
        <v>97.767830256584702</v>
      </c>
      <c r="C191" s="21">
        <v>104.98152690085099</v>
      </c>
      <c r="D191" s="21">
        <v>70.3284601104057</v>
      </c>
      <c r="E191" s="21">
        <v>74.484614402498394</v>
      </c>
      <c r="F191" s="21">
        <v>75.493485654011295</v>
      </c>
      <c r="G191" s="21">
        <v>62.560771356947797</v>
      </c>
      <c r="H191" s="21">
        <v>82.016083917621899</v>
      </c>
      <c r="I191" s="21">
        <v>75.946392084512198</v>
      </c>
      <c r="J191" s="21">
        <v>85.834928568729794</v>
      </c>
      <c r="K191" s="21">
        <v>58.060623890555298</v>
      </c>
      <c r="L191" s="21">
        <v>80.498180715490193</v>
      </c>
      <c r="M191" s="21">
        <v>36.3679124281254</v>
      </c>
      <c r="N191" s="21">
        <v>77.513259169683295</v>
      </c>
      <c r="O191" s="21">
        <v>115.00678940890801</v>
      </c>
      <c r="P191" s="21">
        <v>137.458175145496</v>
      </c>
      <c r="Q191" s="21">
        <v>124.99939144893899</v>
      </c>
      <c r="R191" s="21">
        <v>178.03208425923501</v>
      </c>
      <c r="S191" s="21">
        <v>78.735974649423099</v>
      </c>
    </row>
    <row r="192" spans="1:19">
      <c r="A192" s="9">
        <f t="shared" si="2"/>
        <v>38565</v>
      </c>
      <c r="B192" s="21">
        <v>103.611514850612</v>
      </c>
      <c r="C192" s="21">
        <v>111.364411253992</v>
      </c>
      <c r="D192" s="21">
        <v>70.4895661524302</v>
      </c>
      <c r="E192" s="21">
        <v>72.948984588750903</v>
      </c>
      <c r="F192" s="21">
        <v>74.0114125264801</v>
      </c>
      <c r="G192" s="21">
        <v>60.392155401981697</v>
      </c>
      <c r="H192" s="21">
        <v>84.605133339298007</v>
      </c>
      <c r="I192" s="21">
        <v>74.849802660299304</v>
      </c>
      <c r="J192" s="21">
        <v>87.708330384208594</v>
      </c>
      <c r="K192" s="21">
        <v>60.012201188408497</v>
      </c>
      <c r="L192" s="21">
        <v>83.371683654470104</v>
      </c>
      <c r="M192" s="21">
        <v>37.4281686664348</v>
      </c>
      <c r="N192" s="21">
        <v>80.171608107171394</v>
      </c>
      <c r="O192" s="21">
        <v>116.57077239948801</v>
      </c>
      <c r="P192" s="21">
        <v>151.52156381384401</v>
      </c>
      <c r="Q192" s="21">
        <v>135.46860822167201</v>
      </c>
      <c r="R192" s="21">
        <v>203.668428747462</v>
      </c>
      <c r="S192" s="21">
        <v>73.444635297614894</v>
      </c>
    </row>
    <row r="193" spans="1:19">
      <c r="A193" s="9">
        <f t="shared" si="2"/>
        <v>38596</v>
      </c>
      <c r="B193" s="21">
        <v>107.613225554051</v>
      </c>
      <c r="C193" s="21">
        <v>115.654641906272</v>
      </c>
      <c r="D193" s="21">
        <v>70.869753592437405</v>
      </c>
      <c r="E193" s="21">
        <v>72.909418319431396</v>
      </c>
      <c r="F193" s="21">
        <v>74.213948869326003</v>
      </c>
      <c r="G193" s="21">
        <v>57.4911798655734</v>
      </c>
      <c r="H193" s="21">
        <v>84.486199265101305</v>
      </c>
      <c r="I193" s="21">
        <v>74.941316906422301</v>
      </c>
      <c r="J193" s="21">
        <v>88.686569386956407</v>
      </c>
      <c r="K193" s="21">
        <v>60.4440633862637</v>
      </c>
      <c r="L193" s="21">
        <v>82.816648434786103</v>
      </c>
      <c r="M193" s="21">
        <v>38.814166873336497</v>
      </c>
      <c r="N193" s="21">
        <v>79.779087416228805</v>
      </c>
      <c r="O193" s="21">
        <v>121.55944606709301</v>
      </c>
      <c r="P193" s="21">
        <v>160.76171499835201</v>
      </c>
      <c r="Q193" s="21">
        <v>135.64731216930301</v>
      </c>
      <c r="R193" s="21">
        <v>245.12790479648999</v>
      </c>
      <c r="S193" s="21">
        <v>70.447095202526796</v>
      </c>
    </row>
    <row r="194" spans="1:19">
      <c r="A194" s="9">
        <f t="shared" si="2"/>
        <v>38626</v>
      </c>
      <c r="B194" s="21">
        <v>107.00153363384599</v>
      </c>
      <c r="C194" s="21">
        <v>114.84823475976501</v>
      </c>
      <c r="D194" s="21">
        <v>71.259673266081805</v>
      </c>
      <c r="E194" s="21">
        <v>72.679712382076104</v>
      </c>
      <c r="F194" s="21">
        <v>73.926293765865395</v>
      </c>
      <c r="G194" s="21">
        <v>57.946374761920602</v>
      </c>
      <c r="H194" s="21">
        <v>85.031844642597093</v>
      </c>
      <c r="I194" s="21">
        <v>74.826558132332806</v>
      </c>
      <c r="J194" s="21">
        <v>89.349397541233103</v>
      </c>
      <c r="K194" s="21">
        <v>61.345103700679701</v>
      </c>
      <c r="L194" s="21">
        <v>83.315716344916595</v>
      </c>
      <c r="M194" s="21">
        <v>40.103835568732499</v>
      </c>
      <c r="N194" s="21">
        <v>80.511596134473194</v>
      </c>
      <c r="O194" s="21">
        <v>124.98607288578501</v>
      </c>
      <c r="P194" s="21">
        <v>158.70121760656301</v>
      </c>
      <c r="Q194" s="21">
        <v>129.464546199642</v>
      </c>
      <c r="R194" s="21">
        <v>267.22149959986399</v>
      </c>
      <c r="S194" s="21">
        <v>64.336470043433494</v>
      </c>
    </row>
    <row r="195" spans="1:19">
      <c r="A195" s="9">
        <f t="shared" si="2"/>
        <v>38657</v>
      </c>
      <c r="B195" s="21">
        <v>101.063471388721</v>
      </c>
      <c r="C195" s="21">
        <v>108.177059292075</v>
      </c>
      <c r="D195" s="21">
        <v>71.515956533781207</v>
      </c>
      <c r="E195" s="21">
        <v>72.138691814313205</v>
      </c>
      <c r="F195" s="21">
        <v>73.245302458864003</v>
      </c>
      <c r="G195" s="21">
        <v>59.059667490475597</v>
      </c>
      <c r="H195" s="21">
        <v>86.560967433544604</v>
      </c>
      <c r="I195" s="21">
        <v>74.180850985235296</v>
      </c>
      <c r="J195" s="21">
        <v>87.995513581822394</v>
      </c>
      <c r="K195" s="21">
        <v>63.078216959040198</v>
      </c>
      <c r="L195" s="21">
        <v>85.990768226450697</v>
      </c>
      <c r="M195" s="21">
        <v>40.926279143791497</v>
      </c>
      <c r="N195" s="21">
        <v>83.207695043054301</v>
      </c>
      <c r="O195" s="21">
        <v>123.948895894583</v>
      </c>
      <c r="P195" s="21">
        <v>143.803193508986</v>
      </c>
      <c r="Q195" s="21">
        <v>123.877352546992</v>
      </c>
      <c r="R195" s="21">
        <v>224.14136413991901</v>
      </c>
      <c r="S195" s="21">
        <v>58.938194381104097</v>
      </c>
    </row>
    <row r="196" spans="1:19">
      <c r="A196" s="9">
        <f t="shared" si="2"/>
        <v>38687</v>
      </c>
      <c r="B196" s="21">
        <v>106.106239921137</v>
      </c>
      <c r="C196" s="21">
        <v>113.487348345162</v>
      </c>
      <c r="D196" s="21">
        <v>73.759447388672996</v>
      </c>
      <c r="E196" s="21">
        <v>73.347594759568196</v>
      </c>
      <c r="F196" s="21">
        <v>74.346371572924596</v>
      </c>
      <c r="G196" s="21">
        <v>61.543057815793802</v>
      </c>
      <c r="H196" s="21">
        <v>91.083780521061001</v>
      </c>
      <c r="I196" s="21">
        <v>75.269222749538898</v>
      </c>
      <c r="J196" s="21">
        <v>88.268524026146693</v>
      </c>
      <c r="K196" s="21">
        <v>67.526166036949206</v>
      </c>
      <c r="L196" s="21">
        <v>92.2027804382775</v>
      </c>
      <c r="M196" s="21">
        <v>43.668725574323901</v>
      </c>
      <c r="N196" s="21">
        <v>89.086775118089193</v>
      </c>
      <c r="O196" s="21">
        <v>120.799495200926</v>
      </c>
      <c r="P196" s="21">
        <v>152.89504537927999</v>
      </c>
      <c r="Q196" s="21">
        <v>126.977125768546</v>
      </c>
      <c r="R196" s="21">
        <v>255.46302707135001</v>
      </c>
      <c r="S196" s="21">
        <v>61.269497871749003</v>
      </c>
    </row>
    <row r="197" spans="1:19">
      <c r="A197" s="9">
        <f t="shared" si="2"/>
        <v>38718</v>
      </c>
      <c r="B197" s="21">
        <v>107.777746957128</v>
      </c>
      <c r="C197" s="21">
        <v>114.987565942684</v>
      </c>
      <c r="D197" s="21">
        <v>76.963812027667799</v>
      </c>
      <c r="E197" s="21">
        <v>75.216479576520101</v>
      </c>
      <c r="F197" s="21">
        <v>75.751651255036194</v>
      </c>
      <c r="G197" s="21">
        <v>68.891288837383399</v>
      </c>
      <c r="H197" s="21">
        <v>97.451678185420505</v>
      </c>
      <c r="I197" s="21">
        <v>77.351916874416304</v>
      </c>
      <c r="J197" s="21">
        <v>91.797581143222999</v>
      </c>
      <c r="K197" s="21">
        <v>72.8382932221473</v>
      </c>
      <c r="L197" s="21">
        <v>99.699052140007694</v>
      </c>
      <c r="M197" s="21">
        <v>46.869213905120098</v>
      </c>
      <c r="N197" s="21">
        <v>96.118415672709702</v>
      </c>
      <c r="O197" s="21">
        <v>119.159189024596</v>
      </c>
      <c r="P197" s="21">
        <v>152.349313221926</v>
      </c>
      <c r="Q197" s="21">
        <v>138.337396772842</v>
      </c>
      <c r="R197" s="21">
        <v>204.95493463446101</v>
      </c>
      <c r="S197" s="21">
        <v>66.475341406279</v>
      </c>
    </row>
    <row r="198" spans="1:19">
      <c r="A198" s="9">
        <f t="shared" si="2"/>
        <v>38749</v>
      </c>
      <c r="B198" s="21">
        <v>106.11131252033501</v>
      </c>
      <c r="C198" s="21">
        <v>113.086110043529</v>
      </c>
      <c r="D198" s="21">
        <v>78.501631513830105</v>
      </c>
      <c r="E198" s="21">
        <v>76.802407442567699</v>
      </c>
      <c r="F198" s="21">
        <v>77.444042923676406</v>
      </c>
      <c r="G198" s="21">
        <v>69.218921682890496</v>
      </c>
      <c r="H198" s="21">
        <v>100.453460955659</v>
      </c>
      <c r="I198" s="21">
        <v>79.148437414937703</v>
      </c>
      <c r="J198" s="21">
        <v>95.018705007810496</v>
      </c>
      <c r="K198" s="21">
        <v>74.584396579610896</v>
      </c>
      <c r="L198" s="21">
        <v>102.61365185361799</v>
      </c>
      <c r="M198" s="21">
        <v>47.485610739873998</v>
      </c>
      <c r="N198" s="21">
        <v>98.944080743790295</v>
      </c>
      <c r="O198" s="21">
        <v>113.529545779511</v>
      </c>
      <c r="P198" s="21">
        <v>146.04800769894601</v>
      </c>
      <c r="Q198" s="21">
        <v>134.00791284036001</v>
      </c>
      <c r="R198" s="21">
        <v>192.27487805384601</v>
      </c>
      <c r="S198" s="21">
        <v>74.357301170896093</v>
      </c>
    </row>
    <row r="199" spans="1:19">
      <c r="A199" s="9">
        <f t="shared" ref="A199:A262" si="3">EDATE(A198,1)</f>
        <v>38777</v>
      </c>
      <c r="B199" s="21">
        <v>106.945892617336</v>
      </c>
      <c r="C199" s="21">
        <v>113.99608918615201</v>
      </c>
      <c r="D199" s="21">
        <v>79.055366373655502</v>
      </c>
      <c r="E199" s="21">
        <v>77.373392918096698</v>
      </c>
      <c r="F199" s="21">
        <v>78.308110308364704</v>
      </c>
      <c r="G199" s="21">
        <v>66.325973897296194</v>
      </c>
      <c r="H199" s="21">
        <v>101.330022253355</v>
      </c>
      <c r="I199" s="21">
        <v>79.594206432347903</v>
      </c>
      <c r="J199" s="21">
        <v>94.617418053736998</v>
      </c>
      <c r="K199" s="21">
        <v>75.528611858316594</v>
      </c>
      <c r="L199" s="21">
        <v>103.998128536832</v>
      </c>
      <c r="M199" s="21">
        <v>48.0041796930659</v>
      </c>
      <c r="N199" s="21">
        <v>100.515861331913</v>
      </c>
      <c r="O199" s="21">
        <v>111.378785138013</v>
      </c>
      <c r="P199" s="21">
        <v>147.288823225714</v>
      </c>
      <c r="Q199" s="21">
        <v>136.94278890346899</v>
      </c>
      <c r="R199" s="21">
        <v>183.93828772979001</v>
      </c>
      <c r="S199" s="21">
        <v>80.267829002622506</v>
      </c>
    </row>
    <row r="200" spans="1:19">
      <c r="A200" s="9">
        <f t="shared" si="3"/>
        <v>38808</v>
      </c>
      <c r="B200" s="21">
        <v>115.58881575735199</v>
      </c>
      <c r="C200" s="21">
        <v>123.131410770502</v>
      </c>
      <c r="D200" s="21">
        <v>84.524861803536595</v>
      </c>
      <c r="E200" s="21">
        <v>80.375151519585302</v>
      </c>
      <c r="F200" s="21">
        <v>81.5834790127209</v>
      </c>
      <c r="G200" s="21">
        <v>66.093936395092001</v>
      </c>
      <c r="H200" s="21">
        <v>112.49783056525401</v>
      </c>
      <c r="I200" s="21">
        <v>82.278633719920293</v>
      </c>
      <c r="J200" s="21">
        <v>95.155183565134294</v>
      </c>
      <c r="K200" s="21">
        <v>85.594240102242694</v>
      </c>
      <c r="L200" s="21">
        <v>119.39113516911701</v>
      </c>
      <c r="M200" s="21">
        <v>52.919279154757099</v>
      </c>
      <c r="N200" s="21">
        <v>115.251304036085</v>
      </c>
      <c r="O200" s="21">
        <v>112.42333192315201</v>
      </c>
      <c r="P200" s="21">
        <v>160.52202812599899</v>
      </c>
      <c r="Q200" s="21">
        <v>150.85749581145899</v>
      </c>
      <c r="R200" s="21">
        <v>190.931916352217</v>
      </c>
      <c r="S200" s="21">
        <v>83.211153221303405</v>
      </c>
    </row>
    <row r="201" spans="1:19">
      <c r="A201" s="9">
        <f t="shared" si="3"/>
        <v>38838</v>
      </c>
      <c r="B201" s="21">
        <v>119.796324318892</v>
      </c>
      <c r="C201" s="21">
        <v>127.228211739979</v>
      </c>
      <c r="D201" s="21">
        <v>92.062554624940901</v>
      </c>
      <c r="E201" s="21">
        <v>86.024677233958997</v>
      </c>
      <c r="F201" s="21">
        <v>87.760701131032803</v>
      </c>
      <c r="G201" s="21">
        <v>65.5066215940641</v>
      </c>
      <c r="H201" s="21">
        <v>126.44270326885901</v>
      </c>
      <c r="I201" s="21">
        <v>87.842624982689102</v>
      </c>
      <c r="J201" s="21">
        <v>100.140557056021</v>
      </c>
      <c r="K201" s="21">
        <v>97.010729218831301</v>
      </c>
      <c r="L201" s="21">
        <v>136.89720341403199</v>
      </c>
      <c r="M201" s="21">
        <v>58.448341044348503</v>
      </c>
      <c r="N201" s="21">
        <v>131.70568968866399</v>
      </c>
      <c r="O201" s="21">
        <v>109.40858638597101</v>
      </c>
      <c r="P201" s="21">
        <v>159.912510600079</v>
      </c>
      <c r="Q201" s="21">
        <v>148.66429055963201</v>
      </c>
      <c r="R201" s="21">
        <v>182.115246677622</v>
      </c>
      <c r="S201" s="21">
        <v>78.896319748326107</v>
      </c>
    </row>
    <row r="202" spans="1:19">
      <c r="A202" s="9">
        <f t="shared" si="3"/>
        <v>38869</v>
      </c>
      <c r="B202" s="21">
        <v>117.07955056158499</v>
      </c>
      <c r="C202" s="21">
        <v>124.92226529211599</v>
      </c>
      <c r="D202" s="21">
        <v>87.663224901420307</v>
      </c>
      <c r="E202" s="21">
        <v>83.895562031043497</v>
      </c>
      <c r="F202" s="21">
        <v>85.513360898195501</v>
      </c>
      <c r="G202" s="21">
        <v>64.774807284329199</v>
      </c>
      <c r="H202" s="21">
        <v>120.112773811509</v>
      </c>
      <c r="I202" s="21">
        <v>86.444615384934096</v>
      </c>
      <c r="J202" s="21">
        <v>103.68828205211101</v>
      </c>
      <c r="K202" s="21">
        <v>88.427803281542793</v>
      </c>
      <c r="L202" s="21">
        <v>126.64113275581499</v>
      </c>
      <c r="M202" s="21">
        <v>51.483017502417802</v>
      </c>
      <c r="N202" s="21">
        <v>121.315782027277</v>
      </c>
      <c r="O202" s="21">
        <v>100.598206396132</v>
      </c>
      <c r="P202" s="21">
        <v>159.62951087760399</v>
      </c>
      <c r="Q202" s="21">
        <v>148.75653174645399</v>
      </c>
      <c r="R202" s="21">
        <v>182.05227450002999</v>
      </c>
      <c r="S202" s="21">
        <v>79.5053853648662</v>
      </c>
    </row>
    <row r="203" spans="1:19">
      <c r="A203" s="9">
        <f t="shared" si="3"/>
        <v>38899</v>
      </c>
      <c r="B203" s="21">
        <v>121.48107062253101</v>
      </c>
      <c r="C203" s="21">
        <v>129.48130815149401</v>
      </c>
      <c r="D203" s="21">
        <v>90.064177510381597</v>
      </c>
      <c r="E203" s="21">
        <v>83.3975180595437</v>
      </c>
      <c r="F203" s="21">
        <v>84.722458505007097</v>
      </c>
      <c r="G203" s="21">
        <v>67.738055176925997</v>
      </c>
      <c r="H203" s="21">
        <v>127.640666152169</v>
      </c>
      <c r="I203" s="21">
        <v>85.848905343976099</v>
      </c>
      <c r="J203" s="21">
        <v>102.431887077328</v>
      </c>
      <c r="K203" s="21">
        <v>95.346362288721195</v>
      </c>
      <c r="L203" s="21">
        <v>137.66057792533601</v>
      </c>
      <c r="M203" s="21">
        <v>54.436824867781702</v>
      </c>
      <c r="N203" s="21">
        <v>131.39551115303399</v>
      </c>
      <c r="O203" s="21">
        <v>103.340952276583</v>
      </c>
      <c r="P203" s="21">
        <v>166.92480042814901</v>
      </c>
      <c r="Q203" s="21">
        <v>157.50518557295501</v>
      </c>
      <c r="R203" s="21">
        <v>183.06257877734799</v>
      </c>
      <c r="S203" s="21">
        <v>80.895188623995296</v>
      </c>
    </row>
    <row r="204" spans="1:19">
      <c r="A204" s="9">
        <f t="shared" si="3"/>
        <v>38930</v>
      </c>
      <c r="B204" s="21">
        <v>122.114334836178</v>
      </c>
      <c r="C204" s="21">
        <v>130.19633066169499</v>
      </c>
      <c r="D204" s="21">
        <v>90.462782818337303</v>
      </c>
      <c r="E204" s="21">
        <v>82.009515248620403</v>
      </c>
      <c r="F204" s="21">
        <v>82.924474483621395</v>
      </c>
      <c r="G204" s="21">
        <v>71.195617742008906</v>
      </c>
      <c r="H204" s="21">
        <v>131.067193012133</v>
      </c>
      <c r="I204" s="21">
        <v>84.518661018187103</v>
      </c>
      <c r="J204" s="21">
        <v>101.49236351198699</v>
      </c>
      <c r="K204" s="21">
        <v>98.039840610519803</v>
      </c>
      <c r="L204" s="21">
        <v>142.822509738029</v>
      </c>
      <c r="M204" s="21">
        <v>54.743793385763503</v>
      </c>
      <c r="N204" s="21">
        <v>136.33924478067999</v>
      </c>
      <c r="O204" s="21">
        <v>107.652511113309</v>
      </c>
      <c r="P204" s="21">
        <v>167.89749272810101</v>
      </c>
      <c r="Q204" s="21">
        <v>154.99763475731999</v>
      </c>
      <c r="R204" s="21">
        <v>194.964311891931</v>
      </c>
      <c r="S204" s="21">
        <v>81.353205864553601</v>
      </c>
    </row>
    <row r="205" spans="1:19">
      <c r="A205" s="9">
        <f t="shared" si="3"/>
        <v>38961</v>
      </c>
      <c r="B205" s="21">
        <v>112.405643403271</v>
      </c>
      <c r="C205" s="21">
        <v>119.701107008501</v>
      </c>
      <c r="D205" s="21">
        <v>89.422776617745996</v>
      </c>
      <c r="E205" s="21">
        <v>81.585317522821995</v>
      </c>
      <c r="F205" s="21">
        <v>82.474124085396795</v>
      </c>
      <c r="G205" s="21">
        <v>71.080518288922093</v>
      </c>
      <c r="H205" s="21">
        <v>129.96878816336999</v>
      </c>
      <c r="I205" s="21">
        <v>83.634024038299302</v>
      </c>
      <c r="J205" s="21">
        <v>97.492977676066602</v>
      </c>
      <c r="K205" s="21">
        <v>96.636843602746893</v>
      </c>
      <c r="L205" s="21">
        <v>142.877178326924</v>
      </c>
      <c r="M205" s="21">
        <v>51.931519982885099</v>
      </c>
      <c r="N205" s="21">
        <v>136.03049309680301</v>
      </c>
      <c r="O205" s="21">
        <v>108.131028122316</v>
      </c>
      <c r="P205" s="21">
        <v>145.64977052404001</v>
      </c>
      <c r="Q205" s="21">
        <v>134.61619889387799</v>
      </c>
      <c r="R205" s="21">
        <v>167.83164979603299</v>
      </c>
      <c r="S205" s="21">
        <v>74.830119941916607</v>
      </c>
    </row>
    <row r="206" spans="1:19">
      <c r="A206" s="9">
        <f t="shared" si="3"/>
        <v>38991</v>
      </c>
      <c r="B206" s="21">
        <v>110.70827539380799</v>
      </c>
      <c r="C206" s="21">
        <v>117.924145484937</v>
      </c>
      <c r="D206" s="21">
        <v>90.253881598408398</v>
      </c>
      <c r="E206" s="21">
        <v>81.778028678038595</v>
      </c>
      <c r="F206" s="21">
        <v>82.772445108206398</v>
      </c>
      <c r="G206" s="21">
        <v>70.025027076045106</v>
      </c>
      <c r="H206" s="21">
        <v>134.42393274671201</v>
      </c>
      <c r="I206" s="21">
        <v>83.809960721915701</v>
      </c>
      <c r="J206" s="21">
        <v>97.555439529369394</v>
      </c>
      <c r="K206" s="21">
        <v>99.002101954647998</v>
      </c>
      <c r="L206" s="21">
        <v>149.078313593583</v>
      </c>
      <c r="M206" s="21">
        <v>50.588238596414399</v>
      </c>
      <c r="N206" s="21">
        <v>141.111895077523</v>
      </c>
      <c r="O206" s="21">
        <v>102.517275266106</v>
      </c>
      <c r="P206" s="21">
        <v>140.295031208832</v>
      </c>
      <c r="Q206" s="21">
        <v>126.445887501611</v>
      </c>
      <c r="R206" s="21">
        <v>178.11969533974201</v>
      </c>
      <c r="S206" s="21">
        <v>72.577908424899107</v>
      </c>
    </row>
    <row r="207" spans="1:19">
      <c r="A207" s="9">
        <f t="shared" si="3"/>
        <v>39022</v>
      </c>
      <c r="B207" s="21">
        <v>113.46293152366</v>
      </c>
      <c r="C207" s="21">
        <v>120.609380899577</v>
      </c>
      <c r="D207" s="21">
        <v>91.906718773067894</v>
      </c>
      <c r="E207" s="21">
        <v>83.786629217534397</v>
      </c>
      <c r="F207" s="21">
        <v>84.699679805600894</v>
      </c>
      <c r="G207" s="21">
        <v>72.995289997167504</v>
      </c>
      <c r="H207" s="21">
        <v>133.006015883304</v>
      </c>
      <c r="I207" s="21">
        <v>85.259793602483597</v>
      </c>
      <c r="J207" s="21">
        <v>95.225358097729298</v>
      </c>
      <c r="K207" s="21">
        <v>100.443053976616</v>
      </c>
      <c r="L207" s="21">
        <v>148.02296123475401</v>
      </c>
      <c r="M207" s="21">
        <v>54.442626763751598</v>
      </c>
      <c r="N207" s="21">
        <v>140.99440226640601</v>
      </c>
      <c r="O207" s="21">
        <v>110.372426611519</v>
      </c>
      <c r="P207" s="21">
        <v>144.64344018737401</v>
      </c>
      <c r="Q207" s="21">
        <v>126.052653999022</v>
      </c>
      <c r="R207" s="21">
        <v>196.60259807154901</v>
      </c>
      <c r="S207" s="21">
        <v>71.870431354301701</v>
      </c>
    </row>
    <row r="208" spans="1:19">
      <c r="A208" s="9">
        <f t="shared" si="3"/>
        <v>39052</v>
      </c>
      <c r="B208" s="21">
        <v>115.403617411596</v>
      </c>
      <c r="C208" s="21">
        <v>122.75181968315501</v>
      </c>
      <c r="D208" s="21">
        <v>93.379687286178495</v>
      </c>
      <c r="E208" s="21">
        <v>84.265381010624296</v>
      </c>
      <c r="F208" s="21">
        <v>84.946379395259996</v>
      </c>
      <c r="G208" s="21">
        <v>76.216665339034506</v>
      </c>
      <c r="H208" s="21">
        <v>136.49988935665499</v>
      </c>
      <c r="I208" s="21">
        <v>86.150493083069307</v>
      </c>
      <c r="J208" s="21">
        <v>98.902773908379103</v>
      </c>
      <c r="K208" s="21">
        <v>102.151254883053</v>
      </c>
      <c r="L208" s="21">
        <v>151.44388083672101</v>
      </c>
      <c r="M208" s="21">
        <v>54.494965012397998</v>
      </c>
      <c r="N208" s="21">
        <v>143.95664385626699</v>
      </c>
      <c r="O208" s="21">
        <v>119.578020096469</v>
      </c>
      <c r="P208" s="21">
        <v>147.260667257503</v>
      </c>
      <c r="Q208" s="21">
        <v>129.71903692507499</v>
      </c>
      <c r="R208" s="21">
        <v>186.77528403388399</v>
      </c>
      <c r="S208" s="21">
        <v>78.339690178181399</v>
      </c>
    </row>
    <row r="209" spans="1:19">
      <c r="A209" s="9">
        <f t="shared" si="3"/>
        <v>39083</v>
      </c>
      <c r="B209" s="21">
        <v>110.90569625185999</v>
      </c>
      <c r="C209" s="21">
        <v>117.732588097155</v>
      </c>
      <c r="D209" s="21">
        <v>94.4468183433371</v>
      </c>
      <c r="E209" s="21">
        <v>85.834842610853798</v>
      </c>
      <c r="F209" s="21">
        <v>86.6130826369928</v>
      </c>
      <c r="G209" s="21">
        <v>76.636828583266706</v>
      </c>
      <c r="H209" s="21">
        <v>135.400391747464</v>
      </c>
      <c r="I209" s="21">
        <v>87.916226814286304</v>
      </c>
      <c r="J209" s="21">
        <v>101.996236303117</v>
      </c>
      <c r="K209" s="21">
        <v>100.823842550349</v>
      </c>
      <c r="L209" s="21">
        <v>148.67777774921299</v>
      </c>
      <c r="M209" s="21">
        <v>54.558484128742599</v>
      </c>
      <c r="N209" s="21">
        <v>141.46683960145199</v>
      </c>
      <c r="O209" s="21">
        <v>136.568851192523</v>
      </c>
      <c r="P209" s="21">
        <v>134.713040851741</v>
      </c>
      <c r="Q209" s="21">
        <v>115.425142600239</v>
      </c>
      <c r="R209" s="21">
        <v>184.561931893885</v>
      </c>
      <c r="S209" s="21">
        <v>78.935069634987201</v>
      </c>
    </row>
    <row r="210" spans="1:19">
      <c r="A210" s="9">
        <f t="shared" si="3"/>
        <v>39114</v>
      </c>
      <c r="B210" s="21">
        <v>116.903030246184</v>
      </c>
      <c r="C210" s="21">
        <v>124.104093823688</v>
      </c>
      <c r="D210" s="21">
        <v>97.4600341271329</v>
      </c>
      <c r="E210" s="21">
        <v>87.485613788135296</v>
      </c>
      <c r="F210" s="21">
        <v>88.466333702728406</v>
      </c>
      <c r="G210" s="21">
        <v>75.894491218514602</v>
      </c>
      <c r="H210" s="21">
        <v>140.07478225347401</v>
      </c>
      <c r="I210" s="21">
        <v>89.681817835085198</v>
      </c>
      <c r="J210" s="21">
        <v>104.538552968113</v>
      </c>
      <c r="K210" s="21">
        <v>105.04739542169</v>
      </c>
      <c r="L210" s="21">
        <v>154.19961872941801</v>
      </c>
      <c r="M210" s="21">
        <v>57.526847339264798</v>
      </c>
      <c r="N210" s="21">
        <v>146.93050464150801</v>
      </c>
      <c r="O210" s="21">
        <v>147.724037653099</v>
      </c>
      <c r="P210" s="21">
        <v>145.02682527237499</v>
      </c>
      <c r="Q210" s="21">
        <v>123.84042997991099</v>
      </c>
      <c r="R210" s="21">
        <v>200.89953148155101</v>
      </c>
      <c r="S210" s="21">
        <v>79.931827841417203</v>
      </c>
    </row>
    <row r="211" spans="1:19">
      <c r="A211" s="9">
        <f t="shared" si="3"/>
        <v>39142</v>
      </c>
      <c r="B211" s="21">
        <v>119.60945385344699</v>
      </c>
      <c r="C211" s="21">
        <v>127.205957627315</v>
      </c>
      <c r="D211" s="21">
        <v>99.775895534567496</v>
      </c>
      <c r="E211" s="21">
        <v>87.210634311967198</v>
      </c>
      <c r="F211" s="21">
        <v>88.247707614112599</v>
      </c>
      <c r="G211" s="21">
        <v>74.953471405433405</v>
      </c>
      <c r="H211" s="21">
        <v>148.166215726779</v>
      </c>
      <c r="I211" s="21">
        <v>89.178004373244093</v>
      </c>
      <c r="J211" s="21">
        <v>102.486738572888</v>
      </c>
      <c r="K211" s="21">
        <v>110.57551151450301</v>
      </c>
      <c r="L211" s="21">
        <v>166.32276069738299</v>
      </c>
      <c r="M211" s="21">
        <v>56.678868453772402</v>
      </c>
      <c r="N211" s="21">
        <v>157.566647134411</v>
      </c>
      <c r="O211" s="21">
        <v>162.751890564408</v>
      </c>
      <c r="P211" s="21">
        <v>148.298187080812</v>
      </c>
      <c r="Q211" s="21">
        <v>129.210150681474</v>
      </c>
      <c r="R211" s="21">
        <v>190.06690875473799</v>
      </c>
      <c r="S211" s="21">
        <v>82.154727447802301</v>
      </c>
    </row>
    <row r="212" spans="1:19">
      <c r="A212" s="9">
        <f t="shared" si="3"/>
        <v>39173</v>
      </c>
      <c r="B212" s="21">
        <v>126.414492306181</v>
      </c>
      <c r="C212" s="21">
        <v>134.55906778018999</v>
      </c>
      <c r="D212" s="21">
        <v>105.371278475643</v>
      </c>
      <c r="E212" s="21">
        <v>90.7331428325015</v>
      </c>
      <c r="F212" s="21">
        <v>92.0211665772283</v>
      </c>
      <c r="G212" s="21">
        <v>75.509998206234599</v>
      </c>
      <c r="H212" s="21">
        <v>160.81590834805399</v>
      </c>
      <c r="I212" s="21">
        <v>92.512243736531403</v>
      </c>
      <c r="J212" s="21">
        <v>104.547387257376</v>
      </c>
      <c r="K212" s="21">
        <v>119.98017820758901</v>
      </c>
      <c r="L212" s="21">
        <v>183.18135553061401</v>
      </c>
      <c r="M212" s="21">
        <v>58.877050338041997</v>
      </c>
      <c r="N212" s="21">
        <v>172.990712180381</v>
      </c>
      <c r="O212" s="21">
        <v>163.82687953926299</v>
      </c>
      <c r="P212" s="21">
        <v>156.85296119434</v>
      </c>
      <c r="Q212" s="21">
        <v>137.74963556968001</v>
      </c>
      <c r="R212" s="21">
        <v>193.777725319382</v>
      </c>
      <c r="S212" s="21">
        <v>81.838534076091193</v>
      </c>
    </row>
    <row r="213" spans="1:19">
      <c r="A213" s="9">
        <f t="shared" si="3"/>
        <v>39203</v>
      </c>
      <c r="B213" s="21">
        <v>126.76550708336001</v>
      </c>
      <c r="C213" s="21">
        <v>135.06315453212599</v>
      </c>
      <c r="D213" s="21">
        <v>105.367982973474</v>
      </c>
      <c r="E213" s="21">
        <v>90.240352983191798</v>
      </c>
      <c r="F213" s="21">
        <v>91.357954887404802</v>
      </c>
      <c r="G213" s="21">
        <v>77.031423029781095</v>
      </c>
      <c r="H213" s="21">
        <v>163.70640476546799</v>
      </c>
      <c r="I213" s="21">
        <v>92.2251305049287</v>
      </c>
      <c r="J213" s="21">
        <v>105.651621535844</v>
      </c>
      <c r="K213" s="21">
        <v>121.250907338342</v>
      </c>
      <c r="L213" s="21">
        <v>186.781850198353</v>
      </c>
      <c r="M213" s="21">
        <v>57.895353682722799</v>
      </c>
      <c r="N213" s="21">
        <v>176.09920321060201</v>
      </c>
      <c r="O213" s="21">
        <v>153.760765479875</v>
      </c>
      <c r="P213" s="21">
        <v>157.716476699857</v>
      </c>
      <c r="Q213" s="21">
        <v>138.09646583372901</v>
      </c>
      <c r="R213" s="21">
        <v>196.52058401901701</v>
      </c>
      <c r="S213" s="21">
        <v>80.782968701108402</v>
      </c>
    </row>
    <row r="214" spans="1:19">
      <c r="A214" s="9">
        <f t="shared" si="3"/>
        <v>39234</v>
      </c>
      <c r="B214" s="21">
        <v>127.07573259829201</v>
      </c>
      <c r="C214" s="21">
        <v>135.51150766016099</v>
      </c>
      <c r="D214" s="21">
        <v>102.705144699515</v>
      </c>
      <c r="E214" s="21">
        <v>90.724906013707894</v>
      </c>
      <c r="F214" s="21">
        <v>91.480083991171</v>
      </c>
      <c r="G214" s="21">
        <v>81.799462195953197</v>
      </c>
      <c r="H214" s="21">
        <v>153.70465418276899</v>
      </c>
      <c r="I214" s="21">
        <v>92.233951735703201</v>
      </c>
      <c r="J214" s="21">
        <v>102.44224391440601</v>
      </c>
      <c r="K214" s="21">
        <v>114.57424897108601</v>
      </c>
      <c r="L214" s="21">
        <v>174.08028707811701</v>
      </c>
      <c r="M214" s="21">
        <v>57.043595121391597</v>
      </c>
      <c r="N214" s="21">
        <v>164.76022006164101</v>
      </c>
      <c r="O214" s="21">
        <v>150.62821240381101</v>
      </c>
      <c r="P214" s="21">
        <v>162.32716270383</v>
      </c>
      <c r="Q214" s="21">
        <v>144.72083954668599</v>
      </c>
      <c r="R214" s="21">
        <v>193.89423366975799</v>
      </c>
      <c r="S214" s="21">
        <v>88.799579752867203</v>
      </c>
    </row>
    <row r="215" spans="1:19">
      <c r="A215" s="9">
        <f t="shared" si="3"/>
        <v>39264</v>
      </c>
      <c r="B215" s="21">
        <v>129.60975143384701</v>
      </c>
      <c r="C215" s="21">
        <v>138.243343925174</v>
      </c>
      <c r="D215" s="21">
        <v>102.500716377689</v>
      </c>
      <c r="E215" s="21">
        <v>92.470236118238702</v>
      </c>
      <c r="F215" s="21">
        <v>93.268272256775404</v>
      </c>
      <c r="G215" s="21">
        <v>83.038251961371799</v>
      </c>
      <c r="H215" s="21">
        <v>148.822231280045</v>
      </c>
      <c r="I215" s="21">
        <v>93.604299776000502</v>
      </c>
      <c r="J215" s="21">
        <v>101.275938215406</v>
      </c>
      <c r="K215" s="21">
        <v>111.78680485217301</v>
      </c>
      <c r="L215" s="21">
        <v>167.72079277857699</v>
      </c>
      <c r="M215" s="21">
        <v>57.709622095710102</v>
      </c>
      <c r="N215" s="21">
        <v>159.083742505842</v>
      </c>
      <c r="O215" s="21">
        <v>152.73729336059901</v>
      </c>
      <c r="P215" s="21">
        <v>168.82227509063901</v>
      </c>
      <c r="Q215" s="21">
        <v>154.203048877904</v>
      </c>
      <c r="R215" s="21">
        <v>177.74140018791101</v>
      </c>
      <c r="S215" s="21">
        <v>97.306782824614601</v>
      </c>
    </row>
    <row r="216" spans="1:19">
      <c r="A216" s="9">
        <f t="shared" si="3"/>
        <v>39295</v>
      </c>
      <c r="B216" s="21">
        <v>125.571371940411</v>
      </c>
      <c r="C216" s="21">
        <v>133.74705022256299</v>
      </c>
      <c r="D216" s="21">
        <v>98.741660466565705</v>
      </c>
      <c r="E216" s="21">
        <v>91.764182590134396</v>
      </c>
      <c r="F216" s="21">
        <v>92.768499111209806</v>
      </c>
      <c r="G216" s="21">
        <v>79.894171875289601</v>
      </c>
      <c r="H216" s="21">
        <v>136.25278885259399</v>
      </c>
      <c r="I216" s="21">
        <v>92.359344979506503</v>
      </c>
      <c r="J216" s="21">
        <v>96.385459944699207</v>
      </c>
      <c r="K216" s="21">
        <v>103.891016201268</v>
      </c>
      <c r="L216" s="21">
        <v>152.09913813841101</v>
      </c>
      <c r="M216" s="21">
        <v>57.283228754199897</v>
      </c>
      <c r="N216" s="21">
        <v>144.79591466756301</v>
      </c>
      <c r="O216" s="21">
        <v>152.826764411954</v>
      </c>
      <c r="P216" s="21">
        <v>164.37986120215101</v>
      </c>
      <c r="Q216" s="21">
        <v>147.74332539270199</v>
      </c>
      <c r="R216" s="21">
        <v>179.55947262556199</v>
      </c>
      <c r="S216" s="21">
        <v>99.844697083343505</v>
      </c>
    </row>
    <row r="217" spans="1:19">
      <c r="A217" s="9">
        <f t="shared" si="3"/>
        <v>39326</v>
      </c>
      <c r="B217" s="21">
        <v>131.728573296581</v>
      </c>
      <c r="C217" s="21">
        <v>140.17269730363299</v>
      </c>
      <c r="D217" s="21">
        <v>101.846172582587</v>
      </c>
      <c r="E217" s="21">
        <v>95.570401720277204</v>
      </c>
      <c r="F217" s="21">
        <v>96.547173815601994</v>
      </c>
      <c r="G217" s="21">
        <v>84.025938402028601</v>
      </c>
      <c r="H217" s="21">
        <v>137.137862812733</v>
      </c>
      <c r="I217" s="21">
        <v>96.482833067655093</v>
      </c>
      <c r="J217" s="21">
        <v>102.65518798790499</v>
      </c>
      <c r="K217" s="21">
        <v>105.11593192468401</v>
      </c>
      <c r="L217" s="21">
        <v>150.84393554326101</v>
      </c>
      <c r="M217" s="21">
        <v>60.905931879209099</v>
      </c>
      <c r="N217" s="21">
        <v>143.95130100122799</v>
      </c>
      <c r="O217" s="21">
        <v>159.91255467852201</v>
      </c>
      <c r="P217" s="21">
        <v>174.95269921961199</v>
      </c>
      <c r="Q217" s="21">
        <v>159.44969027438</v>
      </c>
      <c r="R217" s="21">
        <v>177.21022078175301</v>
      </c>
      <c r="S217" s="21">
        <v>100.50999980185399</v>
      </c>
    </row>
    <row r="218" spans="1:19">
      <c r="A218" s="9">
        <f t="shared" si="3"/>
        <v>39356</v>
      </c>
      <c r="B218" s="21">
        <v>139.44621094925799</v>
      </c>
      <c r="C218" s="21">
        <v>148.383247598118</v>
      </c>
      <c r="D218" s="21">
        <v>105.159155441056</v>
      </c>
      <c r="E218" s="21">
        <v>98.285580047326704</v>
      </c>
      <c r="F218" s="21">
        <v>99.502124327073602</v>
      </c>
      <c r="G218" s="21">
        <v>83.907250772991205</v>
      </c>
      <c r="H218" s="21">
        <v>140.70962183303399</v>
      </c>
      <c r="I218" s="21">
        <v>98.872734742682397</v>
      </c>
      <c r="J218" s="21">
        <v>102.844679791744</v>
      </c>
      <c r="K218" s="21">
        <v>109.444187749278</v>
      </c>
      <c r="L218" s="21">
        <v>155.76006824392201</v>
      </c>
      <c r="M218" s="21">
        <v>64.665826204042702</v>
      </c>
      <c r="N218" s="21">
        <v>149.06199509354801</v>
      </c>
      <c r="O218" s="21">
        <v>167.82049358296899</v>
      </c>
      <c r="P218" s="21">
        <v>189.04155701937401</v>
      </c>
      <c r="Q218" s="21">
        <v>169.271409052374</v>
      </c>
      <c r="R218" s="21">
        <v>194.54557016260401</v>
      </c>
      <c r="S218" s="21">
        <v>112.17889368597901</v>
      </c>
    </row>
    <row r="219" spans="1:19">
      <c r="A219" s="9">
        <f t="shared" si="3"/>
        <v>39387</v>
      </c>
      <c r="B219" s="21">
        <v>147.59116293131899</v>
      </c>
      <c r="C219" s="21">
        <v>156.98162527960099</v>
      </c>
      <c r="D219" s="21">
        <v>106.063782297424</v>
      </c>
      <c r="E219" s="21">
        <v>99.353317635685002</v>
      </c>
      <c r="F219" s="21">
        <v>100.663606917359</v>
      </c>
      <c r="G219" s="21">
        <v>83.867016766747696</v>
      </c>
      <c r="H219" s="21">
        <v>136.81802370720999</v>
      </c>
      <c r="I219" s="21">
        <v>100.17916463125999</v>
      </c>
      <c r="J219" s="21">
        <v>105.765799484572</v>
      </c>
      <c r="K219" s="21">
        <v>108.293246222937</v>
      </c>
      <c r="L219" s="21">
        <v>149.160570966151</v>
      </c>
      <c r="M219" s="21">
        <v>68.782568174837706</v>
      </c>
      <c r="N219" s="21">
        <v>143.63525629097799</v>
      </c>
      <c r="O219" s="21">
        <v>185.976718961291</v>
      </c>
      <c r="P219" s="21">
        <v>207.65945352660901</v>
      </c>
      <c r="Q219" s="21">
        <v>184.872815138097</v>
      </c>
      <c r="R219" s="21">
        <v>200.98833319519099</v>
      </c>
      <c r="S219" s="21">
        <v>134.11668344202201</v>
      </c>
    </row>
    <row r="220" spans="1:19">
      <c r="A220" s="9">
        <f t="shared" si="3"/>
        <v>39417</v>
      </c>
      <c r="B220" s="21">
        <v>147.760164060173</v>
      </c>
      <c r="C220" s="21">
        <v>157.19733886908099</v>
      </c>
      <c r="D220" s="21">
        <v>107.128480133674</v>
      </c>
      <c r="E220" s="21">
        <v>104.355302760342</v>
      </c>
      <c r="F220" s="21">
        <v>105.883105005196</v>
      </c>
      <c r="G220" s="21">
        <v>86.298217532711206</v>
      </c>
      <c r="H220" s="21">
        <v>129.42988043726299</v>
      </c>
      <c r="I220" s="21">
        <v>104.43456706833101</v>
      </c>
      <c r="J220" s="21">
        <v>104.970768989513</v>
      </c>
      <c r="K220" s="21">
        <v>103.258666157131</v>
      </c>
      <c r="L220" s="21">
        <v>139.15181651472699</v>
      </c>
      <c r="M220" s="21">
        <v>68.557037978094002</v>
      </c>
      <c r="N220" s="21">
        <v>134.726939824601</v>
      </c>
      <c r="O220" s="21">
        <v>202.057813346079</v>
      </c>
      <c r="P220" s="21">
        <v>206.53285234961399</v>
      </c>
      <c r="Q220" s="21">
        <v>183.220357224373</v>
      </c>
      <c r="R220" s="21">
        <v>204.687759863656</v>
      </c>
      <c r="S220" s="21">
        <v>144.07092853124001</v>
      </c>
    </row>
    <row r="221" spans="1:19">
      <c r="A221" s="9">
        <f t="shared" si="3"/>
        <v>39448</v>
      </c>
      <c r="B221" s="21">
        <v>154.374347360001</v>
      </c>
      <c r="C221" s="21">
        <v>163.77685829623499</v>
      </c>
      <c r="D221" s="21">
        <v>113.877107829946</v>
      </c>
      <c r="E221" s="21">
        <v>107.279885062966</v>
      </c>
      <c r="F221" s="21">
        <v>108.673539249811</v>
      </c>
      <c r="G221" s="21">
        <v>90.808294898413195</v>
      </c>
      <c r="H221" s="21">
        <v>143.410335217398</v>
      </c>
      <c r="I221" s="21">
        <v>107.560727407038</v>
      </c>
      <c r="J221" s="21">
        <v>109.4605510258</v>
      </c>
      <c r="K221" s="21">
        <v>115.58529329122101</v>
      </c>
      <c r="L221" s="21">
        <v>156.904596137688</v>
      </c>
      <c r="M221" s="21">
        <v>75.637641170689804</v>
      </c>
      <c r="N221" s="21">
        <v>151.424886699756</v>
      </c>
      <c r="O221" s="21">
        <v>207.824159667955</v>
      </c>
      <c r="P221" s="21">
        <v>212.95256527950201</v>
      </c>
      <c r="Q221" s="21">
        <v>184.06828274093601</v>
      </c>
      <c r="R221" s="21">
        <v>229.92993981043799</v>
      </c>
      <c r="S221" s="21">
        <v>147.735325000068</v>
      </c>
    </row>
    <row r="222" spans="1:19">
      <c r="A222" s="9">
        <f t="shared" si="3"/>
        <v>39479</v>
      </c>
      <c r="B222" s="21">
        <v>161.41780985034001</v>
      </c>
      <c r="C222" s="21">
        <v>171.320788650758</v>
      </c>
      <c r="D222" s="21">
        <v>120.08309822954701</v>
      </c>
      <c r="E222" s="21">
        <v>113.199590760438</v>
      </c>
      <c r="F222" s="21">
        <v>113.965973627758</v>
      </c>
      <c r="G222" s="21">
        <v>104.14171641917601</v>
      </c>
      <c r="H222" s="21">
        <v>150.35896565786399</v>
      </c>
      <c r="I222" s="21">
        <v>113.07472866292601</v>
      </c>
      <c r="J222" s="21">
        <v>112.23006984651499</v>
      </c>
      <c r="K222" s="21">
        <v>122.275634147299</v>
      </c>
      <c r="L222" s="21">
        <v>165.514327641232</v>
      </c>
      <c r="M222" s="21">
        <v>80.472308174929694</v>
      </c>
      <c r="N222" s="21">
        <v>161.40678542497301</v>
      </c>
      <c r="O222" s="21">
        <v>220.77657576657799</v>
      </c>
      <c r="P222" s="21">
        <v>221.207409661594</v>
      </c>
      <c r="Q222" s="21">
        <v>189.197872208728</v>
      </c>
      <c r="R222" s="21">
        <v>238.397441107589</v>
      </c>
      <c r="S222" s="21">
        <v>189.10800142841299</v>
      </c>
    </row>
    <row r="223" spans="1:19">
      <c r="A223" s="9">
        <f t="shared" si="3"/>
        <v>39508</v>
      </c>
      <c r="B223" s="21">
        <v>171.156431169478</v>
      </c>
      <c r="C223" s="21">
        <v>181.743033337936</v>
      </c>
      <c r="D223" s="21">
        <v>125.778116117864</v>
      </c>
      <c r="E223" s="21">
        <v>118.282251178005</v>
      </c>
      <c r="F223" s="21">
        <v>119.368796376559</v>
      </c>
      <c r="G223" s="21">
        <v>105.44038023557501</v>
      </c>
      <c r="H223" s="21">
        <v>157.212076294296</v>
      </c>
      <c r="I223" s="21">
        <v>117.722249106026</v>
      </c>
      <c r="J223" s="21">
        <v>113.933984318478</v>
      </c>
      <c r="K223" s="21">
        <v>128.71257097631201</v>
      </c>
      <c r="L223" s="21">
        <v>174.41412570816399</v>
      </c>
      <c r="M223" s="21">
        <v>84.528141810620198</v>
      </c>
      <c r="N223" s="21">
        <v>170.06017663291499</v>
      </c>
      <c r="O223" s="21">
        <v>236.579779739093</v>
      </c>
      <c r="P223" s="21">
        <v>236.79499959438201</v>
      </c>
      <c r="Q223" s="21">
        <v>200.072784131915</v>
      </c>
      <c r="R223" s="21">
        <v>249.16192805186299</v>
      </c>
      <c r="S223" s="21">
        <v>186.013294232644</v>
      </c>
    </row>
    <row r="224" spans="1:19">
      <c r="A224" s="9">
        <f t="shared" si="3"/>
        <v>39539</v>
      </c>
      <c r="B224" s="21">
        <v>177.783134985933</v>
      </c>
      <c r="C224" s="21">
        <v>189.65165512928101</v>
      </c>
      <c r="D224" s="21">
        <v>125.38621430832499</v>
      </c>
      <c r="E224" s="21">
        <v>118.25339060968901</v>
      </c>
      <c r="F224" s="21">
        <v>119.77199340986201</v>
      </c>
      <c r="G224" s="21">
        <v>100.30503356150599</v>
      </c>
      <c r="H224" s="21">
        <v>154.91975782092999</v>
      </c>
      <c r="I224" s="21">
        <v>117.58964332798</v>
      </c>
      <c r="J224" s="21">
        <v>113.099569842637</v>
      </c>
      <c r="K224" s="21">
        <v>124.70524000384</v>
      </c>
      <c r="L224" s="21">
        <v>171.54232381810499</v>
      </c>
      <c r="M224" s="21">
        <v>79.422977195468206</v>
      </c>
      <c r="N224" s="21">
        <v>166.61667283733101</v>
      </c>
      <c r="O224" s="21">
        <v>274.62900327146002</v>
      </c>
      <c r="P224" s="21">
        <v>253.573936368478</v>
      </c>
      <c r="Q224" s="21">
        <v>213.43695404064499</v>
      </c>
      <c r="R224" s="21">
        <v>275.493486731075</v>
      </c>
      <c r="S224" s="21">
        <v>177.866192394341</v>
      </c>
    </row>
    <row r="225" spans="1:19">
      <c r="A225" s="9">
        <f t="shared" si="3"/>
        <v>39569</v>
      </c>
      <c r="B225" s="21">
        <v>190.227412927708</v>
      </c>
      <c r="C225" s="21">
        <v>203.69445304059599</v>
      </c>
      <c r="D225" s="21">
        <v>126.83644291908401</v>
      </c>
      <c r="E225" s="21">
        <v>120.31163319078399</v>
      </c>
      <c r="F225" s="21">
        <v>121.996341871547</v>
      </c>
      <c r="G225" s="21">
        <v>100.40007177324399</v>
      </c>
      <c r="H225" s="21">
        <v>149.207488190741</v>
      </c>
      <c r="I225" s="21">
        <v>119.660091727527</v>
      </c>
      <c r="J225" s="21">
        <v>115.252587351399</v>
      </c>
      <c r="K225" s="21">
        <v>119.63220839064699</v>
      </c>
      <c r="L225" s="21">
        <v>162.70378286121101</v>
      </c>
      <c r="M225" s="21">
        <v>77.990453697276493</v>
      </c>
      <c r="N225" s="21">
        <v>158.804566767381</v>
      </c>
      <c r="O225" s="21">
        <v>342.67991489287101</v>
      </c>
      <c r="P225" s="21">
        <v>281.92082458698798</v>
      </c>
      <c r="Q225" s="21">
        <v>243.27710388208399</v>
      </c>
      <c r="R225" s="21">
        <v>293.37046934818102</v>
      </c>
      <c r="S225" s="21">
        <v>192.46502861192201</v>
      </c>
    </row>
    <row r="226" spans="1:19">
      <c r="A226" s="9">
        <f t="shared" si="3"/>
        <v>39600</v>
      </c>
      <c r="B226" s="21">
        <v>199.21914486709201</v>
      </c>
      <c r="C226" s="21">
        <v>213.69594194474701</v>
      </c>
      <c r="D226" s="21">
        <v>126.956439256997</v>
      </c>
      <c r="E226" s="21">
        <v>123.35416385594201</v>
      </c>
      <c r="F226" s="21">
        <v>124.835683282335</v>
      </c>
      <c r="G226" s="21">
        <v>105.84409497177001</v>
      </c>
      <c r="H226" s="21">
        <v>145.72457461543399</v>
      </c>
      <c r="I226" s="21">
        <v>122.541081815559</v>
      </c>
      <c r="J226" s="21">
        <v>117.040798482524</v>
      </c>
      <c r="K226" s="21">
        <v>116.911060093868</v>
      </c>
      <c r="L226" s="21">
        <v>157.12571805517501</v>
      </c>
      <c r="M226" s="21">
        <v>78.031382661899599</v>
      </c>
      <c r="N226" s="21">
        <v>153.82962205495599</v>
      </c>
      <c r="O226" s="21">
        <v>326.72246921126901</v>
      </c>
      <c r="P226" s="21">
        <v>303.74529444673101</v>
      </c>
      <c r="Q226" s="21">
        <v>261.22998350310797</v>
      </c>
      <c r="R226" s="21">
        <v>316.37081563711303</v>
      </c>
      <c r="S226" s="21">
        <v>227.10592999216701</v>
      </c>
    </row>
    <row r="227" spans="1:19">
      <c r="A227" s="9">
        <f t="shared" si="3"/>
        <v>39630</v>
      </c>
      <c r="B227" s="21">
        <v>200.80500453711201</v>
      </c>
      <c r="C227" s="21">
        <v>215.00551665428699</v>
      </c>
      <c r="D227" s="21">
        <v>126.043332405895</v>
      </c>
      <c r="E227" s="21">
        <v>122.918527697333</v>
      </c>
      <c r="F227" s="21">
        <v>124.27142566337901</v>
      </c>
      <c r="G227" s="21">
        <v>106.928635052868</v>
      </c>
      <c r="H227" s="21">
        <v>145.474284596806</v>
      </c>
      <c r="I227" s="21">
        <v>122.453914141214</v>
      </c>
      <c r="J227" s="21">
        <v>119.31092724431601</v>
      </c>
      <c r="K227" s="21">
        <v>117.965751404301</v>
      </c>
      <c r="L227" s="21">
        <v>155.87361935171299</v>
      </c>
      <c r="M227" s="21">
        <v>81.316286939201603</v>
      </c>
      <c r="N227" s="21">
        <v>152.48006531246401</v>
      </c>
      <c r="O227" s="21">
        <v>287.38272326419298</v>
      </c>
      <c r="P227" s="21">
        <v>308.94584507214603</v>
      </c>
      <c r="Q227" s="21">
        <v>261.15871395562601</v>
      </c>
      <c r="R227" s="21">
        <v>317.77986550681601</v>
      </c>
      <c r="S227" s="21">
        <v>268.89277722947099</v>
      </c>
    </row>
    <row r="228" spans="1:19">
      <c r="A228" s="9">
        <f t="shared" si="3"/>
        <v>39661</v>
      </c>
      <c r="B228" s="21">
        <v>179.82546001710901</v>
      </c>
      <c r="C228" s="21">
        <v>192.56556062317799</v>
      </c>
      <c r="D228" s="21">
        <v>118.215283292027</v>
      </c>
      <c r="E228" s="21">
        <v>114.200146176529</v>
      </c>
      <c r="F228" s="21">
        <v>114.925955686283</v>
      </c>
      <c r="G228" s="21">
        <v>105.62180809594</v>
      </c>
      <c r="H228" s="21">
        <v>136.86314191640199</v>
      </c>
      <c r="I228" s="21">
        <v>114.13081903242499</v>
      </c>
      <c r="J228" s="21">
        <v>113.661839376857</v>
      </c>
      <c r="K228" s="21">
        <v>107.92167123953401</v>
      </c>
      <c r="L228" s="21">
        <v>146.08512778801401</v>
      </c>
      <c r="M228" s="21">
        <v>71.025102786272697</v>
      </c>
      <c r="N228" s="21">
        <v>140.84011201868299</v>
      </c>
      <c r="O228" s="21">
        <v>314.95370811202901</v>
      </c>
      <c r="P228" s="21">
        <v>268.94299988257302</v>
      </c>
      <c r="Q228" s="21">
        <v>231.961280483911</v>
      </c>
      <c r="R228" s="21">
        <v>279.58550406944499</v>
      </c>
      <c r="S228" s="21">
        <v>245.24287078905601</v>
      </c>
    </row>
    <row r="229" spans="1:19">
      <c r="A229" s="9">
        <f t="shared" si="3"/>
        <v>39692</v>
      </c>
      <c r="B229" s="21">
        <v>164.874670760268</v>
      </c>
      <c r="C229" s="21">
        <v>176.00578817808099</v>
      </c>
      <c r="D229" s="21">
        <v>112.13738901258399</v>
      </c>
      <c r="E229" s="21">
        <v>106.57493063663</v>
      </c>
      <c r="F229" s="21">
        <v>107.04110521700299</v>
      </c>
      <c r="G229" s="21">
        <v>101.06521617123001</v>
      </c>
      <c r="H229" s="21">
        <v>130.656273048831</v>
      </c>
      <c r="I229" s="21">
        <v>107.275359576927</v>
      </c>
      <c r="J229" s="21">
        <v>112.013574707689</v>
      </c>
      <c r="K229" s="21">
        <v>102.60838944451901</v>
      </c>
      <c r="L229" s="21">
        <v>138.06631825718699</v>
      </c>
      <c r="M229" s="21">
        <v>68.327535036440906</v>
      </c>
      <c r="N229" s="21">
        <v>131.819514298146</v>
      </c>
      <c r="O229" s="21">
        <v>313.82746367380201</v>
      </c>
      <c r="P229" s="21">
        <v>241.15779569784101</v>
      </c>
      <c r="Q229" s="21">
        <v>206.21797459245599</v>
      </c>
      <c r="R229" s="21">
        <v>265.931949338197</v>
      </c>
      <c r="S229" s="21">
        <v>234.96490914299201</v>
      </c>
    </row>
    <row r="230" spans="1:19">
      <c r="A230" s="9">
        <f t="shared" si="3"/>
        <v>39722</v>
      </c>
      <c r="B230" s="21">
        <v>134.84496571082801</v>
      </c>
      <c r="C230" s="21">
        <v>142.79007495491001</v>
      </c>
      <c r="D230" s="21">
        <v>97.704233859622406</v>
      </c>
      <c r="E230" s="21">
        <v>93.5912954028679</v>
      </c>
      <c r="F230" s="21">
        <v>94.221475616023596</v>
      </c>
      <c r="G230" s="21">
        <v>86.143199383865706</v>
      </c>
      <c r="H230" s="21">
        <v>107.52049097490401</v>
      </c>
      <c r="I230" s="21">
        <v>94.323142484617705</v>
      </c>
      <c r="J230" s="21">
        <v>99.273892970000304</v>
      </c>
      <c r="K230" s="21">
        <v>87.314009834551101</v>
      </c>
      <c r="L230" s="21">
        <v>110.79832462930599</v>
      </c>
      <c r="M230" s="21">
        <v>64.609288963633105</v>
      </c>
      <c r="N230" s="21">
        <v>105.668132993764</v>
      </c>
      <c r="O230" s="21">
        <v>282.86421706150202</v>
      </c>
      <c r="P230" s="21">
        <v>188.568081392702</v>
      </c>
      <c r="Q230" s="21">
        <v>152.524762701632</v>
      </c>
      <c r="R230" s="21">
        <v>269.55057447721401</v>
      </c>
      <c r="S230" s="21">
        <v>174.591504948855</v>
      </c>
    </row>
    <row r="231" spans="1:19">
      <c r="A231" s="9">
        <f t="shared" si="3"/>
        <v>39753</v>
      </c>
      <c r="B231" s="21">
        <v>114.359717603231</v>
      </c>
      <c r="C231" s="21">
        <v>120.401993050819</v>
      </c>
      <c r="D231" s="21">
        <v>89.581493827474901</v>
      </c>
      <c r="E231" s="21">
        <v>87.886468963265699</v>
      </c>
      <c r="F231" s="21">
        <v>88.266626706664297</v>
      </c>
      <c r="G231" s="21">
        <v>83.393386958959297</v>
      </c>
      <c r="H231" s="21">
        <v>97.511544976560899</v>
      </c>
      <c r="I231" s="21">
        <v>88.857878293874705</v>
      </c>
      <c r="J231" s="21">
        <v>95.429203554226703</v>
      </c>
      <c r="K231" s="21">
        <v>79.347273790469202</v>
      </c>
      <c r="L231" s="21">
        <v>98.339227954441498</v>
      </c>
      <c r="M231" s="21">
        <v>60.985783499828301</v>
      </c>
      <c r="N231" s="21">
        <v>94.223364164798895</v>
      </c>
      <c r="O231" s="21">
        <v>224.779802531743</v>
      </c>
      <c r="P231" s="21">
        <v>150.20078254587401</v>
      </c>
      <c r="Q231" s="21">
        <v>115.21568918513</v>
      </c>
      <c r="R231" s="21">
        <v>250.888608446511</v>
      </c>
      <c r="S231" s="21">
        <v>144.490640756874</v>
      </c>
    </row>
    <row r="232" spans="1:19">
      <c r="A232" s="9">
        <f t="shared" si="3"/>
        <v>39783</v>
      </c>
      <c r="B232" s="21">
        <v>101.830573126809</v>
      </c>
      <c r="C232" s="21">
        <v>105.954903876743</v>
      </c>
      <c r="D232" s="21">
        <v>87.421973282106904</v>
      </c>
      <c r="E232" s="21">
        <v>87.202318706957996</v>
      </c>
      <c r="F232" s="21">
        <v>87.588102089441094</v>
      </c>
      <c r="G232" s="21">
        <v>82.642747309307794</v>
      </c>
      <c r="H232" s="21">
        <v>92.568782765873806</v>
      </c>
      <c r="I232" s="21">
        <v>87.415935709693599</v>
      </c>
      <c r="J232" s="21">
        <v>88.860997808528197</v>
      </c>
      <c r="K232" s="21">
        <v>79.216139971687497</v>
      </c>
      <c r="L232" s="21">
        <v>94.042542285768903</v>
      </c>
      <c r="M232" s="21">
        <v>64.881920344537903</v>
      </c>
      <c r="N232" s="21">
        <v>90.408755076401803</v>
      </c>
      <c r="O232" s="21">
        <v>185.43212577601301</v>
      </c>
      <c r="P232" s="21">
        <v>122.672243112524</v>
      </c>
      <c r="Q232" s="21">
        <v>84.931812657379893</v>
      </c>
      <c r="R232" s="21">
        <v>231.945074149547</v>
      </c>
      <c r="S232" s="21">
        <v>117.793388045246</v>
      </c>
    </row>
    <row r="233" spans="1:19">
      <c r="A233" s="9">
        <f t="shared" si="3"/>
        <v>39814</v>
      </c>
      <c r="B233" s="21">
        <v>104.47641419441599</v>
      </c>
      <c r="C233" s="21">
        <v>108.51402373793501</v>
      </c>
      <c r="D233" s="21">
        <v>90.026201030950205</v>
      </c>
      <c r="E233" s="21">
        <v>88.931466470826095</v>
      </c>
      <c r="F233" s="21">
        <v>89.054414083188803</v>
      </c>
      <c r="G233" s="21">
        <v>87.478349405154404</v>
      </c>
      <c r="H233" s="21">
        <v>96.146009431389203</v>
      </c>
      <c r="I233" s="21">
        <v>89.280561009045101</v>
      </c>
      <c r="J233" s="21">
        <v>91.642092533363197</v>
      </c>
      <c r="K233" s="21">
        <v>83.062119250702494</v>
      </c>
      <c r="L233" s="21">
        <v>97.936213146448694</v>
      </c>
      <c r="M233" s="21">
        <v>68.681791229117707</v>
      </c>
      <c r="N233" s="21">
        <v>94.6053261517431</v>
      </c>
      <c r="O233" s="21">
        <v>186.60830023285399</v>
      </c>
      <c r="P233" s="21">
        <v>125.378276778027</v>
      </c>
      <c r="Q233" s="21">
        <v>91.262976623244995</v>
      </c>
      <c r="R233" s="21">
        <v>218.019211953981</v>
      </c>
      <c r="S233" s="21">
        <v>120.314214072243</v>
      </c>
    </row>
    <row r="234" spans="1:19">
      <c r="A234" s="9">
        <f t="shared" si="3"/>
        <v>39845</v>
      </c>
      <c r="B234" s="21">
        <v>100.923333551798</v>
      </c>
      <c r="C234" s="21">
        <v>103.793456212096</v>
      </c>
      <c r="D234" s="21">
        <v>89.309517270970105</v>
      </c>
      <c r="E234" s="21">
        <v>85.2386339582945</v>
      </c>
      <c r="F234" s="21">
        <v>85.038903788816199</v>
      </c>
      <c r="G234" s="21">
        <v>87.599243588859494</v>
      </c>
      <c r="H234" s="21">
        <v>94.404634860355898</v>
      </c>
      <c r="I234" s="21">
        <v>85.615630449663797</v>
      </c>
      <c r="J234" s="21">
        <v>88.165911251728801</v>
      </c>
      <c r="K234" s="21">
        <v>86.137628738716302</v>
      </c>
      <c r="L234" s="21">
        <v>96.884384472585495</v>
      </c>
      <c r="M234" s="21">
        <v>75.747626248206004</v>
      </c>
      <c r="N234" s="21">
        <v>94.696103367776601</v>
      </c>
      <c r="O234" s="21">
        <v>194.01172612285299</v>
      </c>
      <c r="P234" s="21">
        <v>117.722420819723</v>
      </c>
      <c r="Q234" s="21">
        <v>89.500953316478999</v>
      </c>
      <c r="R234" s="21">
        <v>195.758433552253</v>
      </c>
      <c r="S234" s="21">
        <v>113.61971780315901</v>
      </c>
    </row>
    <row r="235" spans="1:19">
      <c r="A235" s="9">
        <f t="shared" si="3"/>
        <v>39873</v>
      </c>
      <c r="B235" s="21">
        <v>100.90651046804</v>
      </c>
      <c r="C235" s="21">
        <v>103.94591792447299</v>
      </c>
      <c r="D235" s="21">
        <v>88.505743830665693</v>
      </c>
      <c r="E235" s="21">
        <v>86.244514042346395</v>
      </c>
      <c r="F235" s="21">
        <v>86.410087658781194</v>
      </c>
      <c r="G235" s="21">
        <v>84.287600499719403</v>
      </c>
      <c r="H235" s="21">
        <v>90.705611449913107</v>
      </c>
      <c r="I235" s="21">
        <v>86.153590113779401</v>
      </c>
      <c r="J235" s="21">
        <v>85.538513966437307</v>
      </c>
      <c r="K235" s="21">
        <v>83.4705171418302</v>
      </c>
      <c r="L235" s="21">
        <v>92.759414244331296</v>
      </c>
      <c r="M235" s="21">
        <v>74.489977673075302</v>
      </c>
      <c r="N235" s="21">
        <v>91.095931962743606</v>
      </c>
      <c r="O235" s="21">
        <v>191.153339270164</v>
      </c>
      <c r="P235" s="21">
        <v>118.843901235475</v>
      </c>
      <c r="Q235" s="21">
        <v>100.59388812254301</v>
      </c>
      <c r="R235" s="21">
        <v>167.51255944573199</v>
      </c>
      <c r="S235" s="21">
        <v>92.062467463903801</v>
      </c>
    </row>
    <row r="236" spans="1:19">
      <c r="A236" s="9">
        <f t="shared" si="3"/>
        <v>39904</v>
      </c>
      <c r="B236" s="21">
        <v>102.90571801242901</v>
      </c>
      <c r="C236" s="21">
        <v>106.480079836496</v>
      </c>
      <c r="D236" s="21">
        <v>91.637297079343995</v>
      </c>
      <c r="E236" s="21">
        <v>92.264609383554003</v>
      </c>
      <c r="F236" s="21">
        <v>92.767895450904902</v>
      </c>
      <c r="G236" s="21">
        <v>86.316274484423403</v>
      </c>
      <c r="H236" s="21">
        <v>95.506729188067197</v>
      </c>
      <c r="I236" s="21">
        <v>91.818641837935104</v>
      </c>
      <c r="J236" s="21">
        <v>88.801790233281807</v>
      </c>
      <c r="K236" s="21">
        <v>85.0229977062844</v>
      </c>
      <c r="L236" s="21">
        <v>98.171788712448105</v>
      </c>
      <c r="M236" s="21">
        <v>72.310698787022304</v>
      </c>
      <c r="N236" s="21">
        <v>96.110773286783299</v>
      </c>
      <c r="O236" s="21">
        <v>167.26779586835499</v>
      </c>
      <c r="P236" s="21">
        <v>119.205199771848</v>
      </c>
      <c r="Q236" s="21">
        <v>107.14742071473199</v>
      </c>
      <c r="R236" s="21">
        <v>140.477175327559</v>
      </c>
      <c r="S236" s="21">
        <v>95.878181505041695</v>
      </c>
    </row>
    <row r="237" spans="1:19">
      <c r="A237" s="9">
        <f t="shared" si="3"/>
        <v>39934</v>
      </c>
      <c r="B237" s="21">
        <v>111.765340116571</v>
      </c>
      <c r="C237" s="21">
        <v>115.993590913056</v>
      </c>
      <c r="D237" s="21">
        <v>96.407587359207298</v>
      </c>
      <c r="E237" s="21">
        <v>98.323559885921199</v>
      </c>
      <c r="F237" s="21">
        <v>99.118807887348098</v>
      </c>
      <c r="G237" s="21">
        <v>88.924528704210204</v>
      </c>
      <c r="H237" s="21">
        <v>100.932779857369</v>
      </c>
      <c r="I237" s="21">
        <v>97.651345815248206</v>
      </c>
      <c r="J237" s="21">
        <v>93.103996758792405</v>
      </c>
      <c r="K237" s="21">
        <v>89.477996627744005</v>
      </c>
      <c r="L237" s="21">
        <v>104.044541664877</v>
      </c>
      <c r="M237" s="21">
        <v>75.395007960106895</v>
      </c>
      <c r="N237" s="21">
        <v>101.677864373662</v>
      </c>
      <c r="O237" s="21">
        <v>156.56997354134299</v>
      </c>
      <c r="P237" s="21">
        <v>133.97993543749399</v>
      </c>
      <c r="Q237" s="21">
        <v>122.66779124673801</v>
      </c>
      <c r="R237" s="21">
        <v>146.30834148891199</v>
      </c>
      <c r="S237" s="21">
        <v>92.678469245082198</v>
      </c>
    </row>
    <row r="238" spans="1:19">
      <c r="A238" s="9">
        <f t="shared" si="3"/>
        <v>39965</v>
      </c>
      <c r="B238" s="21">
        <v>120.511184207531</v>
      </c>
      <c r="C238" s="21">
        <v>125.574561435294</v>
      </c>
      <c r="D238" s="21">
        <v>98.062276476047799</v>
      </c>
      <c r="E238" s="21">
        <v>97.161077387380402</v>
      </c>
      <c r="F238" s="21">
        <v>97.753803055568795</v>
      </c>
      <c r="G238" s="21">
        <v>90.155656402344206</v>
      </c>
      <c r="H238" s="21">
        <v>109.062725580567</v>
      </c>
      <c r="I238" s="21">
        <v>96.444932653490596</v>
      </c>
      <c r="J238" s="21">
        <v>91.600404367018598</v>
      </c>
      <c r="K238" s="21">
        <v>96.281351868997206</v>
      </c>
      <c r="L238" s="21">
        <v>116.003597940747</v>
      </c>
      <c r="M238" s="21">
        <v>77.213812708491602</v>
      </c>
      <c r="N238" s="21">
        <v>112.879586483994</v>
      </c>
      <c r="O238" s="21">
        <v>148.583857741516</v>
      </c>
      <c r="P238" s="21">
        <v>152.982953256721</v>
      </c>
      <c r="Q238" s="21">
        <v>142.93112853002501</v>
      </c>
      <c r="R238" s="21">
        <v>146.70353887677899</v>
      </c>
      <c r="S238" s="21">
        <v>100.765007241907</v>
      </c>
    </row>
    <row r="239" spans="1:19">
      <c r="A239" s="9">
        <f t="shared" si="3"/>
        <v>39995</v>
      </c>
      <c r="B239" s="21">
        <v>116.330294303188</v>
      </c>
      <c r="C239" s="21">
        <v>121.02438001158001</v>
      </c>
      <c r="D239" s="21">
        <v>97.571565676225603</v>
      </c>
      <c r="E239" s="21">
        <v>93.6510844163152</v>
      </c>
      <c r="F239" s="21">
        <v>93.945081613517104</v>
      </c>
      <c r="G239" s="21">
        <v>90.176333371512698</v>
      </c>
      <c r="H239" s="21">
        <v>116.12735991569301</v>
      </c>
      <c r="I239" s="21">
        <v>93.448859070953603</v>
      </c>
      <c r="J239" s="21">
        <v>92.080858498604101</v>
      </c>
      <c r="K239" s="21">
        <v>100.30887705224799</v>
      </c>
      <c r="L239" s="21">
        <v>125.68529296501799</v>
      </c>
      <c r="M239" s="21">
        <v>75.774865945719696</v>
      </c>
      <c r="N239" s="21">
        <v>120.904923045597</v>
      </c>
      <c r="O239" s="21">
        <v>139.534876528681</v>
      </c>
      <c r="P239" s="21">
        <v>143.46431395871201</v>
      </c>
      <c r="Q239" s="21">
        <v>134.40546501114301</v>
      </c>
      <c r="R239" s="21">
        <v>132.21689173708799</v>
      </c>
      <c r="S239" s="21">
        <v>102.48430649264201</v>
      </c>
    </row>
    <row r="240" spans="1:19">
      <c r="A240" s="9">
        <f t="shared" si="3"/>
        <v>40026</v>
      </c>
      <c r="B240" s="21">
        <v>122.80467592510701</v>
      </c>
      <c r="C240" s="21">
        <v>128.09394462589401</v>
      </c>
      <c r="D240" s="21">
        <v>100.638335950834</v>
      </c>
      <c r="E240" s="21">
        <v>92.400422892673006</v>
      </c>
      <c r="F240" s="21">
        <v>92.316775796513099</v>
      </c>
      <c r="G240" s="21">
        <v>93.389047401828407</v>
      </c>
      <c r="H240" s="21">
        <v>131.72964687068301</v>
      </c>
      <c r="I240" s="21">
        <v>92.865298407179907</v>
      </c>
      <c r="J240" s="21">
        <v>96.010057382763705</v>
      </c>
      <c r="K240" s="21">
        <v>111.189162192629</v>
      </c>
      <c r="L240" s="21">
        <v>145.92736482362699</v>
      </c>
      <c r="M240" s="21">
        <v>77.604141672023999</v>
      </c>
      <c r="N240" s="21">
        <v>139.60188770462301</v>
      </c>
      <c r="O240" s="21">
        <v>115.452559958007</v>
      </c>
      <c r="P240" s="21">
        <v>154.867717963492</v>
      </c>
      <c r="Q240" s="21">
        <v>147.91817254837599</v>
      </c>
      <c r="R240" s="21">
        <v>126.308582797593</v>
      </c>
      <c r="S240" s="21">
        <v>105.351601674534</v>
      </c>
    </row>
    <row r="241" spans="1:19">
      <c r="A241" s="9">
        <f t="shared" si="3"/>
        <v>40057</v>
      </c>
      <c r="B241" s="21">
        <v>119.11479199935</v>
      </c>
      <c r="C241" s="21">
        <v>123.558729620427</v>
      </c>
      <c r="D241" s="21">
        <v>98.7557185099284</v>
      </c>
      <c r="E241" s="21">
        <v>91.132315138891798</v>
      </c>
      <c r="F241" s="21">
        <v>90.642845063823898</v>
      </c>
      <c r="G241" s="21">
        <v>96.917358911177899</v>
      </c>
      <c r="H241" s="21">
        <v>123.894668746813</v>
      </c>
      <c r="I241" s="21">
        <v>91.940466618032502</v>
      </c>
      <c r="J241" s="21">
        <v>97.407396018163695</v>
      </c>
      <c r="K241" s="21">
        <v>107.69421166451301</v>
      </c>
      <c r="L241" s="21">
        <v>134.422752438011</v>
      </c>
      <c r="M241" s="21">
        <v>81.852961329853002</v>
      </c>
      <c r="N241" s="21">
        <v>130.22256004293999</v>
      </c>
      <c r="O241" s="21">
        <v>115.470145320583</v>
      </c>
      <c r="P241" s="21">
        <v>148.56366943746301</v>
      </c>
      <c r="Q241" s="21">
        <v>138.85252615089499</v>
      </c>
      <c r="R241" s="21">
        <v>124.626144200624</v>
      </c>
      <c r="S241" s="21">
        <v>99.876246115273702</v>
      </c>
    </row>
    <row r="242" spans="1:19">
      <c r="A242" s="9">
        <f t="shared" si="3"/>
        <v>40087</v>
      </c>
      <c r="B242" s="21">
        <v>126.625529087361</v>
      </c>
      <c r="C242" s="21">
        <v>131.497137202744</v>
      </c>
      <c r="D242" s="21">
        <v>102.247173492751</v>
      </c>
      <c r="E242" s="21">
        <v>93.858894778767095</v>
      </c>
      <c r="F242" s="21">
        <v>93.408939180010094</v>
      </c>
      <c r="G242" s="21">
        <v>99.1769172013489</v>
      </c>
      <c r="H242" s="21">
        <v>129.30504626090701</v>
      </c>
      <c r="I242" s="21">
        <v>94.7669621669001</v>
      </c>
      <c r="J242" s="21">
        <v>100.909796065766</v>
      </c>
      <c r="K242" s="21">
        <v>112.685376282292</v>
      </c>
      <c r="L242" s="21">
        <v>140.591507254818</v>
      </c>
      <c r="M242" s="21">
        <v>85.705627464585106</v>
      </c>
      <c r="N242" s="21">
        <v>136.23317243595801</v>
      </c>
      <c r="O242" s="21">
        <v>113.104898477132</v>
      </c>
      <c r="P242" s="21">
        <v>161.88819496562101</v>
      </c>
      <c r="Q242" s="21">
        <v>149.66648599484901</v>
      </c>
      <c r="R242" s="21">
        <v>140.81670185907399</v>
      </c>
      <c r="S242" s="21">
        <v>103.670507261124</v>
      </c>
    </row>
    <row r="243" spans="1:19">
      <c r="A243" s="9">
        <f t="shared" si="3"/>
        <v>40118</v>
      </c>
      <c r="B243" s="21">
        <v>131.50021602874401</v>
      </c>
      <c r="C243" s="21">
        <v>136.16317040150699</v>
      </c>
      <c r="D243" s="21">
        <v>106.762695176249</v>
      </c>
      <c r="E243" s="21">
        <v>96.2333097662314</v>
      </c>
      <c r="F243" s="21">
        <v>96.091018248406399</v>
      </c>
      <c r="G243" s="21">
        <v>97.915052330224896</v>
      </c>
      <c r="H243" s="21">
        <v>136.262474694426</v>
      </c>
      <c r="I243" s="21">
        <v>97.405229630443102</v>
      </c>
      <c r="J243" s="21">
        <v>105.332955218557</v>
      </c>
      <c r="K243" s="21">
        <v>119.89948138656</v>
      </c>
      <c r="L243" s="21">
        <v>148.556249629522</v>
      </c>
      <c r="M243" s="21">
        <v>92.194013728448198</v>
      </c>
      <c r="N243" s="21">
        <v>143.84757834450801</v>
      </c>
      <c r="O243" s="21">
        <v>119.402979215391</v>
      </c>
      <c r="P243" s="21">
        <v>167.28240523722701</v>
      </c>
      <c r="Q243" s="21">
        <v>155.39785350788901</v>
      </c>
      <c r="R243" s="21">
        <v>135.75724746422301</v>
      </c>
      <c r="S243" s="21">
        <v>110.00955694292399</v>
      </c>
    </row>
    <row r="244" spans="1:19">
      <c r="A244" s="9">
        <f t="shared" si="3"/>
        <v>40148</v>
      </c>
      <c r="B244" s="21">
        <v>134.07783312344401</v>
      </c>
      <c r="C244" s="21">
        <v>138.96272254288101</v>
      </c>
      <c r="D244" s="21">
        <v>109.87860359844299</v>
      </c>
      <c r="E244" s="21">
        <v>98.038151976054095</v>
      </c>
      <c r="F244" s="21">
        <v>97.808403231424506</v>
      </c>
      <c r="G244" s="21">
        <v>100.75355095958901</v>
      </c>
      <c r="H244" s="21">
        <v>143.280079995108</v>
      </c>
      <c r="I244" s="21">
        <v>99.660242236836496</v>
      </c>
      <c r="J244" s="21">
        <v>110.633250596317</v>
      </c>
      <c r="K244" s="21">
        <v>124.047091331167</v>
      </c>
      <c r="L244" s="21">
        <v>156.25644625538399</v>
      </c>
      <c r="M244" s="21">
        <v>92.906969961733395</v>
      </c>
      <c r="N244" s="21">
        <v>150.85096360545199</v>
      </c>
      <c r="O244" s="21">
        <v>125.79228214953601</v>
      </c>
      <c r="P244" s="21">
        <v>169.08139773795199</v>
      </c>
      <c r="Q244" s="21">
        <v>151.70144508048</v>
      </c>
      <c r="R244" s="21">
        <v>160.21164941907799</v>
      </c>
      <c r="S244" s="21">
        <v>116.631571364371</v>
      </c>
    </row>
    <row r="245" spans="1:19">
      <c r="A245" s="9">
        <f t="shared" si="3"/>
        <v>40179</v>
      </c>
      <c r="B245" s="21">
        <v>139.843361226604</v>
      </c>
      <c r="C245" s="21">
        <v>145.53240530343001</v>
      </c>
      <c r="D245" s="21">
        <v>113.17430233528501</v>
      </c>
      <c r="E245" s="21">
        <v>98.638342629286498</v>
      </c>
      <c r="F245" s="21">
        <v>98.531685642703906</v>
      </c>
      <c r="G245" s="21">
        <v>99.898920890204707</v>
      </c>
      <c r="H245" s="21">
        <v>155.12889820993601</v>
      </c>
      <c r="I245" s="21">
        <v>100.556294623634</v>
      </c>
      <c r="J245" s="21">
        <v>113.53072876943099</v>
      </c>
      <c r="K245" s="21">
        <v>131.40405338531801</v>
      </c>
      <c r="L245" s="21">
        <v>171.66321692809601</v>
      </c>
      <c r="M245" s="21">
        <v>92.481347795477703</v>
      </c>
      <c r="N245" s="21">
        <v>165.24245036198701</v>
      </c>
      <c r="O245" s="21">
        <v>124.06821569970801</v>
      </c>
      <c r="P245" s="21">
        <v>178.41947064967201</v>
      </c>
      <c r="Q245" s="21">
        <v>158.355635333544</v>
      </c>
      <c r="R245" s="21">
        <v>176.02274007984499</v>
      </c>
      <c r="S245" s="21">
        <v>138.317362313019</v>
      </c>
    </row>
    <row r="246" spans="1:19">
      <c r="A246" s="9">
        <f t="shared" si="3"/>
        <v>40210</v>
      </c>
      <c r="B246" s="21">
        <v>136.566600881157</v>
      </c>
      <c r="C246" s="21">
        <v>142.08930220634301</v>
      </c>
      <c r="D246" s="21">
        <v>111.78053689476199</v>
      </c>
      <c r="E246" s="21">
        <v>98.247838145986606</v>
      </c>
      <c r="F246" s="21">
        <v>98.396228470944905</v>
      </c>
      <c r="G246" s="21">
        <v>96.494013818425003</v>
      </c>
      <c r="H246" s="21">
        <v>152.09445570685699</v>
      </c>
      <c r="I246" s="21">
        <v>100.254274494784</v>
      </c>
      <c r="J246" s="21">
        <v>113.827281719119</v>
      </c>
      <c r="K246" s="21">
        <v>128.041278593551</v>
      </c>
      <c r="L246" s="21">
        <v>167.30478009532499</v>
      </c>
      <c r="M246" s="21">
        <v>90.081182682568894</v>
      </c>
      <c r="N246" s="21">
        <v>160.62119023627301</v>
      </c>
      <c r="O246" s="21">
        <v>126.405353837067</v>
      </c>
      <c r="P246" s="21">
        <v>172.41900648732801</v>
      </c>
      <c r="Q246" s="21">
        <v>156.00269633755599</v>
      </c>
      <c r="R246" s="21">
        <v>167.89796132401801</v>
      </c>
      <c r="S246" s="21">
        <v>134.27937609684</v>
      </c>
    </row>
    <row r="247" spans="1:19">
      <c r="A247" s="9">
        <f t="shared" si="3"/>
        <v>40238</v>
      </c>
      <c r="B247" s="21">
        <v>141.516296754687</v>
      </c>
      <c r="C247" s="21">
        <v>147.436519670102</v>
      </c>
      <c r="D247" s="21">
        <v>116.954763029579</v>
      </c>
      <c r="E247" s="21">
        <v>100.80036363718</v>
      </c>
      <c r="F247" s="21">
        <v>101.22307165790301</v>
      </c>
      <c r="G247" s="21">
        <v>95.804380169877106</v>
      </c>
      <c r="H247" s="21">
        <v>164.883682149376</v>
      </c>
      <c r="I247" s="21">
        <v>103.15074698052101</v>
      </c>
      <c r="J247" s="21">
        <v>119.05046396792601</v>
      </c>
      <c r="K247" s="21">
        <v>136.888055575648</v>
      </c>
      <c r="L247" s="21">
        <v>183.101335653935</v>
      </c>
      <c r="M247" s="21">
        <v>92.208888485733297</v>
      </c>
      <c r="N247" s="21">
        <v>175.46042914852899</v>
      </c>
      <c r="O247" s="21">
        <v>128.99114067809001</v>
      </c>
      <c r="P247" s="21">
        <v>177.043925098805</v>
      </c>
      <c r="Q247" s="21">
        <v>167.564858256451</v>
      </c>
      <c r="R247" s="21">
        <v>155.23778479670301</v>
      </c>
      <c r="S247" s="21">
        <v>135.874204422791</v>
      </c>
    </row>
    <row r="248" spans="1:19">
      <c r="A248" s="9">
        <f t="shared" si="3"/>
        <v>40269</v>
      </c>
      <c r="B248" s="21">
        <v>149.32180099014599</v>
      </c>
      <c r="C248" s="21">
        <v>155.80470105847101</v>
      </c>
      <c r="D248" s="21">
        <v>124.079456383037</v>
      </c>
      <c r="E248" s="21">
        <v>103.44626845663301</v>
      </c>
      <c r="F248" s="21">
        <v>103.827203301952</v>
      </c>
      <c r="G248" s="21">
        <v>98.944001889566593</v>
      </c>
      <c r="H248" s="21">
        <v>184.493923508634</v>
      </c>
      <c r="I248" s="21">
        <v>106.402357738577</v>
      </c>
      <c r="J248" s="21">
        <v>126.399513992081</v>
      </c>
      <c r="K248" s="21">
        <v>150.719125062584</v>
      </c>
      <c r="L248" s="21">
        <v>207.58511948214499</v>
      </c>
      <c r="M248" s="21">
        <v>95.740875042207904</v>
      </c>
      <c r="N248" s="21">
        <v>198.18550058698301</v>
      </c>
      <c r="O248" s="21">
        <v>126.207440951321</v>
      </c>
      <c r="P248" s="21">
        <v>185.834204807128</v>
      </c>
      <c r="Q248" s="21">
        <v>178.58749312318301</v>
      </c>
      <c r="R248" s="21">
        <v>158.449544349185</v>
      </c>
      <c r="S248" s="21">
        <v>144.400117432819</v>
      </c>
    </row>
    <row r="249" spans="1:19">
      <c r="A249" s="9">
        <f t="shared" si="3"/>
        <v>40299</v>
      </c>
      <c r="B249" s="21">
        <v>140.45015569033399</v>
      </c>
      <c r="C249" s="21">
        <v>145.415136955706</v>
      </c>
      <c r="D249" s="21">
        <v>119.06596792013001</v>
      </c>
      <c r="E249" s="21">
        <v>100.17330292732299</v>
      </c>
      <c r="F249" s="21">
        <v>100.359202651754</v>
      </c>
      <c r="G249" s="21">
        <v>97.976155240737</v>
      </c>
      <c r="H249" s="21">
        <v>169.126904359995</v>
      </c>
      <c r="I249" s="21">
        <v>103.251748476381</v>
      </c>
      <c r="J249" s="21">
        <v>124.07661227139801</v>
      </c>
      <c r="K249" s="21">
        <v>142.454488704477</v>
      </c>
      <c r="L249" s="21">
        <v>187.033362691158</v>
      </c>
      <c r="M249" s="21">
        <v>99.355471362339102</v>
      </c>
      <c r="N249" s="21">
        <v>179.562373392415</v>
      </c>
      <c r="O249" s="21">
        <v>126.264031779915</v>
      </c>
      <c r="P249" s="21">
        <v>171.381834633658</v>
      </c>
      <c r="Q249" s="21">
        <v>163.72999366112299</v>
      </c>
      <c r="R249" s="21">
        <v>159.283765872071</v>
      </c>
      <c r="S249" s="21">
        <v>147.422566927112</v>
      </c>
    </row>
    <row r="250" spans="1:19">
      <c r="A250" s="9">
        <f t="shared" si="3"/>
        <v>40330</v>
      </c>
      <c r="B250" s="21">
        <v>137.7243226631</v>
      </c>
      <c r="C250" s="21">
        <v>142.13183588271701</v>
      </c>
      <c r="D250" s="21">
        <v>114.339385734865</v>
      </c>
      <c r="E250" s="21">
        <v>96.923398393700396</v>
      </c>
      <c r="F250" s="21">
        <v>96.372518986148904</v>
      </c>
      <c r="G250" s="21">
        <v>103.434238684588</v>
      </c>
      <c r="H250" s="21">
        <v>157.22394022409199</v>
      </c>
      <c r="I250" s="21">
        <v>100.370337510868</v>
      </c>
      <c r="J250" s="21">
        <v>123.687962097962</v>
      </c>
      <c r="K250" s="21">
        <v>135.14403526460401</v>
      </c>
      <c r="L250" s="21">
        <v>170.55372271982699</v>
      </c>
      <c r="M250" s="21">
        <v>100.90982077618099</v>
      </c>
      <c r="N250" s="21">
        <v>164.56029744652901</v>
      </c>
      <c r="O250" s="21">
        <v>118.967004495315</v>
      </c>
      <c r="P250" s="21">
        <v>171.550033929156</v>
      </c>
      <c r="Q250" s="21">
        <v>164.05149265405899</v>
      </c>
      <c r="R250" s="21">
        <v>165.99576264812299</v>
      </c>
      <c r="S250" s="21">
        <v>146.47983478661999</v>
      </c>
    </row>
    <row r="251" spans="1:19">
      <c r="A251" s="9">
        <f t="shared" si="3"/>
        <v>40360</v>
      </c>
      <c r="B251" s="21">
        <v>137.81083716999001</v>
      </c>
      <c r="C251" s="21">
        <v>142.59022468829301</v>
      </c>
      <c r="D251" s="21">
        <v>114.92882088408901</v>
      </c>
      <c r="E251" s="21">
        <v>102.529826503168</v>
      </c>
      <c r="F251" s="21">
        <v>102.008124555184</v>
      </c>
      <c r="G251" s="21">
        <v>108.69581858094</v>
      </c>
      <c r="H251" s="21">
        <v>151.66219473056799</v>
      </c>
      <c r="I251" s="21">
        <v>104.79320098713301</v>
      </c>
      <c r="J251" s="21">
        <v>120.104326226984</v>
      </c>
      <c r="K251" s="21">
        <v>130.441163042819</v>
      </c>
      <c r="L251" s="21">
        <v>164.205723999333</v>
      </c>
      <c r="M251" s="21">
        <v>97.797462830713201</v>
      </c>
      <c r="N251" s="21">
        <v>158.64269910591901</v>
      </c>
      <c r="O251" s="21">
        <v>113.311826640417</v>
      </c>
      <c r="P251" s="21">
        <v>170.90908663062999</v>
      </c>
      <c r="Q251" s="21">
        <v>159.84324280701301</v>
      </c>
      <c r="R251" s="21">
        <v>166.097703949471</v>
      </c>
      <c r="S251" s="21">
        <v>143.54112788956499</v>
      </c>
    </row>
    <row r="252" spans="1:19">
      <c r="A252" s="9">
        <f t="shared" si="3"/>
        <v>40391</v>
      </c>
      <c r="B252" s="21">
        <v>141.66815613075099</v>
      </c>
      <c r="C252" s="21">
        <v>146.67690439746801</v>
      </c>
      <c r="D252" s="21">
        <v>120.693941293249</v>
      </c>
      <c r="E252" s="21">
        <v>104.89794713828999</v>
      </c>
      <c r="F252" s="21">
        <v>104.48952965611799</v>
      </c>
      <c r="G252" s="21">
        <v>109.72503081935599</v>
      </c>
      <c r="H252" s="21">
        <v>165.38251180345</v>
      </c>
      <c r="I252" s="21">
        <v>107.20206421493501</v>
      </c>
      <c r="J252" s="21">
        <v>122.78880223718301</v>
      </c>
      <c r="K252" s="21">
        <v>140.32627704288899</v>
      </c>
      <c r="L252" s="21">
        <v>182.31253489892899</v>
      </c>
      <c r="M252" s="21">
        <v>99.733810395804397</v>
      </c>
      <c r="N252" s="21">
        <v>175.04124051976601</v>
      </c>
      <c r="O252" s="21">
        <v>130.67119611336199</v>
      </c>
      <c r="P252" s="21">
        <v>172.006819745831</v>
      </c>
      <c r="Q252" s="21">
        <v>160.92853297089999</v>
      </c>
      <c r="R252" s="21">
        <v>161.616933886466</v>
      </c>
      <c r="S252" s="21">
        <v>137.294238528672</v>
      </c>
    </row>
    <row r="253" spans="1:19">
      <c r="A253" s="9">
        <f t="shared" si="3"/>
        <v>40422</v>
      </c>
      <c r="B253" s="21">
        <v>144.40786199687599</v>
      </c>
      <c r="C253" s="21">
        <v>149.22659841475701</v>
      </c>
      <c r="D253" s="21">
        <v>125.347610026819</v>
      </c>
      <c r="E253" s="21">
        <v>109.63089147549501</v>
      </c>
      <c r="F253" s="21">
        <v>109.579459675477</v>
      </c>
      <c r="G253" s="21">
        <v>110.238763599949</v>
      </c>
      <c r="H253" s="21">
        <v>168.865312396257</v>
      </c>
      <c r="I253" s="21">
        <v>112.139873715454</v>
      </c>
      <c r="J253" s="21">
        <v>129.11246997504199</v>
      </c>
      <c r="K253" s="21">
        <v>144.03765356206699</v>
      </c>
      <c r="L253" s="21">
        <v>184.666155928211</v>
      </c>
      <c r="M253" s="21">
        <v>104.75786985585</v>
      </c>
      <c r="N253" s="21">
        <v>178.180200651257</v>
      </c>
      <c r="O253" s="21">
        <v>141.424055174606</v>
      </c>
      <c r="P253" s="21">
        <v>171.97802743183101</v>
      </c>
      <c r="Q253" s="21">
        <v>160.65561490179101</v>
      </c>
      <c r="R253" s="21">
        <v>156.10511132704099</v>
      </c>
      <c r="S253" s="21">
        <v>138.166970284841</v>
      </c>
    </row>
    <row r="254" spans="1:19">
      <c r="A254" s="9">
        <f t="shared" si="3"/>
        <v>40452</v>
      </c>
      <c r="B254" s="21">
        <v>152.191846542333</v>
      </c>
      <c r="C254" s="21">
        <v>157.24733171007199</v>
      </c>
      <c r="D254" s="21">
        <v>131.75762489036401</v>
      </c>
      <c r="E254" s="21">
        <v>113.28170874789301</v>
      </c>
      <c r="F254" s="21">
        <v>113.46011526450199</v>
      </c>
      <c r="G254" s="21">
        <v>111.17312323793701</v>
      </c>
      <c r="H254" s="21">
        <v>179.476253660624</v>
      </c>
      <c r="I254" s="21">
        <v>116.632464096839</v>
      </c>
      <c r="J254" s="21">
        <v>139.29943112297099</v>
      </c>
      <c r="K254" s="21">
        <v>152.66695265185101</v>
      </c>
      <c r="L254" s="21">
        <v>195.44561956915501</v>
      </c>
      <c r="M254" s="21">
        <v>111.308382045215</v>
      </c>
      <c r="N254" s="21">
        <v>189.185181370897</v>
      </c>
      <c r="O254" s="21">
        <v>156.06206069757101</v>
      </c>
      <c r="P254" s="21">
        <v>181.74942386945199</v>
      </c>
      <c r="Q254" s="21">
        <v>167.60451542290201</v>
      </c>
      <c r="R254" s="21">
        <v>153.65390915270399</v>
      </c>
      <c r="S254" s="21">
        <v>144.904104055609</v>
      </c>
    </row>
    <row r="255" spans="1:19">
      <c r="A255" s="9">
        <f t="shared" si="3"/>
        <v>40483</v>
      </c>
      <c r="B255" s="21">
        <v>157.07961699388599</v>
      </c>
      <c r="C255" s="21">
        <v>162.435554387747</v>
      </c>
      <c r="D255" s="21">
        <v>135.40563230313799</v>
      </c>
      <c r="E255" s="21">
        <v>114.805564853606</v>
      </c>
      <c r="F255" s="21">
        <v>114.67726961046201</v>
      </c>
      <c r="G255" s="21">
        <v>116.321885534212</v>
      </c>
      <c r="H255" s="21">
        <v>187.39318279333901</v>
      </c>
      <c r="I255" s="21">
        <v>119.154939286836</v>
      </c>
      <c r="J255" s="21">
        <v>148.57729830607099</v>
      </c>
      <c r="K255" s="21">
        <v>158.02972404521199</v>
      </c>
      <c r="L255" s="21">
        <v>202.82160702623</v>
      </c>
      <c r="M255" s="21">
        <v>114.724768833407</v>
      </c>
      <c r="N255" s="21">
        <v>197.07951929288001</v>
      </c>
      <c r="O255" s="21">
        <v>159.624020212072</v>
      </c>
      <c r="P255" s="21">
        <v>188.430479747291</v>
      </c>
      <c r="Q255" s="21">
        <v>173.78595777690199</v>
      </c>
      <c r="R255" s="21">
        <v>159.99955890302601</v>
      </c>
      <c r="S255" s="21">
        <v>160.57478078470899</v>
      </c>
    </row>
    <row r="256" spans="1:19">
      <c r="A256" s="9">
        <f t="shared" si="3"/>
        <v>40513</v>
      </c>
      <c r="B256" s="21">
        <v>166.14840663852399</v>
      </c>
      <c r="C256" s="21">
        <v>172.34301306973799</v>
      </c>
      <c r="D256" s="21">
        <v>142.333236147251</v>
      </c>
      <c r="E256" s="21">
        <v>121.880084182101</v>
      </c>
      <c r="F256" s="21">
        <v>121.86142664950501</v>
      </c>
      <c r="G256" s="21">
        <v>122.100597443788</v>
      </c>
      <c r="H256" s="21">
        <v>197.81915882221199</v>
      </c>
      <c r="I256" s="21">
        <v>126.62512184701799</v>
      </c>
      <c r="J256" s="21">
        <v>158.72403719225599</v>
      </c>
      <c r="K256" s="21">
        <v>164.615580224334</v>
      </c>
      <c r="L256" s="21">
        <v>213.35857341783299</v>
      </c>
      <c r="M256" s="21">
        <v>117.49067730323399</v>
      </c>
      <c r="N256" s="21">
        <v>207.65205981938499</v>
      </c>
      <c r="O256" s="21">
        <v>160.80819154769401</v>
      </c>
      <c r="P256" s="21">
        <v>200.59643971476601</v>
      </c>
      <c r="Q256" s="21">
        <v>188.71414404395301</v>
      </c>
      <c r="R256" s="21">
        <v>166.87208044073401</v>
      </c>
      <c r="S256" s="21">
        <v>177.968283431891</v>
      </c>
    </row>
    <row r="257" spans="1:19">
      <c r="A257" s="9">
        <f t="shared" si="3"/>
        <v>40544</v>
      </c>
      <c r="B257" s="21">
        <v>172.4565559026</v>
      </c>
      <c r="C257" s="21">
        <v>179.674313451258</v>
      </c>
      <c r="D257" s="21">
        <v>147.239298366084</v>
      </c>
      <c r="E257" s="21">
        <v>126.029305274425</v>
      </c>
      <c r="F257" s="21">
        <v>125.776697712001</v>
      </c>
      <c r="G257" s="21">
        <v>129.01487248326401</v>
      </c>
      <c r="H257" s="21">
        <v>209.88201182284999</v>
      </c>
      <c r="I257" s="21">
        <v>131.911489138761</v>
      </c>
      <c r="J257" s="21">
        <v>171.702895496276</v>
      </c>
      <c r="K257" s="21">
        <v>169.20716410491499</v>
      </c>
      <c r="L257" s="21">
        <v>225.05733530971901</v>
      </c>
      <c r="M257" s="21">
        <v>115.21101565943199</v>
      </c>
      <c r="N257" s="21">
        <v>218.16859780829</v>
      </c>
      <c r="O257" s="21">
        <v>162.58264175253399</v>
      </c>
      <c r="P257" s="21">
        <v>208.932671915643</v>
      </c>
      <c r="Q257" s="21">
        <v>193.30708725507401</v>
      </c>
      <c r="R257" s="21">
        <v>177.46390003878801</v>
      </c>
      <c r="S257" s="21">
        <v>195.962421403984</v>
      </c>
    </row>
    <row r="258" spans="1:19">
      <c r="A258" s="9">
        <f t="shared" si="3"/>
        <v>40575</v>
      </c>
      <c r="B258" s="21">
        <v>178.71503900449</v>
      </c>
      <c r="C258" s="21">
        <v>186.492876889782</v>
      </c>
      <c r="D258" s="21">
        <v>152.93823230996199</v>
      </c>
      <c r="E258" s="21">
        <v>130.247563655313</v>
      </c>
      <c r="F258" s="21">
        <v>129.504259124236</v>
      </c>
      <c r="G258" s="21">
        <v>139.032675284102</v>
      </c>
      <c r="H258" s="21">
        <v>221.14162780113301</v>
      </c>
      <c r="I258" s="21">
        <v>137.564488931895</v>
      </c>
      <c r="J258" s="21">
        <v>187.061538613274</v>
      </c>
      <c r="K258" s="21">
        <v>175.06877944978501</v>
      </c>
      <c r="L258" s="21">
        <v>234.687681970206</v>
      </c>
      <c r="M258" s="21">
        <v>117.42900787514699</v>
      </c>
      <c r="N258" s="21">
        <v>227.71247781241701</v>
      </c>
      <c r="O258" s="21">
        <v>167.172092332625</v>
      </c>
      <c r="P258" s="21">
        <v>216.00052851792401</v>
      </c>
      <c r="Q258" s="21">
        <v>200.97470804863099</v>
      </c>
      <c r="R258" s="21">
        <v>176.698254911276</v>
      </c>
      <c r="S258" s="21">
        <v>187.40827312776099</v>
      </c>
    </row>
    <row r="259" spans="1:19">
      <c r="A259" s="9">
        <f t="shared" si="3"/>
        <v>40603</v>
      </c>
      <c r="B259" s="21">
        <v>184.765403867663</v>
      </c>
      <c r="C259" s="21">
        <v>192.76294574125799</v>
      </c>
      <c r="D259" s="21">
        <v>150.83710209885001</v>
      </c>
      <c r="E259" s="21">
        <v>129.380505225577</v>
      </c>
      <c r="F259" s="21">
        <v>128.352016830423</v>
      </c>
      <c r="G259" s="21">
        <v>141.53620316978299</v>
      </c>
      <c r="H259" s="21">
        <v>210.74660821543401</v>
      </c>
      <c r="I259" s="21">
        <v>136.41037271810299</v>
      </c>
      <c r="J259" s="21">
        <v>183.965552985523</v>
      </c>
      <c r="K259" s="21">
        <v>170.99270522328999</v>
      </c>
      <c r="L259" s="21">
        <v>221.39146371594501</v>
      </c>
      <c r="M259" s="21">
        <v>122.267002394945</v>
      </c>
      <c r="N259" s="21">
        <v>217.018502603142</v>
      </c>
      <c r="O259" s="21">
        <v>171.49231413837001</v>
      </c>
      <c r="P259" s="21">
        <v>233.84182185850099</v>
      </c>
      <c r="Q259" s="21">
        <v>220.807181995658</v>
      </c>
      <c r="R259" s="21">
        <v>176.27841381376101</v>
      </c>
      <c r="S259" s="21">
        <v>191.07165512918999</v>
      </c>
    </row>
    <row r="260" spans="1:19">
      <c r="A260" s="9">
        <f t="shared" si="3"/>
        <v>40634</v>
      </c>
      <c r="B260" s="21">
        <v>194.27416533560799</v>
      </c>
      <c r="C260" s="21">
        <v>202.89617505136201</v>
      </c>
      <c r="D260" s="21">
        <v>155.244187437752</v>
      </c>
      <c r="E260" s="21">
        <v>133.265737173856</v>
      </c>
      <c r="F260" s="21">
        <v>132.68715332570699</v>
      </c>
      <c r="G260" s="21">
        <v>140.10401607582099</v>
      </c>
      <c r="H260" s="21">
        <v>215.48381918885801</v>
      </c>
      <c r="I260" s="21">
        <v>140.139425759337</v>
      </c>
      <c r="J260" s="21">
        <v>186.638097339159</v>
      </c>
      <c r="K260" s="21">
        <v>176.62733053268701</v>
      </c>
      <c r="L260" s="21">
        <v>226.94933233843099</v>
      </c>
      <c r="M260" s="21">
        <v>127.975836348134</v>
      </c>
      <c r="N260" s="21">
        <v>223.98388425691601</v>
      </c>
      <c r="O260" s="21">
        <v>173.52647638993801</v>
      </c>
      <c r="P260" s="21">
        <v>250.73002695049999</v>
      </c>
      <c r="Q260" s="21">
        <v>233.93433996041099</v>
      </c>
      <c r="R260" s="21">
        <v>196.67707203546701</v>
      </c>
      <c r="S260" s="21">
        <v>190.09985857668099</v>
      </c>
    </row>
    <row r="261" spans="1:19">
      <c r="A261" s="9">
        <f t="shared" si="3"/>
        <v>40664</v>
      </c>
      <c r="B261" s="21">
        <v>186.91321034299901</v>
      </c>
      <c r="C261" s="21">
        <v>194.37049583156701</v>
      </c>
      <c r="D261" s="21">
        <v>151.05113343903901</v>
      </c>
      <c r="E261" s="21">
        <v>130.71245411116499</v>
      </c>
      <c r="F261" s="21">
        <v>129.96076937075699</v>
      </c>
      <c r="G261" s="21">
        <v>139.59661138189301</v>
      </c>
      <c r="H261" s="21">
        <v>204.207234857911</v>
      </c>
      <c r="I261" s="21">
        <v>135.52466096377199</v>
      </c>
      <c r="J261" s="21">
        <v>168.077957964484</v>
      </c>
      <c r="K261" s="21">
        <v>172.842560602096</v>
      </c>
      <c r="L261" s="21">
        <v>218.56779416249699</v>
      </c>
      <c r="M261" s="21">
        <v>128.63523865892901</v>
      </c>
      <c r="N261" s="21">
        <v>214.76595470494399</v>
      </c>
      <c r="O261" s="21">
        <v>172.09531736868601</v>
      </c>
      <c r="P261" s="21">
        <v>238.78678445085899</v>
      </c>
      <c r="Q261" s="21">
        <v>217.44285952496901</v>
      </c>
      <c r="R261" s="21">
        <v>203.627368531347</v>
      </c>
      <c r="S261" s="21">
        <v>184.759740973627</v>
      </c>
    </row>
    <row r="262" spans="1:19">
      <c r="A262" s="9">
        <f t="shared" si="3"/>
        <v>40695</v>
      </c>
      <c r="B262" s="21">
        <v>184.91429149139199</v>
      </c>
      <c r="C262" s="21">
        <v>191.980305720817</v>
      </c>
      <c r="D262" s="21">
        <v>149.41302219646201</v>
      </c>
      <c r="E262" s="21">
        <v>128.39036308655199</v>
      </c>
      <c r="F262" s="21">
        <v>127.854406415499</v>
      </c>
      <c r="G262" s="21">
        <v>134.724831647597</v>
      </c>
      <c r="H262" s="21">
        <v>200.92193089061701</v>
      </c>
      <c r="I262" s="21">
        <v>133.43330541735301</v>
      </c>
      <c r="J262" s="21">
        <v>167.54746644164101</v>
      </c>
      <c r="K262" s="21">
        <v>171.21052719449</v>
      </c>
      <c r="L262" s="21">
        <v>214.18751540237099</v>
      </c>
      <c r="M262" s="21">
        <v>129.66021884355001</v>
      </c>
      <c r="N262" s="21">
        <v>210.633975095728</v>
      </c>
      <c r="O262" s="21">
        <v>178.58843836276299</v>
      </c>
      <c r="P262" s="21">
        <v>236.26596665023499</v>
      </c>
      <c r="Q262" s="21">
        <v>212.96534048825399</v>
      </c>
      <c r="R262" s="21">
        <v>208.813446063318</v>
      </c>
      <c r="S262" s="21">
        <v>183.59646338029</v>
      </c>
    </row>
    <row r="263" spans="1:19">
      <c r="A263" s="9">
        <f t="shared" ref="A263:A326" si="4">EDATE(A262,1)</f>
        <v>40725</v>
      </c>
      <c r="B263" s="21">
        <v>187.901108487811</v>
      </c>
      <c r="C263" s="21">
        <v>194.90491076414301</v>
      </c>
      <c r="D263" s="21">
        <v>150.705173406369</v>
      </c>
      <c r="E263" s="21">
        <v>127.54167464150601</v>
      </c>
      <c r="F263" s="21">
        <v>127.02510625354699</v>
      </c>
      <c r="G263" s="21">
        <v>133.646993205282</v>
      </c>
      <c r="H263" s="21">
        <v>202.71078029749299</v>
      </c>
      <c r="I263" s="21">
        <v>131.941036525291</v>
      </c>
      <c r="J263" s="21">
        <v>161.70154732687399</v>
      </c>
      <c r="K263" s="21">
        <v>175.54638656129401</v>
      </c>
      <c r="L263" s="21">
        <v>219.01101027019001</v>
      </c>
      <c r="M263" s="21">
        <v>133.52463043620801</v>
      </c>
      <c r="N263" s="21">
        <v>215.616009878472</v>
      </c>
      <c r="O263" s="21">
        <v>193.96533656358301</v>
      </c>
      <c r="P263" s="21">
        <v>241.704074225841</v>
      </c>
      <c r="Q263" s="21">
        <v>218.554876677583</v>
      </c>
      <c r="R263" s="21">
        <v>216.50155727842099</v>
      </c>
      <c r="S263" s="21">
        <v>182.27141200791701</v>
      </c>
    </row>
    <row r="264" spans="1:19">
      <c r="A264" s="9">
        <f t="shared" si="4"/>
        <v>40756</v>
      </c>
      <c r="B264" s="21">
        <v>183.19538343008</v>
      </c>
      <c r="C264" s="21">
        <v>188.008417300536</v>
      </c>
      <c r="D264" s="21">
        <v>151.50864929382399</v>
      </c>
      <c r="E264" s="21">
        <v>127.010634258338</v>
      </c>
      <c r="F264" s="21">
        <v>126.505878186039</v>
      </c>
      <c r="G264" s="21">
        <v>132.97634313680399</v>
      </c>
      <c r="H264" s="21">
        <v>196.13935270065801</v>
      </c>
      <c r="I264" s="21">
        <v>130.354717129515</v>
      </c>
      <c r="J264" s="21">
        <v>152.976546621626</v>
      </c>
      <c r="K264" s="21">
        <v>179.729315528554</v>
      </c>
      <c r="L264" s="21">
        <v>213.295578613472</v>
      </c>
      <c r="M264" s="21">
        <v>147.27733041919601</v>
      </c>
      <c r="N264" s="21">
        <v>211.32779305608699</v>
      </c>
      <c r="O264" s="21">
        <v>197.70517736081499</v>
      </c>
      <c r="P264" s="21">
        <v>229.029431353604</v>
      </c>
      <c r="Q264" s="21">
        <v>201.09475752829101</v>
      </c>
      <c r="R264" s="21">
        <v>217.317128133247</v>
      </c>
      <c r="S264" s="21">
        <v>182.62307200317301</v>
      </c>
    </row>
    <row r="265" spans="1:19">
      <c r="A265" s="9">
        <f t="shared" si="4"/>
        <v>40787</v>
      </c>
      <c r="B265" s="21">
        <v>180.696635192043</v>
      </c>
      <c r="C265" s="21">
        <v>185.08157303854</v>
      </c>
      <c r="D265" s="21">
        <v>147.101345057766</v>
      </c>
      <c r="E265" s="21">
        <v>121.512186086109</v>
      </c>
      <c r="F265" s="21">
        <v>120.791814063205</v>
      </c>
      <c r="G265" s="21">
        <v>130.026258543452</v>
      </c>
      <c r="H265" s="21">
        <v>190.239011319583</v>
      </c>
      <c r="I265" s="21">
        <v>125.170302963813</v>
      </c>
      <c r="J265" s="21">
        <v>149.916488826273</v>
      </c>
      <c r="K265" s="21">
        <v>176.25873696026099</v>
      </c>
      <c r="L265" s="21">
        <v>206.266289620328</v>
      </c>
      <c r="M265" s="21">
        <v>147.247326019783</v>
      </c>
      <c r="N265" s="21">
        <v>204.01157844334401</v>
      </c>
      <c r="O265" s="21">
        <v>196.187861945056</v>
      </c>
      <c r="P265" s="21">
        <v>229.29136039779399</v>
      </c>
      <c r="Q265" s="21">
        <v>205.51649630876099</v>
      </c>
      <c r="R265" s="21">
        <v>215.53512330769399</v>
      </c>
      <c r="S265" s="21">
        <v>182.79367564695801</v>
      </c>
    </row>
    <row r="266" spans="1:19">
      <c r="A266" s="9">
        <f t="shared" si="4"/>
        <v>40817</v>
      </c>
      <c r="B266" s="21">
        <v>174.85313829014399</v>
      </c>
      <c r="C266" s="21">
        <v>179.54340212539</v>
      </c>
      <c r="D266" s="21">
        <v>138.30216294765501</v>
      </c>
      <c r="E266" s="21">
        <v>118.22881732370401</v>
      </c>
      <c r="F266" s="21">
        <v>118.08355107898301</v>
      </c>
      <c r="G266" s="21">
        <v>119.945718166375</v>
      </c>
      <c r="H266" s="21">
        <v>171.285339034027</v>
      </c>
      <c r="I266" s="21">
        <v>121.333297081578</v>
      </c>
      <c r="J266" s="21">
        <v>142.33427536163799</v>
      </c>
      <c r="K266" s="21">
        <v>159.237265550225</v>
      </c>
      <c r="L266" s="21">
        <v>182.79272314316799</v>
      </c>
      <c r="M266" s="21">
        <v>136.46376356353201</v>
      </c>
      <c r="N266" s="21">
        <v>180.13391783858799</v>
      </c>
      <c r="O266" s="21">
        <v>195.67024295243101</v>
      </c>
      <c r="P266" s="21">
        <v>227.72318631387799</v>
      </c>
      <c r="Q266" s="21">
        <v>204.48633294248799</v>
      </c>
      <c r="R266" s="21">
        <v>218.12597208428801</v>
      </c>
      <c r="S266" s="21">
        <v>177.13350660188499</v>
      </c>
    </row>
    <row r="267" spans="1:19">
      <c r="A267" s="9">
        <f t="shared" si="4"/>
        <v>40848</v>
      </c>
      <c r="B267" s="21">
        <v>176.81472296967499</v>
      </c>
      <c r="C267" s="21">
        <v>181.05842694907699</v>
      </c>
      <c r="D267" s="21">
        <v>137.07064108696201</v>
      </c>
      <c r="E267" s="21">
        <v>118.034478976328</v>
      </c>
      <c r="F267" s="21">
        <v>118.08132172562</v>
      </c>
      <c r="G267" s="21">
        <v>117.48084481385099</v>
      </c>
      <c r="H267" s="21">
        <v>162.99750819245801</v>
      </c>
      <c r="I267" s="21">
        <v>119.878030254675</v>
      </c>
      <c r="J267" s="21">
        <v>132.349163383031</v>
      </c>
      <c r="K267" s="21">
        <v>158.470625241264</v>
      </c>
      <c r="L267" s="21">
        <v>175.17952264354801</v>
      </c>
      <c r="M267" s="21">
        <v>142.31640252302699</v>
      </c>
      <c r="N267" s="21">
        <v>173.969451364798</v>
      </c>
      <c r="O267" s="21">
        <v>192.94218016567001</v>
      </c>
      <c r="P267" s="21">
        <v>234.30351767649</v>
      </c>
      <c r="Q267" s="21">
        <v>215.40171194593401</v>
      </c>
      <c r="R267" s="21">
        <v>214.821193750785</v>
      </c>
      <c r="S267" s="21">
        <v>168.93517373767401</v>
      </c>
    </row>
    <row r="268" spans="1:19">
      <c r="A268" s="9">
        <f t="shared" si="4"/>
        <v>40878</v>
      </c>
      <c r="B268" s="21">
        <v>173.41627365405</v>
      </c>
      <c r="C268" s="21">
        <v>178.06096929229699</v>
      </c>
      <c r="D268" s="21">
        <v>133.23888850446599</v>
      </c>
      <c r="E268" s="21">
        <v>114.975834836055</v>
      </c>
      <c r="F268" s="21">
        <v>115.17126370603501</v>
      </c>
      <c r="G268" s="21">
        <v>112.666062237492</v>
      </c>
      <c r="H268" s="21">
        <v>161.594131281073</v>
      </c>
      <c r="I268" s="21">
        <v>116.67024489648399</v>
      </c>
      <c r="J268" s="21">
        <v>128.13247742879301</v>
      </c>
      <c r="K268" s="21">
        <v>154.520815765647</v>
      </c>
      <c r="L268" s="21">
        <v>174.894371581831</v>
      </c>
      <c r="M268" s="21">
        <v>134.82358797777101</v>
      </c>
      <c r="N268" s="21">
        <v>172.43989842939499</v>
      </c>
      <c r="O268" s="21">
        <v>179.22508411679399</v>
      </c>
      <c r="P268" s="21">
        <v>231.53183041888701</v>
      </c>
      <c r="Q268" s="21">
        <v>215.64789137747499</v>
      </c>
      <c r="R268" s="21">
        <v>214.906467212466</v>
      </c>
      <c r="S268" s="21">
        <v>165.00877677094701</v>
      </c>
    </row>
    <row r="269" spans="1:19">
      <c r="A269" s="9">
        <f t="shared" si="4"/>
        <v>40909</v>
      </c>
      <c r="B269" s="21">
        <v>176.46067555482799</v>
      </c>
      <c r="C269" s="21">
        <v>181.415226165718</v>
      </c>
      <c r="D269" s="21">
        <v>136.293134541884</v>
      </c>
      <c r="E269" s="21">
        <v>117.50016730459301</v>
      </c>
      <c r="F269" s="21">
        <v>117.860039078336</v>
      </c>
      <c r="G269" s="21">
        <v>113.24684504944901</v>
      </c>
      <c r="H269" s="21">
        <v>168.92110688379199</v>
      </c>
      <c r="I269" s="21">
        <v>119.49108507239001</v>
      </c>
      <c r="J269" s="21">
        <v>132.959113231647</v>
      </c>
      <c r="K269" s="21">
        <v>158.93155912991699</v>
      </c>
      <c r="L269" s="21">
        <v>183.21517493492101</v>
      </c>
      <c r="M269" s="21">
        <v>135.45407113812999</v>
      </c>
      <c r="N269" s="21">
        <v>180.17015197312199</v>
      </c>
      <c r="O269" s="21">
        <v>170.32010193690101</v>
      </c>
      <c r="P269" s="21">
        <v>234.56199302859099</v>
      </c>
      <c r="Q269" s="21">
        <v>223.24838568969</v>
      </c>
      <c r="R269" s="21">
        <v>207.606267191135</v>
      </c>
      <c r="S269" s="21">
        <v>170.12516407995199</v>
      </c>
    </row>
    <row r="270" spans="1:19">
      <c r="A270" s="9">
        <f t="shared" si="4"/>
        <v>40940</v>
      </c>
      <c r="B270" s="21">
        <v>181.91367596080099</v>
      </c>
      <c r="C270" s="21">
        <v>186.701223433396</v>
      </c>
      <c r="D270" s="21">
        <v>140.03361680505199</v>
      </c>
      <c r="E270" s="21">
        <v>119.999033685771</v>
      </c>
      <c r="F270" s="21">
        <v>120.575931167569</v>
      </c>
      <c r="G270" s="21">
        <v>113.180685937218</v>
      </c>
      <c r="H270" s="21">
        <v>173.14984510228101</v>
      </c>
      <c r="I270" s="21">
        <v>122.26783702216299</v>
      </c>
      <c r="J270" s="21">
        <v>137.615687002003</v>
      </c>
      <c r="K270" s="21">
        <v>165.00357530688899</v>
      </c>
      <c r="L270" s="21">
        <v>187.27385832963699</v>
      </c>
      <c r="M270" s="21">
        <v>143.47258476418301</v>
      </c>
      <c r="N270" s="21">
        <v>185.54904983490999</v>
      </c>
      <c r="O270" s="21">
        <v>163.68745137978601</v>
      </c>
      <c r="P270" s="21">
        <v>242.492106989078</v>
      </c>
      <c r="Q270" s="21">
        <v>233.81203610873601</v>
      </c>
      <c r="R270" s="21">
        <v>201.15198335357499</v>
      </c>
      <c r="S270" s="21">
        <v>170.87588480925501</v>
      </c>
    </row>
    <row r="271" spans="1:19">
      <c r="A271" s="9">
        <f t="shared" si="4"/>
        <v>40969</v>
      </c>
      <c r="B271" s="21">
        <v>185.641572772312</v>
      </c>
      <c r="C271" s="21">
        <v>191.474776694555</v>
      </c>
      <c r="D271" s="21">
        <v>140.12675655108799</v>
      </c>
      <c r="E271" s="21">
        <v>122.06060393579</v>
      </c>
      <c r="F271" s="21">
        <v>123.136780032857</v>
      </c>
      <c r="G271" s="21">
        <v>109.34128533932299</v>
      </c>
      <c r="H271" s="21">
        <v>172.829077485017</v>
      </c>
      <c r="I271" s="21">
        <v>123.780230849867</v>
      </c>
      <c r="J271" s="21">
        <v>135.41304867731699</v>
      </c>
      <c r="K271" s="21">
        <v>162.50148200410001</v>
      </c>
      <c r="L271" s="21">
        <v>187.70109117684899</v>
      </c>
      <c r="M271" s="21">
        <v>138.13840829622799</v>
      </c>
      <c r="N271" s="21">
        <v>185.48321411422799</v>
      </c>
      <c r="O271" s="21">
        <v>169.054821186266</v>
      </c>
      <c r="P271" s="21">
        <v>251.47758663677001</v>
      </c>
      <c r="Q271" s="21">
        <v>245.791287597409</v>
      </c>
      <c r="R271" s="21">
        <v>206.578764065163</v>
      </c>
      <c r="S271" s="21">
        <v>161.71936864266701</v>
      </c>
    </row>
    <row r="272" spans="1:19">
      <c r="A272" s="9">
        <f t="shared" si="4"/>
        <v>41000</v>
      </c>
      <c r="B272" s="21">
        <v>182.60768721110699</v>
      </c>
      <c r="C272" s="21">
        <v>188.31250963534001</v>
      </c>
      <c r="D272" s="21">
        <v>139.748473317167</v>
      </c>
      <c r="E272" s="21">
        <v>120.93964422843899</v>
      </c>
      <c r="F272" s="21">
        <v>122.209082478441</v>
      </c>
      <c r="G272" s="21">
        <v>105.93616144870199</v>
      </c>
      <c r="H272" s="21">
        <v>171.84550117488601</v>
      </c>
      <c r="I272" s="21">
        <v>122.85260068101201</v>
      </c>
      <c r="J272" s="21">
        <v>135.793241317915</v>
      </c>
      <c r="K272" s="21">
        <v>160.463072663053</v>
      </c>
      <c r="L272" s="21">
        <v>186.17544797309</v>
      </c>
      <c r="M272" s="21">
        <v>135.60425479057901</v>
      </c>
      <c r="N272" s="21">
        <v>183.33214021974899</v>
      </c>
      <c r="O272" s="21">
        <v>198.42611793904001</v>
      </c>
      <c r="P272" s="21">
        <v>244.602440445447</v>
      </c>
      <c r="Q272" s="21">
        <v>236.92862065074399</v>
      </c>
      <c r="R272" s="21">
        <v>209.38498309624899</v>
      </c>
      <c r="S272" s="21">
        <v>157.24524399629701</v>
      </c>
    </row>
    <row r="273" spans="1:19">
      <c r="A273" s="9">
        <f t="shared" si="4"/>
        <v>41030</v>
      </c>
      <c r="B273" s="21">
        <v>171.97674003126599</v>
      </c>
      <c r="C273" s="21">
        <v>177.06396270164001</v>
      </c>
      <c r="D273" s="21">
        <v>134.06754502104499</v>
      </c>
      <c r="E273" s="21">
        <v>115.90684077134701</v>
      </c>
      <c r="F273" s="21">
        <v>116.672208157169</v>
      </c>
      <c r="G273" s="21">
        <v>106.860968399589</v>
      </c>
      <c r="H273" s="21">
        <v>163.73546833407599</v>
      </c>
      <c r="I273" s="21">
        <v>118.04371538431501</v>
      </c>
      <c r="J273" s="21">
        <v>132.499102706569</v>
      </c>
      <c r="K273" s="21">
        <v>152.436090349317</v>
      </c>
      <c r="L273" s="21">
        <v>176.15120758002701</v>
      </c>
      <c r="M273" s="21">
        <v>129.508228844727</v>
      </c>
      <c r="N273" s="21">
        <v>172.99643123374199</v>
      </c>
      <c r="O273" s="21">
        <v>204.951101644913</v>
      </c>
      <c r="P273" s="21">
        <v>226.81141795575999</v>
      </c>
      <c r="Q273" s="21">
        <v>218.99704751603201</v>
      </c>
      <c r="R273" s="21">
        <v>210.14885028837</v>
      </c>
      <c r="S273" s="21">
        <v>146.91437378130499</v>
      </c>
    </row>
    <row r="274" spans="1:19">
      <c r="A274" s="9">
        <f t="shared" si="4"/>
        <v>41061</v>
      </c>
      <c r="B274" s="21">
        <v>160.90226625611601</v>
      </c>
      <c r="C274" s="21">
        <v>164.63519383548899</v>
      </c>
      <c r="D274" s="21">
        <v>131.21366770256901</v>
      </c>
      <c r="E274" s="21">
        <v>115.61699247883099</v>
      </c>
      <c r="F274" s="21">
        <v>116.691801438646</v>
      </c>
      <c r="G274" s="21">
        <v>102.91383206906001</v>
      </c>
      <c r="H274" s="21">
        <v>156.89322150353999</v>
      </c>
      <c r="I274" s="21">
        <v>116.692442404133</v>
      </c>
      <c r="J274" s="21">
        <v>123.967574562837</v>
      </c>
      <c r="K274" s="21">
        <v>149.63008434150501</v>
      </c>
      <c r="L274" s="21">
        <v>169.980411344858</v>
      </c>
      <c r="M274" s="21">
        <v>129.955314254272</v>
      </c>
      <c r="N274" s="21">
        <v>167.19648645534701</v>
      </c>
      <c r="O274" s="21">
        <v>174.328874608223</v>
      </c>
      <c r="P274" s="21">
        <v>203.84606232655099</v>
      </c>
      <c r="Q274" s="21">
        <v>192.80544788499401</v>
      </c>
      <c r="R274" s="21">
        <v>215.11459605668901</v>
      </c>
      <c r="S274" s="21">
        <v>132.14947708350999</v>
      </c>
    </row>
    <row r="275" spans="1:19">
      <c r="A275" s="9">
        <f t="shared" si="4"/>
        <v>41091</v>
      </c>
      <c r="B275" s="21">
        <v>166.51345123630799</v>
      </c>
      <c r="C275" s="21">
        <v>170.90644351394599</v>
      </c>
      <c r="D275" s="21">
        <v>133.995257434904</v>
      </c>
      <c r="E275" s="21">
        <v>122.476284084388</v>
      </c>
      <c r="F275" s="21">
        <v>123.653936643332</v>
      </c>
      <c r="G275" s="21">
        <v>108.557615816278</v>
      </c>
      <c r="H275" s="21">
        <v>154.055070184729</v>
      </c>
      <c r="I275" s="21">
        <v>122.556611203486</v>
      </c>
      <c r="J275" s="21">
        <v>123.10000275861</v>
      </c>
      <c r="K275" s="21">
        <v>147.540203755721</v>
      </c>
      <c r="L275" s="21">
        <v>166.35899984436401</v>
      </c>
      <c r="M275" s="21">
        <v>129.34612332145699</v>
      </c>
      <c r="N275" s="21">
        <v>163.59733711978501</v>
      </c>
      <c r="O275" s="21">
        <v>179.43540388198301</v>
      </c>
      <c r="P275" s="21">
        <v>213.55018423223299</v>
      </c>
      <c r="Q275" s="21">
        <v>206.842324688069</v>
      </c>
      <c r="R275" s="21">
        <v>211.29439789775901</v>
      </c>
      <c r="S275" s="21">
        <v>132.83830196551301</v>
      </c>
    </row>
    <row r="276" spans="1:19">
      <c r="A276" s="9">
        <f t="shared" si="4"/>
        <v>41122</v>
      </c>
      <c r="B276" s="21">
        <v>171.36499758071699</v>
      </c>
      <c r="C276" s="21">
        <v>176.01571574587399</v>
      </c>
      <c r="D276" s="21">
        <v>132.83292484543901</v>
      </c>
      <c r="E276" s="21">
        <v>123.4513354165</v>
      </c>
      <c r="F276" s="21">
        <v>124.833916009894</v>
      </c>
      <c r="G276" s="21">
        <v>107.11062398407</v>
      </c>
      <c r="H276" s="21">
        <v>144.46682252919999</v>
      </c>
      <c r="I276" s="21">
        <v>123.001080652968</v>
      </c>
      <c r="J276" s="21">
        <v>119.955227161586</v>
      </c>
      <c r="K276" s="21">
        <v>143.03507793757399</v>
      </c>
      <c r="L276" s="21">
        <v>154.20961976161999</v>
      </c>
      <c r="M276" s="21">
        <v>132.231490300774</v>
      </c>
      <c r="N276" s="21">
        <v>153.368504882293</v>
      </c>
      <c r="O276" s="21">
        <v>189.071547910074</v>
      </c>
      <c r="P276" s="21">
        <v>227.10065215297701</v>
      </c>
      <c r="Q276" s="21">
        <v>224.302204374632</v>
      </c>
      <c r="R276" s="21">
        <v>206.78459340691299</v>
      </c>
      <c r="S276" s="21">
        <v>135.88051469884701</v>
      </c>
    </row>
    <row r="277" spans="1:19">
      <c r="A277" s="9">
        <f t="shared" si="4"/>
        <v>41153</v>
      </c>
      <c r="B277" s="21">
        <v>172.99415636194399</v>
      </c>
      <c r="C277" s="21">
        <v>176.756041402856</v>
      </c>
      <c r="D277" s="21">
        <v>134.54894078109399</v>
      </c>
      <c r="E277" s="21">
        <v>121.171412863349</v>
      </c>
      <c r="F277" s="21">
        <v>122.240807300865</v>
      </c>
      <c r="G277" s="21">
        <v>108.53224665894101</v>
      </c>
      <c r="H277" s="21">
        <v>147.26964449926899</v>
      </c>
      <c r="I277" s="21">
        <v>121.40414183186201</v>
      </c>
      <c r="J277" s="21">
        <v>122.978491286223</v>
      </c>
      <c r="K277" s="21">
        <v>149.89782855627001</v>
      </c>
      <c r="L277" s="21">
        <v>156.92482102886501</v>
      </c>
      <c r="M277" s="21">
        <v>143.104106702058</v>
      </c>
      <c r="N277" s="21">
        <v>158.11020473458299</v>
      </c>
      <c r="O277" s="21">
        <v>189.34835487184199</v>
      </c>
      <c r="P277" s="21">
        <v>228.60417428886601</v>
      </c>
      <c r="Q277" s="21">
        <v>222.30051342359999</v>
      </c>
      <c r="R277" s="21">
        <v>208.44026929642899</v>
      </c>
      <c r="S277" s="21">
        <v>133.29704022439</v>
      </c>
    </row>
    <row r="278" spans="1:19">
      <c r="A278" s="9">
        <f t="shared" si="4"/>
        <v>41183</v>
      </c>
      <c r="B278" s="21">
        <v>171.22794743806901</v>
      </c>
      <c r="C278" s="21">
        <v>174.766812622407</v>
      </c>
      <c r="D278" s="21">
        <v>135.03350352120199</v>
      </c>
      <c r="E278" s="21">
        <v>120.27879355458001</v>
      </c>
      <c r="F278" s="21">
        <v>121.477544302802</v>
      </c>
      <c r="G278" s="21">
        <v>106.110765918646</v>
      </c>
      <c r="H278" s="21">
        <v>151.47472038651901</v>
      </c>
      <c r="I278" s="21">
        <v>120.68088471556</v>
      </c>
      <c r="J278" s="21">
        <v>123.400924270318</v>
      </c>
      <c r="K278" s="21">
        <v>152.695765873391</v>
      </c>
      <c r="L278" s="21">
        <v>162.63341075335799</v>
      </c>
      <c r="M278" s="21">
        <v>143.08801469623799</v>
      </c>
      <c r="N278" s="21">
        <v>163.004675283296</v>
      </c>
      <c r="O278" s="21">
        <v>184.094470383518</v>
      </c>
      <c r="P278" s="21">
        <v>223.58228190237</v>
      </c>
      <c r="Q278" s="21">
        <v>215.42697046371799</v>
      </c>
      <c r="R278" s="21">
        <v>209.31739323537599</v>
      </c>
      <c r="S278" s="21">
        <v>126.186481747426</v>
      </c>
    </row>
    <row r="279" spans="1:19">
      <c r="A279" s="9">
        <f t="shared" si="4"/>
        <v>41214</v>
      </c>
      <c r="B279" s="21">
        <v>169.08820366903299</v>
      </c>
      <c r="C279" s="21">
        <v>172.61948556143901</v>
      </c>
      <c r="D279" s="21">
        <v>133.72578933878901</v>
      </c>
      <c r="E279" s="21">
        <v>119.051783932531</v>
      </c>
      <c r="F279" s="21">
        <v>120.561014439299</v>
      </c>
      <c r="G279" s="21">
        <v>101.214197961812</v>
      </c>
      <c r="H279" s="21">
        <v>151.25658976278601</v>
      </c>
      <c r="I279" s="21">
        <v>119.49416534315699</v>
      </c>
      <c r="J279" s="21">
        <v>122.486757700216</v>
      </c>
      <c r="K279" s="21">
        <v>151.61805863444599</v>
      </c>
      <c r="L279" s="21">
        <v>162.69193846174301</v>
      </c>
      <c r="M279" s="21">
        <v>140.91179138184501</v>
      </c>
      <c r="N279" s="21">
        <v>162.731528778377</v>
      </c>
      <c r="O279" s="21">
        <v>177.85261319522201</v>
      </c>
      <c r="P279" s="21">
        <v>220.239028684141</v>
      </c>
      <c r="Q279" s="21">
        <v>212.71036284090499</v>
      </c>
      <c r="R279" s="21">
        <v>210.759542646456</v>
      </c>
      <c r="S279" s="21">
        <v>129.059024036133</v>
      </c>
    </row>
    <row r="280" spans="1:19">
      <c r="A280" s="9">
        <f t="shared" si="4"/>
        <v>41244</v>
      </c>
      <c r="B280" s="21">
        <v>169.957922417421</v>
      </c>
      <c r="C280" s="21">
        <v>173.88309552885701</v>
      </c>
      <c r="D280" s="21">
        <v>134.95843561870601</v>
      </c>
      <c r="E280" s="21">
        <v>118.916724422352</v>
      </c>
      <c r="F280" s="21">
        <v>120.647713301556</v>
      </c>
      <c r="G280" s="21">
        <v>98.458177627336397</v>
      </c>
      <c r="H280" s="21">
        <v>158.30637351676401</v>
      </c>
      <c r="I280" s="21">
        <v>119.59981023383899</v>
      </c>
      <c r="J280" s="21">
        <v>124.220703719803</v>
      </c>
      <c r="K280" s="21">
        <v>154.93586966845999</v>
      </c>
      <c r="L280" s="21">
        <v>171.85464585002001</v>
      </c>
      <c r="M280" s="21">
        <v>138.57873538385101</v>
      </c>
      <c r="N280" s="21">
        <v>170.844201943315</v>
      </c>
      <c r="O280" s="21">
        <v>174.606683970131</v>
      </c>
      <c r="P280" s="21">
        <v>220.58378207000899</v>
      </c>
      <c r="Q280" s="21">
        <v>211.78430216783701</v>
      </c>
      <c r="R280" s="21">
        <v>211.223056203705</v>
      </c>
      <c r="S280" s="21">
        <v>137.709635207357</v>
      </c>
    </row>
    <row r="281" spans="1:19">
      <c r="A281" s="9">
        <f t="shared" si="4"/>
        <v>41275</v>
      </c>
      <c r="B281" s="21">
        <v>174.01641907952401</v>
      </c>
      <c r="C281" s="21">
        <v>178.56000354184999</v>
      </c>
      <c r="D281" s="21">
        <v>137.65658042151401</v>
      </c>
      <c r="E281" s="21">
        <v>120.215791450328</v>
      </c>
      <c r="F281" s="21">
        <v>122.05481433026</v>
      </c>
      <c r="G281" s="21">
        <v>98.480391472771302</v>
      </c>
      <c r="H281" s="21">
        <v>167.28356410695</v>
      </c>
      <c r="I281" s="21">
        <v>121.051189349491</v>
      </c>
      <c r="J281" s="21">
        <v>126.702433520452</v>
      </c>
      <c r="K281" s="21">
        <v>160.00634816144299</v>
      </c>
      <c r="L281" s="21">
        <v>183.41363319617</v>
      </c>
      <c r="M281" s="21">
        <v>137.37609994239901</v>
      </c>
      <c r="N281" s="21">
        <v>181.153060933646</v>
      </c>
      <c r="O281" s="21">
        <v>171.567882879584</v>
      </c>
      <c r="P281" s="21">
        <v>226.609992793261</v>
      </c>
      <c r="Q281" s="21">
        <v>220.02564378736099</v>
      </c>
      <c r="R281" s="21">
        <v>210.523020442465</v>
      </c>
      <c r="S281" s="21">
        <v>136.22635065015399</v>
      </c>
    </row>
    <row r="282" spans="1:19">
      <c r="A282" s="9">
        <f t="shared" si="4"/>
        <v>41306</v>
      </c>
      <c r="B282" s="21">
        <v>175.53252666538299</v>
      </c>
      <c r="C282" s="21">
        <v>180.64064164816801</v>
      </c>
      <c r="D282" s="21">
        <v>137.38039476975101</v>
      </c>
      <c r="E282" s="21">
        <v>119.555586754662</v>
      </c>
      <c r="F282" s="21">
        <v>121.438634863429</v>
      </c>
      <c r="G282" s="21">
        <v>97.2998528713848</v>
      </c>
      <c r="H282" s="21">
        <v>168.57620889391401</v>
      </c>
      <c r="I282" s="21">
        <v>120.28633050791299</v>
      </c>
      <c r="J282" s="21">
        <v>125.22961727001299</v>
      </c>
      <c r="K282" s="21">
        <v>159.64917649399399</v>
      </c>
      <c r="L282" s="21">
        <v>185.80548534754601</v>
      </c>
      <c r="M282" s="21">
        <v>134.36116205867299</v>
      </c>
      <c r="N282" s="21">
        <v>183.31613589606201</v>
      </c>
      <c r="O282" s="21">
        <v>181.10292185126099</v>
      </c>
      <c r="P282" s="21">
        <v>230.71860656145299</v>
      </c>
      <c r="Q282" s="21">
        <v>226.44560238385401</v>
      </c>
      <c r="R282" s="21">
        <v>209.547791049941</v>
      </c>
      <c r="S282" s="21">
        <v>137.719803423027</v>
      </c>
    </row>
    <row r="283" spans="1:19">
      <c r="A283" s="9">
        <f t="shared" si="4"/>
        <v>41334</v>
      </c>
      <c r="B283" s="21">
        <v>171.20278492009101</v>
      </c>
      <c r="C283" s="21">
        <v>176.13576843914899</v>
      </c>
      <c r="D283" s="21">
        <v>134.26356512043699</v>
      </c>
      <c r="E283" s="21">
        <v>119.67356209805899</v>
      </c>
      <c r="F283" s="21">
        <v>121.59888390886201</v>
      </c>
      <c r="G283" s="21">
        <v>96.918195593405898</v>
      </c>
      <c r="H283" s="21">
        <v>158.68469452280101</v>
      </c>
      <c r="I283" s="21">
        <v>120.202074808879</v>
      </c>
      <c r="J283" s="21">
        <v>123.77732245947701</v>
      </c>
      <c r="K283" s="21">
        <v>151.46657872190201</v>
      </c>
      <c r="L283" s="21">
        <v>172.559574669483</v>
      </c>
      <c r="M283" s="21">
        <v>131.07379360099301</v>
      </c>
      <c r="N283" s="21">
        <v>170.76636903228501</v>
      </c>
      <c r="O283" s="21">
        <v>183.534224720819</v>
      </c>
      <c r="P283" s="21">
        <v>224.63441858970501</v>
      </c>
      <c r="Q283" s="21">
        <v>219.79647199960999</v>
      </c>
      <c r="R283" s="21">
        <v>218.443707149662</v>
      </c>
      <c r="S283" s="21">
        <v>133.445307740065</v>
      </c>
    </row>
    <row r="284" spans="1:19">
      <c r="A284" s="9">
        <f t="shared" si="4"/>
        <v>41365</v>
      </c>
      <c r="B284" s="21">
        <v>167.799638835004</v>
      </c>
      <c r="C284" s="21">
        <v>173.32436829401101</v>
      </c>
      <c r="D284" s="21">
        <v>132.296069397905</v>
      </c>
      <c r="E284" s="21">
        <v>121.79676482574899</v>
      </c>
      <c r="F284" s="21">
        <v>124.008252155571</v>
      </c>
      <c r="G284" s="21">
        <v>95.659209832013502</v>
      </c>
      <c r="H284" s="21">
        <v>154.35005148226401</v>
      </c>
      <c r="I284" s="21">
        <v>121.966180902502</v>
      </c>
      <c r="J284" s="21">
        <v>123.112235515729</v>
      </c>
      <c r="K284" s="21">
        <v>143.86197326421399</v>
      </c>
      <c r="L284" s="21">
        <v>166.76636720472999</v>
      </c>
      <c r="M284" s="21">
        <v>121.717921982246</v>
      </c>
      <c r="N284" s="21">
        <v>163.99396685641699</v>
      </c>
      <c r="O284" s="21">
        <v>181.27889506433601</v>
      </c>
      <c r="P284" s="21">
        <v>219.15464109048099</v>
      </c>
      <c r="Q284" s="21">
        <v>211.18567262749599</v>
      </c>
      <c r="R284" s="21">
        <v>222.82327872835901</v>
      </c>
      <c r="S284" s="21">
        <v>130.09184187832199</v>
      </c>
    </row>
    <row r="285" spans="1:19">
      <c r="A285" s="9">
        <f t="shared" si="4"/>
        <v>41395</v>
      </c>
      <c r="B285" s="21">
        <v>166.76228520571701</v>
      </c>
      <c r="C285" s="21">
        <v>172.81838017122899</v>
      </c>
      <c r="D285" s="21">
        <v>130.800643126067</v>
      </c>
      <c r="E285" s="21">
        <v>124.17406449664</v>
      </c>
      <c r="F285" s="21">
        <v>126.64779896192</v>
      </c>
      <c r="G285" s="21">
        <v>94.937012240346107</v>
      </c>
      <c r="H285" s="21">
        <v>150.06900252240499</v>
      </c>
      <c r="I285" s="21">
        <v>124.538574432684</v>
      </c>
      <c r="J285" s="21">
        <v>127.00438701539299</v>
      </c>
      <c r="K285" s="21">
        <v>137.21795486876201</v>
      </c>
      <c r="L285" s="21">
        <v>159.23665843212399</v>
      </c>
      <c r="M285" s="21">
        <v>115.930192261472</v>
      </c>
      <c r="N285" s="21">
        <v>156.61433438397501</v>
      </c>
      <c r="O285" s="21">
        <v>167.581742903145</v>
      </c>
      <c r="P285" s="21">
        <v>218.77987778561399</v>
      </c>
      <c r="Q285" s="21">
        <v>213.07951436103301</v>
      </c>
      <c r="R285" s="21">
        <v>216.475667920348</v>
      </c>
      <c r="S285" s="21">
        <v>129.874580687551</v>
      </c>
    </row>
    <row r="286" spans="1:19">
      <c r="A286" s="9">
        <f t="shared" si="4"/>
        <v>41426</v>
      </c>
      <c r="B286" s="21">
        <v>164.041088633821</v>
      </c>
      <c r="C286" s="21">
        <v>170.43401480427499</v>
      </c>
      <c r="D286" s="21">
        <v>126.503605484533</v>
      </c>
      <c r="E286" s="21">
        <v>121.761999115099</v>
      </c>
      <c r="F286" s="21">
        <v>124.53205512477</v>
      </c>
      <c r="G286" s="21">
        <v>89.022724369019897</v>
      </c>
      <c r="H286" s="21">
        <v>144.39962156482201</v>
      </c>
      <c r="I286" s="21">
        <v>122.14622794952599</v>
      </c>
      <c r="J286" s="21">
        <v>124.74543362509699</v>
      </c>
      <c r="K286" s="21">
        <v>130.792797099556</v>
      </c>
      <c r="L286" s="21">
        <v>152.21171070030201</v>
      </c>
      <c r="M286" s="21">
        <v>110.084913607386</v>
      </c>
      <c r="N286" s="21">
        <v>149.60165475297299</v>
      </c>
      <c r="O286" s="21">
        <v>154.199542040664</v>
      </c>
      <c r="P286" s="21">
        <v>218.33809488869599</v>
      </c>
      <c r="Q286" s="21">
        <v>211.893610232123</v>
      </c>
      <c r="R286" s="21">
        <v>215.64289674251299</v>
      </c>
      <c r="S286" s="21">
        <v>124.109906035829</v>
      </c>
    </row>
    <row r="287" spans="1:19">
      <c r="A287" s="9">
        <f t="shared" si="4"/>
        <v>41456</v>
      </c>
      <c r="B287" s="21">
        <v>165.986225218496</v>
      </c>
      <c r="C287" s="21">
        <v>173.10342864074599</v>
      </c>
      <c r="D287" s="21">
        <v>124.859473821243</v>
      </c>
      <c r="E287" s="21">
        <v>120.11025339808999</v>
      </c>
      <c r="F287" s="21">
        <v>122.578748483342</v>
      </c>
      <c r="G287" s="21">
        <v>90.9351253417328</v>
      </c>
      <c r="H287" s="21">
        <v>145.45195963710901</v>
      </c>
      <c r="I287" s="21">
        <v>119.9828253315</v>
      </c>
      <c r="J287" s="21">
        <v>119.120808418059</v>
      </c>
      <c r="K287" s="21">
        <v>130.33727546709</v>
      </c>
      <c r="L287" s="21">
        <v>155.91798860731399</v>
      </c>
      <c r="M287" s="21">
        <v>105.605749058771</v>
      </c>
      <c r="N287" s="21">
        <v>152.38173041130199</v>
      </c>
      <c r="O287" s="21">
        <v>147.77335822278201</v>
      </c>
      <c r="P287" s="21">
        <v>225.47501590215401</v>
      </c>
      <c r="Q287" s="21">
        <v>225.03253278797499</v>
      </c>
      <c r="R287" s="21">
        <v>207.73019063646001</v>
      </c>
      <c r="S287" s="21">
        <v>115.159315800828</v>
      </c>
    </row>
    <row r="288" spans="1:19">
      <c r="A288" s="9">
        <f t="shared" si="4"/>
        <v>41487</v>
      </c>
      <c r="B288" s="21">
        <v>168.574743479164</v>
      </c>
      <c r="C288" s="21">
        <v>175.43767387423799</v>
      </c>
      <c r="D288" s="21">
        <v>125.702771017469</v>
      </c>
      <c r="E288" s="21">
        <v>117.066810125183</v>
      </c>
      <c r="F288" s="21">
        <v>119.250030212696</v>
      </c>
      <c r="G288" s="21">
        <v>91.263345492438106</v>
      </c>
      <c r="H288" s="21">
        <v>151.02179175089901</v>
      </c>
      <c r="I288" s="21">
        <v>117.442392408833</v>
      </c>
      <c r="J288" s="21">
        <v>119.98310647254</v>
      </c>
      <c r="K288" s="21">
        <v>136.75288284214</v>
      </c>
      <c r="L288" s="21">
        <v>163.358957589868</v>
      </c>
      <c r="M288" s="21">
        <v>111.030033106159</v>
      </c>
      <c r="N288" s="21">
        <v>160.07450504323401</v>
      </c>
      <c r="O288" s="21">
        <v>143.381094525923</v>
      </c>
      <c r="P288" s="21">
        <v>230.58795165440901</v>
      </c>
      <c r="Q288" s="21">
        <v>228.906542985112</v>
      </c>
      <c r="R288" s="21">
        <v>204.729703592726</v>
      </c>
      <c r="S288" s="21">
        <v>115.318690522293</v>
      </c>
    </row>
    <row r="289" spans="1:19">
      <c r="A289" s="9">
        <f t="shared" si="4"/>
        <v>41518</v>
      </c>
      <c r="B289" s="21">
        <v>167.94134971176501</v>
      </c>
      <c r="C289" s="21">
        <v>174.71719619327601</v>
      </c>
      <c r="D289" s="21">
        <v>123.283631068083</v>
      </c>
      <c r="E289" s="21">
        <v>113.471333322053</v>
      </c>
      <c r="F289" s="21">
        <v>115.52917148149</v>
      </c>
      <c r="G289" s="21">
        <v>89.149756917266004</v>
      </c>
      <c r="H289" s="21">
        <v>149.08772258069499</v>
      </c>
      <c r="I289" s="21">
        <v>114.242986622808</v>
      </c>
      <c r="J289" s="21">
        <v>119.463015572194</v>
      </c>
      <c r="K289" s="21">
        <v>135.56621760641099</v>
      </c>
      <c r="L289" s="21">
        <v>160.86286447272499</v>
      </c>
      <c r="M289" s="21">
        <v>111.109327503825</v>
      </c>
      <c r="N289" s="21">
        <v>157.81803284566899</v>
      </c>
      <c r="O289" s="21">
        <v>140.380589030164</v>
      </c>
      <c r="P289" s="21">
        <v>232.53759392134799</v>
      </c>
      <c r="Q289" s="21">
        <v>229.54924717595</v>
      </c>
      <c r="R289" s="21">
        <v>207.354595103945</v>
      </c>
      <c r="S289" s="21">
        <v>116.28080895144601</v>
      </c>
    </row>
    <row r="290" spans="1:19">
      <c r="A290" s="9">
        <f t="shared" si="4"/>
        <v>41548</v>
      </c>
      <c r="B290" s="21">
        <v>165.38126846353401</v>
      </c>
      <c r="C290" s="21">
        <v>172.16304459325599</v>
      </c>
      <c r="D290" s="21">
        <v>122.160515807024</v>
      </c>
      <c r="E290" s="21">
        <v>112.73124437483</v>
      </c>
      <c r="F290" s="21">
        <v>114.84173931266</v>
      </c>
      <c r="G290" s="21">
        <v>87.787317833792798</v>
      </c>
      <c r="H290" s="21">
        <v>149.031618325164</v>
      </c>
      <c r="I290" s="21">
        <v>113.48913759193699</v>
      </c>
      <c r="J290" s="21">
        <v>118.616083242231</v>
      </c>
      <c r="K290" s="21">
        <v>134.36322892510699</v>
      </c>
      <c r="L290" s="21">
        <v>161.12109624711499</v>
      </c>
      <c r="M290" s="21">
        <v>108.49362557679299</v>
      </c>
      <c r="N290" s="21">
        <v>157.75477076302801</v>
      </c>
      <c r="O290" s="21">
        <v>133.52667771598399</v>
      </c>
      <c r="P290" s="21">
        <v>227.89897824172701</v>
      </c>
      <c r="Q290" s="21">
        <v>220.61701507428401</v>
      </c>
      <c r="R290" s="21">
        <v>205.31072956556699</v>
      </c>
      <c r="S290" s="21">
        <v>124.409684991506</v>
      </c>
    </row>
    <row r="291" spans="1:19">
      <c r="A291" s="9">
        <f t="shared" si="4"/>
        <v>41579</v>
      </c>
      <c r="B291" s="21">
        <v>163.56338499403699</v>
      </c>
      <c r="C291" s="21">
        <v>170.50529479212199</v>
      </c>
      <c r="D291" s="21">
        <v>121.86952208069199</v>
      </c>
      <c r="E291" s="21">
        <v>113.59055227216599</v>
      </c>
      <c r="F291" s="21">
        <v>115.94757210169701</v>
      </c>
      <c r="G291" s="21">
        <v>85.732949569706193</v>
      </c>
      <c r="H291" s="21">
        <v>149.062623739022</v>
      </c>
      <c r="I291" s="21">
        <v>114.16338526549499</v>
      </c>
      <c r="J291" s="21">
        <v>118.03844781679901</v>
      </c>
      <c r="K291" s="21">
        <v>132.88579799664501</v>
      </c>
      <c r="L291" s="21">
        <v>161.39402244155301</v>
      </c>
      <c r="M291" s="21">
        <v>105.323943022207</v>
      </c>
      <c r="N291" s="21">
        <v>157.697184306541</v>
      </c>
      <c r="O291" s="21">
        <v>129.91972538889999</v>
      </c>
      <c r="P291" s="21">
        <v>223.87248793502201</v>
      </c>
      <c r="Q291" s="21">
        <v>215.675788864156</v>
      </c>
      <c r="R291" s="21">
        <v>206.47673557444699</v>
      </c>
      <c r="S291" s="21">
        <v>127.65562723257401</v>
      </c>
    </row>
    <row r="292" spans="1:19">
      <c r="A292" s="9">
        <f t="shared" si="4"/>
        <v>41609</v>
      </c>
      <c r="B292" s="21">
        <v>167.154612100001</v>
      </c>
      <c r="C292" s="21">
        <v>174.95971663576</v>
      </c>
      <c r="D292" s="21">
        <v>122.358489889086</v>
      </c>
      <c r="E292" s="21">
        <v>115.05582103942599</v>
      </c>
      <c r="F292" s="21">
        <v>117.14923372813701</v>
      </c>
      <c r="G292" s="21">
        <v>90.313789494440996</v>
      </c>
      <c r="H292" s="21">
        <v>150.677955483988</v>
      </c>
      <c r="I292" s="21">
        <v>115.850322989548</v>
      </c>
      <c r="J292" s="21">
        <v>121.224916963198</v>
      </c>
      <c r="K292" s="21">
        <v>131.20987028190399</v>
      </c>
      <c r="L292" s="21">
        <v>162.38486308763899</v>
      </c>
      <c r="M292" s="21">
        <v>101.06977396684501</v>
      </c>
      <c r="N292" s="21">
        <v>157.93191808857901</v>
      </c>
      <c r="O292" s="21">
        <v>134.55397418511899</v>
      </c>
      <c r="P292" s="21">
        <v>231.95105351848599</v>
      </c>
      <c r="Q292" s="21">
        <v>220.645322959769</v>
      </c>
      <c r="R292" s="21">
        <v>219.48776296664099</v>
      </c>
      <c r="S292" s="21">
        <v>129.525886537009</v>
      </c>
    </row>
    <row r="293" spans="1:19">
      <c r="A293" s="9">
        <f t="shared" si="4"/>
        <v>41640</v>
      </c>
      <c r="B293" s="21">
        <v>165.544040422313</v>
      </c>
      <c r="C293" s="21">
        <v>172.991194668296</v>
      </c>
      <c r="D293" s="21">
        <v>122.629895576679</v>
      </c>
      <c r="E293" s="21">
        <v>115.784943239361</v>
      </c>
      <c r="F293" s="21">
        <v>117.824716806439</v>
      </c>
      <c r="G293" s="21">
        <v>91.676872139284001</v>
      </c>
      <c r="H293" s="21">
        <v>147.76167095511499</v>
      </c>
      <c r="I293" s="21">
        <v>116.123175707397</v>
      </c>
      <c r="J293" s="21">
        <v>118.41122822145</v>
      </c>
      <c r="K293" s="21">
        <v>130.66351223743101</v>
      </c>
      <c r="L293" s="21">
        <v>159.42779908538299</v>
      </c>
      <c r="M293" s="21">
        <v>102.854095201359</v>
      </c>
      <c r="N293" s="21">
        <v>155.68763459817899</v>
      </c>
      <c r="O293" s="21">
        <v>144.55563613485401</v>
      </c>
      <c r="P293" s="21">
        <v>227.61824986888399</v>
      </c>
      <c r="Q293" s="21">
        <v>213.88251548085901</v>
      </c>
      <c r="R293" s="21">
        <v>222.17231059990999</v>
      </c>
      <c r="S293" s="21">
        <v>127.051751668842</v>
      </c>
    </row>
    <row r="294" spans="1:19">
      <c r="A294" s="9">
        <f t="shared" si="4"/>
        <v>41671</v>
      </c>
      <c r="B294" s="21">
        <v>169.32971354494899</v>
      </c>
      <c r="C294" s="21">
        <v>176.69601733786001</v>
      </c>
      <c r="D294" s="21">
        <v>124.91496682786401</v>
      </c>
      <c r="E294" s="21">
        <v>119.69028766184999</v>
      </c>
      <c r="F294" s="21">
        <v>120.977644304908</v>
      </c>
      <c r="G294" s="21">
        <v>104.475027506055</v>
      </c>
      <c r="H294" s="21">
        <v>144.65558446839</v>
      </c>
      <c r="I294" s="21">
        <v>119.50042390543599</v>
      </c>
      <c r="J294" s="21">
        <v>118.21604618820101</v>
      </c>
      <c r="K294" s="21">
        <v>130.70761530315599</v>
      </c>
      <c r="L294" s="21">
        <v>155.16469481063299</v>
      </c>
      <c r="M294" s="21">
        <v>107.06242197356001</v>
      </c>
      <c r="N294" s="21">
        <v>152.12842747074001</v>
      </c>
      <c r="O294" s="21">
        <v>153.80844225246599</v>
      </c>
      <c r="P294" s="21">
        <v>233.57450509677901</v>
      </c>
      <c r="Q294" s="21">
        <v>218.97144844778299</v>
      </c>
      <c r="R294" s="21">
        <v>230.82778733156201</v>
      </c>
      <c r="S294" s="21">
        <v>119.46571027803699</v>
      </c>
    </row>
    <row r="295" spans="1:19">
      <c r="A295" s="9">
        <f t="shared" si="4"/>
        <v>41699</v>
      </c>
      <c r="B295" s="21">
        <v>168.62045509700701</v>
      </c>
      <c r="C295" s="21">
        <v>175.58835192616701</v>
      </c>
      <c r="D295" s="21">
        <v>128.12176546803801</v>
      </c>
      <c r="E295" s="21">
        <v>127.08805667698</v>
      </c>
      <c r="F295" s="21">
        <v>128.065251870167</v>
      </c>
      <c r="G295" s="21">
        <v>115.538592767739</v>
      </c>
      <c r="H295" s="21">
        <v>140.37798011976099</v>
      </c>
      <c r="I295" s="21">
        <v>126.335732314735</v>
      </c>
      <c r="J295" s="21">
        <v>121.246458483589</v>
      </c>
      <c r="K295" s="21">
        <v>128.593297234961</v>
      </c>
      <c r="L295" s="21">
        <v>147.98232138165801</v>
      </c>
      <c r="M295" s="21">
        <v>109.84791824231699</v>
      </c>
      <c r="N295" s="21">
        <v>146.03036676911299</v>
      </c>
      <c r="O295" s="21">
        <v>154.823378038393</v>
      </c>
      <c r="P295" s="21">
        <v>227.200770547383</v>
      </c>
      <c r="Q295" s="21">
        <v>216.47724062285599</v>
      </c>
      <c r="R295" s="21">
        <v>220.220353048091</v>
      </c>
      <c r="S295" s="21">
        <v>114.78472122749</v>
      </c>
    </row>
    <row r="296" spans="1:19">
      <c r="A296" s="9">
        <f t="shared" si="4"/>
        <v>41730</v>
      </c>
      <c r="B296" s="21">
        <v>170.10015264499401</v>
      </c>
      <c r="C296" s="21">
        <v>177.57151495687199</v>
      </c>
      <c r="D296" s="21">
        <v>129.36275372775799</v>
      </c>
      <c r="E296" s="21">
        <v>129.56088748471299</v>
      </c>
      <c r="F296" s="21">
        <v>130.619123857353</v>
      </c>
      <c r="G296" s="21">
        <v>117.053598379653</v>
      </c>
      <c r="H296" s="21">
        <v>143.115010553215</v>
      </c>
      <c r="I296" s="21">
        <v>128.12063026342801</v>
      </c>
      <c r="J296" s="21">
        <v>118.37767396126399</v>
      </c>
      <c r="K296" s="21">
        <v>129.53536997082</v>
      </c>
      <c r="L296" s="21">
        <v>152.94753474721099</v>
      </c>
      <c r="M296" s="21">
        <v>106.90040399980499</v>
      </c>
      <c r="N296" s="21">
        <v>150.136233649465</v>
      </c>
      <c r="O296" s="21">
        <v>149.78582810542699</v>
      </c>
      <c r="P296" s="21">
        <v>229.02575495614801</v>
      </c>
      <c r="Q296" s="21">
        <v>217.92910907012799</v>
      </c>
      <c r="R296" s="21">
        <v>222.047589674287</v>
      </c>
      <c r="S296" s="21">
        <v>114.576779470105</v>
      </c>
    </row>
    <row r="297" spans="1:19">
      <c r="A297" s="9">
        <f t="shared" si="4"/>
        <v>41760</v>
      </c>
      <c r="B297" s="21">
        <v>168.083911680445</v>
      </c>
      <c r="C297" s="21">
        <v>175.43116754000599</v>
      </c>
      <c r="D297" s="21">
        <v>125.660366292674</v>
      </c>
      <c r="E297" s="21">
        <v>124.537192729919</v>
      </c>
      <c r="F297" s="21">
        <v>125.42816310935</v>
      </c>
      <c r="G297" s="21">
        <v>114.00681935805</v>
      </c>
      <c r="H297" s="21">
        <v>139.73496554901999</v>
      </c>
      <c r="I297" s="21">
        <v>123.54648789014</v>
      </c>
      <c r="J297" s="21">
        <v>116.84463365212299</v>
      </c>
      <c r="K297" s="21">
        <v>127.14913989912201</v>
      </c>
      <c r="L297" s="21">
        <v>148.833347719155</v>
      </c>
      <c r="M297" s="21">
        <v>106.18476899183101</v>
      </c>
      <c r="N297" s="21">
        <v>146.56378022028801</v>
      </c>
      <c r="O297" s="21">
        <v>146.15964460460199</v>
      </c>
      <c r="P297" s="21">
        <v>229.44848159880701</v>
      </c>
      <c r="Q297" s="21">
        <v>219.66346490212601</v>
      </c>
      <c r="R297" s="21">
        <v>219.82793928276101</v>
      </c>
      <c r="S297" s="21">
        <v>115.137999473549</v>
      </c>
    </row>
    <row r="298" spans="1:19">
      <c r="A298" s="9">
        <f t="shared" si="4"/>
        <v>41791</v>
      </c>
      <c r="B298" s="21">
        <v>168.350187460071</v>
      </c>
      <c r="C298" s="21">
        <v>175.803961689593</v>
      </c>
      <c r="D298" s="21">
        <v>123.23828509567799</v>
      </c>
      <c r="E298" s="21">
        <v>121.59994834016</v>
      </c>
      <c r="F298" s="21">
        <v>122.506996590824</v>
      </c>
      <c r="G298" s="21">
        <v>110.87955070820701</v>
      </c>
      <c r="H298" s="21">
        <v>137.30603977709899</v>
      </c>
      <c r="I298" s="21">
        <v>121.01562222234099</v>
      </c>
      <c r="J298" s="21">
        <v>117.062811746555</v>
      </c>
      <c r="K298" s="21">
        <v>125.224546834194</v>
      </c>
      <c r="L298" s="21">
        <v>145.35225884498701</v>
      </c>
      <c r="M298" s="21">
        <v>105.765001730611</v>
      </c>
      <c r="N298" s="21">
        <v>143.62899113643999</v>
      </c>
      <c r="O298" s="21">
        <v>139.77121423985199</v>
      </c>
      <c r="P298" s="21">
        <v>233.60339676840999</v>
      </c>
      <c r="Q298" s="21">
        <v>226.29864156205099</v>
      </c>
      <c r="R298" s="21">
        <v>218.992218180197</v>
      </c>
      <c r="S298" s="21">
        <v>112.727644533191</v>
      </c>
    </row>
    <row r="299" spans="1:19">
      <c r="A299" s="9">
        <f t="shared" si="4"/>
        <v>41821</v>
      </c>
      <c r="B299" s="21">
        <v>164.81152994963799</v>
      </c>
      <c r="C299" s="21">
        <v>171.576133743626</v>
      </c>
      <c r="D299" s="21">
        <v>123.08844258412</v>
      </c>
      <c r="E299" s="21">
        <v>119.242948933047</v>
      </c>
      <c r="F299" s="21">
        <v>119.838592069054</v>
      </c>
      <c r="G299" s="21">
        <v>112.203046414017</v>
      </c>
      <c r="H299" s="21">
        <v>139.55528045809399</v>
      </c>
      <c r="I299" s="21">
        <v>118.58200061482501</v>
      </c>
      <c r="J299" s="21">
        <v>114.110861371601</v>
      </c>
      <c r="K299" s="21">
        <v>128.84408037998</v>
      </c>
      <c r="L299" s="21">
        <v>149.66885373386501</v>
      </c>
      <c r="M299" s="21">
        <v>108.710613837209</v>
      </c>
      <c r="N299" s="21">
        <v>148.11079220783901</v>
      </c>
      <c r="O299" s="21">
        <v>135.98680625991099</v>
      </c>
      <c r="P299" s="21">
        <v>225.16290531086099</v>
      </c>
      <c r="Q299" s="21">
        <v>219.90339019835</v>
      </c>
      <c r="R299" s="21">
        <v>202.85492645415999</v>
      </c>
      <c r="S299" s="21">
        <v>108.290251720669</v>
      </c>
    </row>
    <row r="300" spans="1:19">
      <c r="A300" s="9">
        <f t="shared" si="4"/>
        <v>41852</v>
      </c>
      <c r="B300" s="21">
        <v>159.26396943677199</v>
      </c>
      <c r="C300" s="21">
        <v>165.53672989636999</v>
      </c>
      <c r="D300" s="21">
        <v>119.74195437759499</v>
      </c>
      <c r="E300" s="21">
        <v>114.344066625518</v>
      </c>
      <c r="F300" s="21">
        <v>114.239873787573</v>
      </c>
      <c r="G300" s="21">
        <v>115.575521129008</v>
      </c>
      <c r="H300" s="21">
        <v>137.40332038668001</v>
      </c>
      <c r="I300" s="21">
        <v>113.64720416639599</v>
      </c>
      <c r="J300" s="21">
        <v>108.93311533039299</v>
      </c>
      <c r="K300" s="21">
        <v>127.56867186889301</v>
      </c>
      <c r="L300" s="21">
        <v>148.71957421956299</v>
      </c>
      <c r="M300" s="21">
        <v>107.119902627082</v>
      </c>
      <c r="N300" s="21">
        <v>146.77439588065499</v>
      </c>
      <c r="O300" s="21">
        <v>136.67946362121901</v>
      </c>
      <c r="P300" s="21">
        <v>216.43155018103701</v>
      </c>
      <c r="Q300" s="21">
        <v>210.832464575648</v>
      </c>
      <c r="R300" s="21">
        <v>203.11846327904499</v>
      </c>
      <c r="S300" s="21">
        <v>108.14457032781699</v>
      </c>
    </row>
    <row r="301" spans="1:19">
      <c r="A301" s="9">
        <f t="shared" si="4"/>
        <v>41883</v>
      </c>
      <c r="B301" s="21">
        <v>154.19447157786001</v>
      </c>
      <c r="C301" s="21">
        <v>160.41181257520699</v>
      </c>
      <c r="D301" s="21">
        <v>116.216476058579</v>
      </c>
      <c r="E301" s="21">
        <v>112.31881712189499</v>
      </c>
      <c r="F301" s="21">
        <v>112.12184580039199</v>
      </c>
      <c r="G301" s="21">
        <v>114.646819945392</v>
      </c>
      <c r="H301" s="21">
        <v>131.51584521452</v>
      </c>
      <c r="I301" s="21">
        <v>111.545448809698</v>
      </c>
      <c r="J301" s="21">
        <v>106.313818264923</v>
      </c>
      <c r="K301" s="21">
        <v>121.52908928414099</v>
      </c>
      <c r="L301" s="21">
        <v>141.533073172694</v>
      </c>
      <c r="M301" s="21">
        <v>102.189164978691</v>
      </c>
      <c r="N301" s="21">
        <v>139.55429284115201</v>
      </c>
      <c r="O301" s="21">
        <v>137.37940980649901</v>
      </c>
      <c r="P301" s="21">
        <v>209.128667673454</v>
      </c>
      <c r="Q301" s="21">
        <v>205.457544859715</v>
      </c>
      <c r="R301" s="21">
        <v>201.253492452655</v>
      </c>
      <c r="S301" s="21">
        <v>103.491275682351</v>
      </c>
    </row>
    <row r="302" spans="1:19">
      <c r="A302" s="9">
        <f t="shared" si="4"/>
        <v>41913</v>
      </c>
      <c r="B302" s="21">
        <v>145.752753222802</v>
      </c>
      <c r="C302" s="21">
        <v>151.163060159888</v>
      </c>
      <c r="D302" s="21">
        <v>114.103763116092</v>
      </c>
      <c r="E302" s="21">
        <v>111.894929085089</v>
      </c>
      <c r="F302" s="21">
        <v>111.325610322435</v>
      </c>
      <c r="G302" s="21">
        <v>118.623703999222</v>
      </c>
      <c r="H302" s="21">
        <v>126.381265123342</v>
      </c>
      <c r="I302" s="21">
        <v>110.971419866424</v>
      </c>
      <c r="J302" s="21">
        <v>104.72412609894501</v>
      </c>
      <c r="K302" s="21">
        <v>117.17142165479601</v>
      </c>
      <c r="L302" s="21">
        <v>134.98948139749899</v>
      </c>
      <c r="M302" s="21">
        <v>99.944856755839098</v>
      </c>
      <c r="N302" s="21">
        <v>132.73071445051499</v>
      </c>
      <c r="O302" s="21">
        <v>134.20019312949199</v>
      </c>
      <c r="P302" s="21">
        <v>191.532205376006</v>
      </c>
      <c r="Q302" s="21">
        <v>186.230668060363</v>
      </c>
      <c r="R302" s="21">
        <v>197.51442788254499</v>
      </c>
      <c r="S302" s="21">
        <v>100.27554608449201</v>
      </c>
    </row>
    <row r="303" spans="1:19">
      <c r="A303" s="9">
        <f t="shared" si="4"/>
        <v>41944</v>
      </c>
      <c r="B303" s="21">
        <v>139.117734179824</v>
      </c>
      <c r="C303" s="21">
        <v>144.19600587836899</v>
      </c>
      <c r="D303" s="21">
        <v>112.66417767271101</v>
      </c>
      <c r="E303" s="21">
        <v>111.23406403116699</v>
      </c>
      <c r="F303" s="21">
        <v>111.107192081189</v>
      </c>
      <c r="G303" s="21">
        <v>112.733562818704</v>
      </c>
      <c r="H303" s="21">
        <v>124.990273145242</v>
      </c>
      <c r="I303" s="21">
        <v>110.481675655324</v>
      </c>
      <c r="J303" s="21">
        <v>105.39196878924599</v>
      </c>
      <c r="K303" s="21">
        <v>114.1299503068</v>
      </c>
      <c r="L303" s="21">
        <v>132.780149837317</v>
      </c>
      <c r="M303" s="21">
        <v>96.098869637507207</v>
      </c>
      <c r="N303" s="21">
        <v>130.22176380285001</v>
      </c>
      <c r="O303" s="21">
        <v>134.67996327063901</v>
      </c>
      <c r="P303" s="21">
        <v>177.382124933407</v>
      </c>
      <c r="Q303" s="21">
        <v>168.68200183494</v>
      </c>
      <c r="R303" s="21">
        <v>206.686289322644</v>
      </c>
      <c r="S303" s="21">
        <v>99.000730570602599</v>
      </c>
    </row>
    <row r="304" spans="1:19">
      <c r="A304" s="9">
        <f t="shared" si="4"/>
        <v>41974</v>
      </c>
      <c r="B304" s="21">
        <v>125.942806375475</v>
      </c>
      <c r="C304" s="21">
        <v>129.29506341900799</v>
      </c>
      <c r="D304" s="21">
        <v>110.873803617231</v>
      </c>
      <c r="E304" s="21">
        <v>109.16562675034901</v>
      </c>
      <c r="F304" s="21">
        <v>109.24047683835001</v>
      </c>
      <c r="G304" s="21">
        <v>108.280974025901</v>
      </c>
      <c r="H304" s="21">
        <v>119.99124668389901</v>
      </c>
      <c r="I304" s="21">
        <v>108.652993422245</v>
      </c>
      <c r="J304" s="21">
        <v>105.185165564184</v>
      </c>
      <c r="K304" s="21">
        <v>111.774312627098</v>
      </c>
      <c r="L304" s="21">
        <v>125.87632450085501</v>
      </c>
      <c r="M304" s="21">
        <v>98.140436309637707</v>
      </c>
      <c r="N304" s="21">
        <v>124.277917252078</v>
      </c>
      <c r="O304" s="21">
        <v>140.326927961949</v>
      </c>
      <c r="P304" s="21">
        <v>147.73973223129499</v>
      </c>
      <c r="Q304" s="21">
        <v>133.674004430895</v>
      </c>
      <c r="R304" s="21">
        <v>199.83573409165399</v>
      </c>
      <c r="S304" s="21">
        <v>98.836183032454301</v>
      </c>
    </row>
    <row r="305" spans="1:19">
      <c r="A305" s="9">
        <f t="shared" si="4"/>
        <v>42005</v>
      </c>
      <c r="B305" s="21">
        <v>114.034752329068</v>
      </c>
      <c r="C305" s="21">
        <v>115.590747942512</v>
      </c>
      <c r="D305" s="21">
        <v>108.502976656165</v>
      </c>
      <c r="E305" s="21">
        <v>105.004374107046</v>
      </c>
      <c r="F305" s="21">
        <v>104.75367193355601</v>
      </c>
      <c r="G305" s="21">
        <v>107.96742153593701</v>
      </c>
      <c r="H305" s="21">
        <v>115.697668569169</v>
      </c>
      <c r="I305" s="21">
        <v>104.900811406774</v>
      </c>
      <c r="J305" s="21">
        <v>104.20023733682299</v>
      </c>
      <c r="K305" s="21">
        <v>110.950846338077</v>
      </c>
      <c r="L305" s="21">
        <v>120.267633906409</v>
      </c>
      <c r="M305" s="21">
        <v>101.94334226562</v>
      </c>
      <c r="N305" s="21">
        <v>119.57867312574</v>
      </c>
      <c r="O305" s="21">
        <v>144.49768843578701</v>
      </c>
      <c r="P305" s="21">
        <v>122.036323908005</v>
      </c>
      <c r="Q305" s="21">
        <v>107.765799392993</v>
      </c>
      <c r="R305" s="21">
        <v>180.53809167599499</v>
      </c>
      <c r="S305" s="21">
        <v>92.887608021611399</v>
      </c>
    </row>
    <row r="306" spans="1:19">
      <c r="A306" s="9">
        <f t="shared" si="4"/>
        <v>42036</v>
      </c>
      <c r="B306" s="21">
        <v>117.195923951769</v>
      </c>
      <c r="C306" s="21">
        <v>119.333004422429</v>
      </c>
      <c r="D306" s="21">
        <v>105.82242072415001</v>
      </c>
      <c r="E306" s="21">
        <v>101.97575267745501</v>
      </c>
      <c r="F306" s="21">
        <v>101.520138735796</v>
      </c>
      <c r="G306" s="21">
        <v>107.3606510196</v>
      </c>
      <c r="H306" s="21">
        <v>112.891399198825</v>
      </c>
      <c r="I306" s="21">
        <v>102.436356599626</v>
      </c>
      <c r="J306" s="21">
        <v>105.552219391355</v>
      </c>
      <c r="K306" s="21">
        <v>107.747707235682</v>
      </c>
      <c r="L306" s="21">
        <v>115.808554922231</v>
      </c>
      <c r="M306" s="21">
        <v>99.954450404235502</v>
      </c>
      <c r="N306" s="21">
        <v>115.382656592628</v>
      </c>
      <c r="O306" s="21">
        <v>144.140444786427</v>
      </c>
      <c r="P306" s="21">
        <v>133.64740455407599</v>
      </c>
      <c r="Q306" s="21">
        <v>125.13506637886999</v>
      </c>
      <c r="R306" s="21">
        <v>172.95192999765899</v>
      </c>
      <c r="S306" s="21">
        <v>99.392645595714001</v>
      </c>
    </row>
    <row r="307" spans="1:19">
      <c r="A307" s="9">
        <f t="shared" si="4"/>
        <v>42064</v>
      </c>
      <c r="B307" s="21">
        <v>113.29239093815499</v>
      </c>
      <c r="C307" s="21">
        <v>115.42791787720699</v>
      </c>
      <c r="D307" s="21">
        <v>102.91174746739701</v>
      </c>
      <c r="E307" s="21">
        <v>99.275721233301198</v>
      </c>
      <c r="F307" s="21">
        <v>99.113179937541403</v>
      </c>
      <c r="G307" s="21">
        <v>101.196795796735</v>
      </c>
      <c r="H307" s="21">
        <v>110.18728821107899</v>
      </c>
      <c r="I307" s="21">
        <v>99.695060224857102</v>
      </c>
      <c r="J307" s="21">
        <v>102.531776757252</v>
      </c>
      <c r="K307" s="21">
        <v>104.520798270584</v>
      </c>
      <c r="L307" s="21">
        <v>113.230178512037</v>
      </c>
      <c r="M307" s="21">
        <v>96.100537808694497</v>
      </c>
      <c r="N307" s="21">
        <v>112.691761680817</v>
      </c>
      <c r="O307" s="21">
        <v>141.93693694720901</v>
      </c>
      <c r="P307" s="21">
        <v>128.30772537653101</v>
      </c>
      <c r="Q307" s="21">
        <v>122.653388476072</v>
      </c>
      <c r="R307" s="21">
        <v>165.47107037471599</v>
      </c>
      <c r="S307" s="21">
        <v>95.974731528828997</v>
      </c>
    </row>
    <row r="308" spans="1:19">
      <c r="A308" s="9">
        <f t="shared" si="4"/>
        <v>42095</v>
      </c>
      <c r="B308" s="21">
        <v>114.57516550266401</v>
      </c>
      <c r="C308" s="21">
        <v>116.68108479445399</v>
      </c>
      <c r="D308" s="21">
        <v>103.545841053031</v>
      </c>
      <c r="E308" s="21">
        <v>100.88700672474</v>
      </c>
      <c r="F308" s="21">
        <v>100.864893814326</v>
      </c>
      <c r="G308" s="21">
        <v>101.148359075363</v>
      </c>
      <c r="H308" s="21">
        <v>109.115838409367</v>
      </c>
      <c r="I308" s="21">
        <v>101.31266227939</v>
      </c>
      <c r="J308" s="21">
        <v>104.192108677877</v>
      </c>
      <c r="K308" s="21">
        <v>104.149816326044</v>
      </c>
      <c r="L308" s="21">
        <v>111.072908101555</v>
      </c>
      <c r="M308" s="21">
        <v>97.456546043284902</v>
      </c>
      <c r="N308" s="21">
        <v>110.77193240737699</v>
      </c>
      <c r="O308" s="21">
        <v>136.76067560446199</v>
      </c>
      <c r="P308" s="21">
        <v>130.52880033340301</v>
      </c>
      <c r="Q308" s="21">
        <v>133.62960194900899</v>
      </c>
      <c r="R308" s="21">
        <v>139.86804694536801</v>
      </c>
      <c r="S308" s="21">
        <v>89.953448046251395</v>
      </c>
    </row>
    <row r="309" spans="1:19">
      <c r="A309" s="9">
        <f t="shared" si="4"/>
        <v>42125</v>
      </c>
      <c r="B309" s="21">
        <v>118.124995095008</v>
      </c>
      <c r="C309" s="21">
        <v>120.622153226935</v>
      </c>
      <c r="D309" s="21">
        <v>104.74176520031</v>
      </c>
      <c r="E309" s="21">
        <v>100.831558995658</v>
      </c>
      <c r="F309" s="21">
        <v>100.786570862056</v>
      </c>
      <c r="G309" s="21">
        <v>101.36327346683601</v>
      </c>
      <c r="H309" s="21">
        <v>113.919763426638</v>
      </c>
      <c r="I309" s="21">
        <v>101.513838490872</v>
      </c>
      <c r="J309" s="21">
        <v>106.12927746211599</v>
      </c>
      <c r="K309" s="21">
        <v>107.20718390866</v>
      </c>
      <c r="L309" s="21">
        <v>117.01630300131799</v>
      </c>
      <c r="M309" s="21">
        <v>97.723691929660603</v>
      </c>
      <c r="N309" s="21">
        <v>116.227473320052</v>
      </c>
      <c r="O309" s="21">
        <v>133.75336938606799</v>
      </c>
      <c r="P309" s="21">
        <v>137.48349375654001</v>
      </c>
      <c r="Q309" s="21">
        <v>143.18785414710501</v>
      </c>
      <c r="R309" s="21">
        <v>134.25456495220001</v>
      </c>
      <c r="S309" s="21">
        <v>95.929450558304097</v>
      </c>
    </row>
    <row r="310" spans="1:19">
      <c r="A310" s="9">
        <f t="shared" si="4"/>
        <v>42156</v>
      </c>
      <c r="B310" s="21">
        <v>115.70111925052601</v>
      </c>
      <c r="C310" s="21">
        <v>118.083092164037</v>
      </c>
      <c r="D310" s="21">
        <v>102.941969753544</v>
      </c>
      <c r="E310" s="21">
        <v>100.552746219894</v>
      </c>
      <c r="F310" s="21">
        <v>100.151898496033</v>
      </c>
      <c r="G310" s="21">
        <v>105.290362974584</v>
      </c>
      <c r="H310" s="21">
        <v>109.60809973709701</v>
      </c>
      <c r="I310" s="21">
        <v>100.955270902138</v>
      </c>
      <c r="J310" s="21">
        <v>103.678243112711</v>
      </c>
      <c r="K310" s="21">
        <v>103.75700353249501</v>
      </c>
      <c r="L310" s="21">
        <v>111.96508180383999</v>
      </c>
      <c r="M310" s="21">
        <v>95.821403636724</v>
      </c>
      <c r="N310" s="21">
        <v>111.124137697615</v>
      </c>
      <c r="O310" s="21">
        <v>129.177441503702</v>
      </c>
      <c r="P310" s="21">
        <v>134.15690162915001</v>
      </c>
      <c r="Q310" s="21">
        <v>140.51945198039999</v>
      </c>
      <c r="R310" s="21">
        <v>131.43639454695401</v>
      </c>
      <c r="S310" s="21">
        <v>92.303091206450802</v>
      </c>
    </row>
    <row r="311" spans="1:19">
      <c r="A311" s="9">
        <f t="shared" si="4"/>
        <v>42186</v>
      </c>
      <c r="B311" s="21">
        <v>109.338025417978</v>
      </c>
      <c r="C311" s="21">
        <v>111.466561992956</v>
      </c>
      <c r="D311" s="21">
        <v>99.935248423684598</v>
      </c>
      <c r="E311" s="21">
        <v>100.606154369214</v>
      </c>
      <c r="F311" s="21">
        <v>100.1936472183</v>
      </c>
      <c r="G311" s="21">
        <v>105.48157381970699</v>
      </c>
      <c r="H311" s="21">
        <v>101.657983758055</v>
      </c>
      <c r="I311" s="21">
        <v>100.592834264109</v>
      </c>
      <c r="J311" s="21">
        <v>100.502727302615</v>
      </c>
      <c r="K311" s="21">
        <v>96.571106404426402</v>
      </c>
      <c r="L311" s="21">
        <v>102.117171714938</v>
      </c>
      <c r="M311" s="21">
        <v>91.209150311282599</v>
      </c>
      <c r="N311" s="21">
        <v>101.461487058693</v>
      </c>
      <c r="O311" s="21">
        <v>128.16929083518801</v>
      </c>
      <c r="P311" s="21">
        <v>122.93890108782399</v>
      </c>
      <c r="Q311" s="21">
        <v>125.86995833130401</v>
      </c>
      <c r="R311" s="21">
        <v>129.59268661304699</v>
      </c>
      <c r="S311" s="21">
        <v>90.269466610580295</v>
      </c>
    </row>
    <row r="312" spans="1:19">
      <c r="A312" s="9">
        <f t="shared" si="4"/>
        <v>42217</v>
      </c>
      <c r="B312" s="21">
        <v>102.333397054925</v>
      </c>
      <c r="C312" s="21">
        <v>103.783339057343</v>
      </c>
      <c r="D312" s="21">
        <v>97.567398380027896</v>
      </c>
      <c r="E312" s="21">
        <v>97.504621820332304</v>
      </c>
      <c r="F312" s="21">
        <v>97.009721202643803</v>
      </c>
      <c r="G312" s="21">
        <v>103.353849142068</v>
      </c>
      <c r="H312" s="21">
        <v>99.747665480126599</v>
      </c>
      <c r="I312" s="21">
        <v>97.4874922923333</v>
      </c>
      <c r="J312" s="21">
        <v>97.371615600098096</v>
      </c>
      <c r="K312" s="21">
        <v>95.240250717831998</v>
      </c>
      <c r="L312" s="21">
        <v>100.69209083669899</v>
      </c>
      <c r="M312" s="21">
        <v>89.969391882325098</v>
      </c>
      <c r="N312" s="21">
        <v>99.868189770740798</v>
      </c>
      <c r="O312" s="21">
        <v>126.778071799904</v>
      </c>
      <c r="P312" s="21">
        <v>109.22729185422401</v>
      </c>
      <c r="Q312" s="21">
        <v>105.78819320986101</v>
      </c>
      <c r="R312" s="21">
        <v>132.46856167364899</v>
      </c>
      <c r="S312" s="21">
        <v>87.285319416772595</v>
      </c>
    </row>
    <row r="313" spans="1:19">
      <c r="A313" s="9">
        <f t="shared" si="4"/>
        <v>42248</v>
      </c>
      <c r="B313" s="21">
        <v>101.883407742469</v>
      </c>
      <c r="C313" s="21">
        <v>103.218490037233</v>
      </c>
      <c r="D313" s="21">
        <v>96.945982948385804</v>
      </c>
      <c r="E313" s="21">
        <v>96.614292769727001</v>
      </c>
      <c r="F313" s="21">
        <v>96.295730741615301</v>
      </c>
      <c r="G313" s="21">
        <v>100.379375398237</v>
      </c>
      <c r="H313" s="21">
        <v>99.070157516193902</v>
      </c>
      <c r="I313" s="21">
        <v>96.3759391971805</v>
      </c>
      <c r="J313" s="21">
        <v>94.763540795378702</v>
      </c>
      <c r="K313" s="21">
        <v>95.493332774101404</v>
      </c>
      <c r="L313" s="21">
        <v>100.781938933901</v>
      </c>
      <c r="M313" s="21">
        <v>90.380289123311201</v>
      </c>
      <c r="N313" s="21">
        <v>99.868815774318094</v>
      </c>
      <c r="O313" s="21">
        <v>124.594854954901</v>
      </c>
      <c r="P313" s="21">
        <v>109.025266024792</v>
      </c>
      <c r="Q313" s="21">
        <v>105.618554740787</v>
      </c>
      <c r="R313" s="21">
        <v>128.997264518549</v>
      </c>
      <c r="S313" s="21">
        <v>84.025796588148395</v>
      </c>
    </row>
    <row r="314" spans="1:19">
      <c r="A314" s="9">
        <f t="shared" si="4"/>
        <v>42278</v>
      </c>
      <c r="B314" s="21">
        <v>102.035346548918</v>
      </c>
      <c r="C314" s="21">
        <v>103.073026463042</v>
      </c>
      <c r="D314" s="21">
        <v>97.290103332866906</v>
      </c>
      <c r="E314" s="21">
        <v>97.219510521748703</v>
      </c>
      <c r="F314" s="21">
        <v>96.8047132527537</v>
      </c>
      <c r="G314" s="21">
        <v>102.121996863592</v>
      </c>
      <c r="H314" s="21">
        <v>97.223120429052898</v>
      </c>
      <c r="I314" s="21">
        <v>96.944153077111594</v>
      </c>
      <c r="J314" s="21">
        <v>95.081433341409706</v>
      </c>
      <c r="K314" s="21">
        <v>95.772531796072897</v>
      </c>
      <c r="L314" s="21">
        <v>98.074391948399693</v>
      </c>
      <c r="M314" s="21">
        <v>93.5470850372797</v>
      </c>
      <c r="N314" s="21">
        <v>98.125235136844495</v>
      </c>
      <c r="O314" s="21">
        <v>121.657425423117</v>
      </c>
      <c r="P314" s="21">
        <v>108.899219109531</v>
      </c>
      <c r="Q314" s="21">
        <v>107.380754964231</v>
      </c>
      <c r="R314" s="21">
        <v>123.62287880087599</v>
      </c>
      <c r="S314" s="21">
        <v>79.575492667997395</v>
      </c>
    </row>
    <row r="315" spans="1:19">
      <c r="A315" s="9">
        <f t="shared" si="4"/>
        <v>42309</v>
      </c>
      <c r="B315" s="21">
        <v>96.042453173117195</v>
      </c>
      <c r="C315" s="21">
        <v>97.068636120428494</v>
      </c>
      <c r="D315" s="21">
        <v>92.431128316738594</v>
      </c>
      <c r="E315" s="21">
        <v>93.526323063090302</v>
      </c>
      <c r="F315" s="21">
        <v>92.891321600395401</v>
      </c>
      <c r="G315" s="21">
        <v>101.03140140040399</v>
      </c>
      <c r="H315" s="21">
        <v>91.3894552278704</v>
      </c>
      <c r="I315" s="21">
        <v>93.631991190699196</v>
      </c>
      <c r="J315" s="21">
        <v>94.346807915524096</v>
      </c>
      <c r="K315" s="21">
        <v>88.639300848113194</v>
      </c>
      <c r="L315" s="21">
        <v>90.213975331582901</v>
      </c>
      <c r="M315" s="21">
        <v>87.116899836110207</v>
      </c>
      <c r="N315" s="21">
        <v>89.987753200105999</v>
      </c>
      <c r="O315" s="21">
        <v>115.934391709976</v>
      </c>
      <c r="P315" s="21">
        <v>101.266141920051</v>
      </c>
      <c r="Q315" s="21">
        <v>100.097920455172</v>
      </c>
      <c r="R315" s="21">
        <v>116.783360259134</v>
      </c>
      <c r="S315" s="21">
        <v>82.382455197997004</v>
      </c>
    </row>
    <row r="316" spans="1:19">
      <c r="A316" s="9">
        <f t="shared" si="4"/>
        <v>42339</v>
      </c>
      <c r="B316" s="21">
        <v>90.536137780176503</v>
      </c>
      <c r="C316" s="21">
        <v>91.097526487845201</v>
      </c>
      <c r="D316" s="21">
        <v>90.721521538922403</v>
      </c>
      <c r="E316" s="21">
        <v>92.8112661206506</v>
      </c>
      <c r="F316" s="21">
        <v>92.220426888888596</v>
      </c>
      <c r="G316" s="21">
        <v>99.794391325297497</v>
      </c>
      <c r="H316" s="21">
        <v>88.226190944385905</v>
      </c>
      <c r="I316" s="21">
        <v>92.937627723256199</v>
      </c>
      <c r="J316" s="21">
        <v>93.792430292035405</v>
      </c>
      <c r="K316" s="21">
        <v>85.780243352447798</v>
      </c>
      <c r="L316" s="21">
        <v>86.013738409251502</v>
      </c>
      <c r="M316" s="21">
        <v>85.5544994831548</v>
      </c>
      <c r="N316" s="21">
        <v>85.947152502993902</v>
      </c>
      <c r="O316" s="21">
        <v>109.56251667469201</v>
      </c>
      <c r="P316" s="21">
        <v>90.267984929647099</v>
      </c>
      <c r="Q316" s="21">
        <v>84.969583797034403</v>
      </c>
      <c r="R316" s="21">
        <v>116.634833250889</v>
      </c>
      <c r="S316" s="21">
        <v>78.560504451084299</v>
      </c>
    </row>
    <row r="317" spans="1:19">
      <c r="A317" s="9">
        <f t="shared" si="4"/>
        <v>42370</v>
      </c>
      <c r="B317" s="21">
        <v>85.271458394206505</v>
      </c>
      <c r="C317" s="21">
        <v>84.973330835613297</v>
      </c>
      <c r="D317" s="21">
        <v>90.550494189018096</v>
      </c>
      <c r="E317" s="21">
        <v>92.378852904811197</v>
      </c>
      <c r="F317" s="21">
        <v>92.313150021687306</v>
      </c>
      <c r="G317" s="21">
        <v>93.155394871720503</v>
      </c>
      <c r="H317" s="21">
        <v>87.697344887911996</v>
      </c>
      <c r="I317" s="21">
        <v>92.565956423620193</v>
      </c>
      <c r="J317" s="21">
        <v>93.831661869006595</v>
      </c>
      <c r="K317" s="21">
        <v>86.330396986306297</v>
      </c>
      <c r="L317" s="21">
        <v>85.2590945166138</v>
      </c>
      <c r="M317" s="21">
        <v>87.366136106449801</v>
      </c>
      <c r="N317" s="21">
        <v>85.055788853884806</v>
      </c>
      <c r="O317" s="21">
        <v>104.419001675749</v>
      </c>
      <c r="P317" s="21">
        <v>77.635468564237399</v>
      </c>
      <c r="Q317" s="21">
        <v>70.637168030210603</v>
      </c>
      <c r="R317" s="21">
        <v>106.033113213574</v>
      </c>
      <c r="S317" s="21">
        <v>77.446092910731096</v>
      </c>
    </row>
    <row r="318" spans="1:19">
      <c r="A318" s="9">
        <f t="shared" si="4"/>
        <v>42401</v>
      </c>
      <c r="B318" s="21">
        <v>86.988515286084194</v>
      </c>
      <c r="C318" s="21">
        <v>85.955401559315206</v>
      </c>
      <c r="D318" s="21">
        <v>93.348650528740606</v>
      </c>
      <c r="E318" s="21">
        <v>93.4042243772723</v>
      </c>
      <c r="F318" s="21">
        <v>93.533040423517605</v>
      </c>
      <c r="G318" s="21">
        <v>91.881748328049994</v>
      </c>
      <c r="H318" s="21">
        <v>90.780269113365605</v>
      </c>
      <c r="I318" s="21">
        <v>93.538910126583602</v>
      </c>
      <c r="J318" s="21">
        <v>94.450023329607703</v>
      </c>
      <c r="K318" s="21">
        <v>92.312169812080896</v>
      </c>
      <c r="L318" s="21">
        <v>89.321625941207699</v>
      </c>
      <c r="M318" s="21">
        <v>95.203438492211802</v>
      </c>
      <c r="N318" s="21">
        <v>89.232698721285999</v>
      </c>
      <c r="O318" s="21">
        <v>102.270824189471</v>
      </c>
      <c r="P318" s="21">
        <v>77.788742843191301</v>
      </c>
      <c r="Q318" s="21">
        <v>72.032604435049095</v>
      </c>
      <c r="R318" s="21">
        <v>97.687611495937105</v>
      </c>
      <c r="S318" s="21">
        <v>79.015449878462604</v>
      </c>
    </row>
    <row r="319" spans="1:19">
      <c r="A319" s="9">
        <f t="shared" si="4"/>
        <v>42430</v>
      </c>
      <c r="B319" s="21">
        <v>93.565182313597205</v>
      </c>
      <c r="C319" s="21">
        <v>92.855354084672399</v>
      </c>
      <c r="D319" s="21">
        <v>97.643764036708404</v>
      </c>
      <c r="E319" s="21">
        <v>96.824036943677299</v>
      </c>
      <c r="F319" s="21">
        <v>96.969325152249098</v>
      </c>
      <c r="G319" s="21">
        <v>95.106876510389299</v>
      </c>
      <c r="H319" s="21">
        <v>96.495027116360106</v>
      </c>
      <c r="I319" s="21">
        <v>96.643908130051301</v>
      </c>
      <c r="J319" s="21">
        <v>95.425384706608995</v>
      </c>
      <c r="K319" s="21">
        <v>97.995695860731502</v>
      </c>
      <c r="L319" s="21">
        <v>96.920185452776394</v>
      </c>
      <c r="M319" s="21">
        <v>99.035503230876401</v>
      </c>
      <c r="N319" s="21">
        <v>96.504713041634602</v>
      </c>
      <c r="O319" s="21">
        <v>111.542433146383</v>
      </c>
      <c r="P319" s="21">
        <v>87.665618497609501</v>
      </c>
      <c r="Q319" s="21">
        <v>86.761425213766799</v>
      </c>
      <c r="R319" s="21">
        <v>90.878170312776504</v>
      </c>
      <c r="S319" s="21">
        <v>81.127709719038506</v>
      </c>
    </row>
    <row r="320" spans="1:19">
      <c r="A320" s="9">
        <f t="shared" si="4"/>
        <v>42461</v>
      </c>
      <c r="B320" s="21">
        <v>96.926171963371701</v>
      </c>
      <c r="C320" s="21">
        <v>96.633514440927399</v>
      </c>
      <c r="D320" s="21">
        <v>99.955913269164299</v>
      </c>
      <c r="E320" s="21">
        <v>99.688780618880301</v>
      </c>
      <c r="F320" s="21">
        <v>100.06271789479899</v>
      </c>
      <c r="G320" s="21">
        <v>95.269218281013195</v>
      </c>
      <c r="H320" s="21">
        <v>99.418000395931003</v>
      </c>
      <c r="I320" s="21">
        <v>99.767698388412398</v>
      </c>
      <c r="J320" s="21">
        <v>100.301556069284</v>
      </c>
      <c r="K320" s="21">
        <v>99.112795870985096</v>
      </c>
      <c r="L320" s="21">
        <v>99.066807271210394</v>
      </c>
      <c r="M320" s="21">
        <v>99.157257816341101</v>
      </c>
      <c r="N320" s="21">
        <v>98.789130657523799</v>
      </c>
      <c r="O320" s="21">
        <v>113.421545222197</v>
      </c>
      <c r="P320" s="21">
        <v>92.543728900339701</v>
      </c>
      <c r="Q320" s="21">
        <v>93.948908100849096</v>
      </c>
      <c r="R320" s="21">
        <v>87.016344659692194</v>
      </c>
      <c r="S320" s="21">
        <v>80.031110744855496</v>
      </c>
    </row>
    <row r="321" spans="1:19">
      <c r="A321" s="9">
        <f t="shared" si="4"/>
        <v>42491</v>
      </c>
      <c r="B321" s="21">
        <v>100.853685515576</v>
      </c>
      <c r="C321" s="21">
        <v>100.850058644534</v>
      </c>
      <c r="D321" s="21">
        <v>100.418156788712</v>
      </c>
      <c r="E321" s="21">
        <v>101.188785666672</v>
      </c>
      <c r="F321" s="21">
        <v>101.51850953808101</v>
      </c>
      <c r="G321" s="21">
        <v>97.291781281668705</v>
      </c>
      <c r="H321" s="21">
        <v>97.2700400695837</v>
      </c>
      <c r="I321" s="21">
        <v>101.150903546865</v>
      </c>
      <c r="J321" s="21">
        <v>100.894641101201</v>
      </c>
      <c r="K321" s="21">
        <v>98.325809564938496</v>
      </c>
      <c r="L321" s="21">
        <v>95.829344253181503</v>
      </c>
      <c r="M321" s="21">
        <v>100.739401298942</v>
      </c>
      <c r="N321" s="21">
        <v>96.255847117159902</v>
      </c>
      <c r="O321" s="21">
        <v>112.118452451359</v>
      </c>
      <c r="P321" s="21">
        <v>101.483666644376</v>
      </c>
      <c r="Q321" s="21">
        <v>105.376986702487</v>
      </c>
      <c r="R321" s="21">
        <v>88.322243256009997</v>
      </c>
      <c r="S321" s="21">
        <v>80.388152420321603</v>
      </c>
    </row>
    <row r="322" spans="1:19">
      <c r="A322" s="9">
        <f t="shared" si="4"/>
        <v>42522</v>
      </c>
      <c r="B322" s="21">
        <v>103.505474693411</v>
      </c>
      <c r="C322" s="21">
        <v>103.64772014909801</v>
      </c>
      <c r="D322" s="21">
        <v>101.30182953233999</v>
      </c>
      <c r="E322" s="21">
        <v>103.339780023554</v>
      </c>
      <c r="F322" s="21">
        <v>103.54367766221399</v>
      </c>
      <c r="G322" s="21">
        <v>100.929915100657</v>
      </c>
      <c r="H322" s="21">
        <v>96.587246848346197</v>
      </c>
      <c r="I322" s="21">
        <v>102.97989535887</v>
      </c>
      <c r="J322" s="21">
        <v>100.54537150436499</v>
      </c>
      <c r="K322" s="21">
        <v>98.435828606662596</v>
      </c>
      <c r="L322" s="21">
        <v>95.013983037244301</v>
      </c>
      <c r="M322" s="21">
        <v>101.744081336028</v>
      </c>
      <c r="N322" s="21">
        <v>95.353213740888506</v>
      </c>
      <c r="O322" s="21">
        <v>105.121988999626</v>
      </c>
      <c r="P322" s="21">
        <v>106.692990878722</v>
      </c>
      <c r="Q322" s="21">
        <v>110.249404708284</v>
      </c>
      <c r="R322" s="21">
        <v>96.919040000081594</v>
      </c>
      <c r="S322" s="21">
        <v>85.188734179788796</v>
      </c>
    </row>
    <row r="323" spans="1:19">
      <c r="A323" s="9">
        <f t="shared" si="4"/>
        <v>42552</v>
      </c>
      <c r="B323" s="21">
        <v>102.800257250401</v>
      </c>
      <c r="C323" s="21">
        <v>102.31062053909601</v>
      </c>
      <c r="D323" s="21">
        <v>103.510673049811</v>
      </c>
      <c r="E323" s="21">
        <v>103.87841602902201</v>
      </c>
      <c r="F323" s="21">
        <v>103.90380867141501</v>
      </c>
      <c r="G323" s="21">
        <v>103.57830054654799</v>
      </c>
      <c r="H323" s="21">
        <v>101.034395082917</v>
      </c>
      <c r="I323" s="21">
        <v>103.704403256768</v>
      </c>
      <c r="J323" s="21">
        <v>102.527253223402</v>
      </c>
      <c r="K323" s="21">
        <v>104.14990380144501</v>
      </c>
      <c r="L323" s="21">
        <v>100.441018195719</v>
      </c>
      <c r="M323" s="21">
        <v>107.735667880837</v>
      </c>
      <c r="N323" s="21">
        <v>101.741551167823</v>
      </c>
      <c r="O323" s="21">
        <v>92.377712316148404</v>
      </c>
      <c r="P323" s="21">
        <v>101.772659024097</v>
      </c>
      <c r="Q323" s="21">
        <v>103.10339612022401</v>
      </c>
      <c r="R323" s="21">
        <v>99.827878392736494</v>
      </c>
      <c r="S323" s="21">
        <v>94.610285848652296</v>
      </c>
    </row>
    <row r="324" spans="1:19">
      <c r="A324" s="9">
        <f t="shared" si="4"/>
        <v>42583</v>
      </c>
      <c r="B324" s="21">
        <v>103.148731323912</v>
      </c>
      <c r="C324" s="21">
        <v>102.664420596573</v>
      </c>
      <c r="D324" s="21">
        <v>102.9913980112</v>
      </c>
      <c r="E324" s="21">
        <v>102.152820999695</v>
      </c>
      <c r="F324" s="21">
        <v>102.097435231864</v>
      </c>
      <c r="G324" s="21">
        <v>102.807425045142</v>
      </c>
      <c r="H324" s="21">
        <v>102.049510296178</v>
      </c>
      <c r="I324" s="21">
        <v>102.07749859460201</v>
      </c>
      <c r="J324" s="21">
        <v>101.56796259607199</v>
      </c>
      <c r="K324" s="21">
        <v>105.30251180970301</v>
      </c>
      <c r="L324" s="21">
        <v>102.24091446753</v>
      </c>
      <c r="M324" s="21">
        <v>108.26247524404999</v>
      </c>
      <c r="N324" s="21">
        <v>103.582448975823</v>
      </c>
      <c r="O324" s="21">
        <v>91.959948566600502</v>
      </c>
      <c r="P324" s="21">
        <v>103.376309923961</v>
      </c>
      <c r="Q324" s="21">
        <v>103.87495896182099</v>
      </c>
      <c r="R324" s="21">
        <v>101.337229638959</v>
      </c>
      <c r="S324" s="21">
        <v>102.07694135872001</v>
      </c>
    </row>
    <row r="325" spans="1:19">
      <c r="A325" s="9">
        <f t="shared" si="4"/>
        <v>42614</v>
      </c>
      <c r="B325" s="21">
        <v>103.174316624925</v>
      </c>
      <c r="C325" s="21">
        <v>102.829372935148</v>
      </c>
      <c r="D325" s="21">
        <v>102.16549164316299</v>
      </c>
      <c r="E325" s="21">
        <v>101.994996546126</v>
      </c>
      <c r="F325" s="21">
        <v>101.688153133836</v>
      </c>
      <c r="G325" s="21">
        <v>105.621576927143</v>
      </c>
      <c r="H325" s="21">
        <v>100.417160846475</v>
      </c>
      <c r="I325" s="21">
        <v>101.924615324836</v>
      </c>
      <c r="J325" s="21">
        <v>101.44850511800099</v>
      </c>
      <c r="K325" s="21">
        <v>103.420952598398</v>
      </c>
      <c r="L325" s="21">
        <v>100.007225142021</v>
      </c>
      <c r="M325" s="21">
        <v>106.721356706579</v>
      </c>
      <c r="N325" s="21">
        <v>101.154898826215</v>
      </c>
      <c r="O325" s="21">
        <v>91.546908004080805</v>
      </c>
      <c r="P325" s="21">
        <v>104.63355607704599</v>
      </c>
      <c r="Q325" s="21">
        <v>104.238662272406</v>
      </c>
      <c r="R325" s="21">
        <v>103.07894582445699</v>
      </c>
      <c r="S325" s="21">
        <v>106.87439027385101</v>
      </c>
    </row>
    <row r="326" spans="1:19">
      <c r="A326" s="9">
        <f t="shared" si="4"/>
        <v>42644</v>
      </c>
      <c r="B326" s="21">
        <v>106.743110866625</v>
      </c>
      <c r="C326" s="21">
        <v>107.34076554196</v>
      </c>
      <c r="D326" s="21">
        <v>100.85441367818601</v>
      </c>
      <c r="E326" s="21">
        <v>101.229579192434</v>
      </c>
      <c r="F326" s="21">
        <v>100.725393290253</v>
      </c>
      <c r="G326" s="21">
        <v>107.18854923382101</v>
      </c>
      <c r="H326" s="21">
        <v>100.985127900872</v>
      </c>
      <c r="I326" s="21">
        <v>101.151163424581</v>
      </c>
      <c r="J326" s="21">
        <v>100.62070165129801</v>
      </c>
      <c r="K326" s="21">
        <v>101.338302698059</v>
      </c>
      <c r="L326" s="21">
        <v>101.129978980638</v>
      </c>
      <c r="M326" s="21">
        <v>101.539710824981</v>
      </c>
      <c r="N326" s="21">
        <v>101.23971132304899</v>
      </c>
      <c r="O326" s="21">
        <v>89.710120921588597</v>
      </c>
      <c r="P326" s="21">
        <v>115.260960260047</v>
      </c>
      <c r="Q326" s="21">
        <v>116.37731292725201</v>
      </c>
      <c r="R326" s="21">
        <v>106.357958338063</v>
      </c>
      <c r="S326" s="21">
        <v>133.550509718342</v>
      </c>
    </row>
    <row r="327" spans="1:19">
      <c r="A327" s="9">
        <f t="shared" ref="A327:A390" si="5">EDATE(A326,1)</f>
        <v>42675</v>
      </c>
      <c r="B327" s="21">
        <v>105.552559938204</v>
      </c>
      <c r="C327" s="21">
        <v>106.292743469803</v>
      </c>
      <c r="D327" s="21">
        <v>103.553400506743</v>
      </c>
      <c r="E327" s="21">
        <v>101.725148753792</v>
      </c>
      <c r="F327" s="21">
        <v>101.292957532893</v>
      </c>
      <c r="G327" s="21">
        <v>106.83321410497599</v>
      </c>
      <c r="H327" s="21">
        <v>111.625685683111</v>
      </c>
      <c r="I327" s="21">
        <v>101.830287903477</v>
      </c>
      <c r="J327" s="21">
        <v>102.54152623361</v>
      </c>
      <c r="K327" s="21">
        <v>107.21436755966</v>
      </c>
      <c r="L327" s="21">
        <v>115.236430810716</v>
      </c>
      <c r="M327" s="21">
        <v>99.458607661367097</v>
      </c>
      <c r="N327" s="21">
        <v>113.848563039841</v>
      </c>
      <c r="O327" s="21">
        <v>91.064132480366396</v>
      </c>
      <c r="P327" s="21">
        <v>108.44429276224101</v>
      </c>
      <c r="Q327" s="21">
        <v>106.850803537948</v>
      </c>
      <c r="R327" s="21">
        <v>104.441854898789</v>
      </c>
      <c r="S327" s="21">
        <v>149.039426263986</v>
      </c>
    </row>
    <row r="328" spans="1:19">
      <c r="A328" s="9">
        <f t="shared" si="5"/>
        <v>42705</v>
      </c>
      <c r="B328" s="21">
        <v>111.47053582968201</v>
      </c>
      <c r="C328" s="21">
        <v>113.646697203256</v>
      </c>
      <c r="D328" s="21">
        <v>103.705814766209</v>
      </c>
      <c r="E328" s="21">
        <v>102.19457794406</v>
      </c>
      <c r="F328" s="21">
        <v>102.351831447186</v>
      </c>
      <c r="G328" s="21">
        <v>100.33599976886801</v>
      </c>
      <c r="H328" s="21">
        <v>115.640191758946</v>
      </c>
      <c r="I328" s="21">
        <v>102.664759521329</v>
      </c>
      <c r="J328" s="21">
        <v>105.845412597539</v>
      </c>
      <c r="K328" s="21">
        <v>106.06126483102599</v>
      </c>
      <c r="L328" s="21">
        <v>119.53339193113899</v>
      </c>
      <c r="M328" s="21">
        <v>93.036363401333006</v>
      </c>
      <c r="N328" s="21">
        <v>117.241434534869</v>
      </c>
      <c r="O328" s="21">
        <v>94.446932026427802</v>
      </c>
      <c r="P328" s="21">
        <v>122.70200562412801</v>
      </c>
      <c r="Q328" s="21">
        <v>126.54836898969999</v>
      </c>
      <c r="R328" s="21">
        <v>118.099609968922</v>
      </c>
      <c r="S328" s="21">
        <v>130.651196683248</v>
      </c>
    </row>
    <row r="329" spans="1:19">
      <c r="A329" s="9">
        <f t="shared" si="5"/>
        <v>42736</v>
      </c>
      <c r="B329" s="21">
        <v>115.69193816975201</v>
      </c>
      <c r="C329" s="21">
        <v>117.972169157575</v>
      </c>
      <c r="D329" s="21">
        <v>107.302741111819</v>
      </c>
      <c r="E329" s="21">
        <v>106.300534271266</v>
      </c>
      <c r="F329" s="21">
        <v>106.48994756579999</v>
      </c>
      <c r="G329" s="21">
        <v>104.061859721495</v>
      </c>
      <c r="H329" s="21">
        <v>118.09553008376</v>
      </c>
      <c r="I329" s="21">
        <v>106.75914956192899</v>
      </c>
      <c r="J329" s="21">
        <v>109.861559791434</v>
      </c>
      <c r="K329" s="21">
        <v>108.702067524398</v>
      </c>
      <c r="L329" s="21">
        <v>121.368344511902</v>
      </c>
      <c r="M329" s="21">
        <v>96.456264911532401</v>
      </c>
      <c r="N329" s="21">
        <v>119.34800214862</v>
      </c>
      <c r="O329" s="21">
        <v>100.44691091643401</v>
      </c>
      <c r="P329" s="21">
        <v>127.826696467647</v>
      </c>
      <c r="Q329" s="21">
        <v>128.245174615888</v>
      </c>
      <c r="R329" s="21">
        <v>132.47966689710901</v>
      </c>
      <c r="S329" s="21">
        <v>132.04547277639401</v>
      </c>
    </row>
    <row r="330" spans="1:19">
      <c r="A330" s="9">
        <f t="shared" si="5"/>
        <v>42767</v>
      </c>
      <c r="B330" s="21">
        <v>116.34393592185501</v>
      </c>
      <c r="C330" s="21">
        <v>118.319652672548</v>
      </c>
      <c r="D330" s="21">
        <v>109.93271202064</v>
      </c>
      <c r="E330" s="21">
        <v>106.66660464536</v>
      </c>
      <c r="F330" s="21">
        <v>107.067821494027</v>
      </c>
      <c r="G330" s="21">
        <v>101.924625206893</v>
      </c>
      <c r="H330" s="21">
        <v>123.823324324669</v>
      </c>
      <c r="I330" s="21">
        <v>107.288540179592</v>
      </c>
      <c r="J330" s="21">
        <v>111.495768335252</v>
      </c>
      <c r="K330" s="21">
        <v>114.135090814827</v>
      </c>
      <c r="L330" s="21">
        <v>128.72324522230599</v>
      </c>
      <c r="M330" s="21">
        <v>100.03121012942501</v>
      </c>
      <c r="N330" s="21">
        <v>126.47044644830299</v>
      </c>
      <c r="O330" s="21">
        <v>107.655272080492</v>
      </c>
      <c r="P330" s="21">
        <v>125.617606798542</v>
      </c>
      <c r="Q330" s="21">
        <v>129.477839022018</v>
      </c>
      <c r="R330" s="21">
        <v>116.53825401435201</v>
      </c>
      <c r="S330" s="21">
        <v>125.783292534442</v>
      </c>
    </row>
    <row r="331" spans="1:19">
      <c r="A331" s="9">
        <f t="shared" si="5"/>
        <v>42795</v>
      </c>
      <c r="B331" s="21">
        <v>110.82290134336</v>
      </c>
      <c r="C331" s="21">
        <v>112.203600934161</v>
      </c>
      <c r="D331" s="21">
        <v>107.401027677792</v>
      </c>
      <c r="E331" s="21">
        <v>103.11980754112</v>
      </c>
      <c r="F331" s="21">
        <v>103.365567189872</v>
      </c>
      <c r="G331" s="21">
        <v>100.215175781374</v>
      </c>
      <c r="H331" s="21">
        <v>121.662587278591</v>
      </c>
      <c r="I331" s="21">
        <v>103.70904722868001</v>
      </c>
      <c r="J331" s="21">
        <v>107.69509669439201</v>
      </c>
      <c r="K331" s="21">
        <v>113.141416748876</v>
      </c>
      <c r="L331" s="21">
        <v>127.214344582295</v>
      </c>
      <c r="M331" s="21">
        <v>99.535658987287704</v>
      </c>
      <c r="N331" s="21">
        <v>124.88471159142</v>
      </c>
      <c r="O331" s="21">
        <v>105.739523932008</v>
      </c>
      <c r="P331" s="21">
        <v>115.772553803645</v>
      </c>
      <c r="Q331" s="21">
        <v>120.990377546259</v>
      </c>
      <c r="R331" s="21">
        <v>102.896855411594</v>
      </c>
      <c r="S331" s="21">
        <v>122.371403394597</v>
      </c>
    </row>
    <row r="332" spans="1:19">
      <c r="A332" s="9">
        <f t="shared" si="5"/>
        <v>42826</v>
      </c>
      <c r="B332" s="21">
        <v>111.101114790091</v>
      </c>
      <c r="C332" s="21">
        <v>112.200322744969</v>
      </c>
      <c r="D332" s="21">
        <v>105.484254351158</v>
      </c>
      <c r="E332" s="21">
        <v>102.351957306796</v>
      </c>
      <c r="F332" s="21">
        <v>102.762560316848</v>
      </c>
      <c r="G332" s="21">
        <v>97.499042885308199</v>
      </c>
      <c r="H332" s="21">
        <v>114.362008431514</v>
      </c>
      <c r="I332" s="21">
        <v>103.078897230248</v>
      </c>
      <c r="J332" s="21">
        <v>107.996452097404</v>
      </c>
      <c r="K332" s="21">
        <v>109.434238985736</v>
      </c>
      <c r="L332" s="21">
        <v>116.892171144494</v>
      </c>
      <c r="M332" s="21">
        <v>102.223883077176</v>
      </c>
      <c r="N332" s="21">
        <v>115.942987979214</v>
      </c>
      <c r="O332" s="21">
        <v>101.895480701292</v>
      </c>
      <c r="P332" s="21">
        <v>119.22575930002201</v>
      </c>
      <c r="Q332" s="21">
        <v>124.106635218145</v>
      </c>
      <c r="R332" s="21">
        <v>105.813257026381</v>
      </c>
      <c r="S332" s="21">
        <v>124.29169716096401</v>
      </c>
    </row>
    <row r="333" spans="1:19">
      <c r="A333" s="9">
        <f t="shared" si="5"/>
        <v>42856</v>
      </c>
      <c r="B333" s="21">
        <v>108.90709776304</v>
      </c>
      <c r="C333" s="21">
        <v>109.94499099523399</v>
      </c>
      <c r="D333" s="21">
        <v>105.06662749943899</v>
      </c>
      <c r="E333" s="21">
        <v>104.35272095539101</v>
      </c>
      <c r="F333" s="21">
        <v>105.144170935245</v>
      </c>
      <c r="G333" s="21">
        <v>94.998578567030805</v>
      </c>
      <c r="H333" s="21">
        <v>110.764188003106</v>
      </c>
      <c r="I333" s="21">
        <v>104.886422936625</v>
      </c>
      <c r="J333" s="21">
        <v>108.496774618735</v>
      </c>
      <c r="K333" s="21">
        <v>105.832783536405</v>
      </c>
      <c r="L333" s="21">
        <v>111.66543284313801</v>
      </c>
      <c r="M333" s="21">
        <v>100.19375699444601</v>
      </c>
      <c r="N333" s="21">
        <v>110.765231716755</v>
      </c>
      <c r="O333" s="21">
        <v>99.187604590430595</v>
      </c>
      <c r="P333" s="21">
        <v>114.462239462208</v>
      </c>
      <c r="Q333" s="21">
        <v>116.938327059835</v>
      </c>
      <c r="R333" s="21">
        <v>106.754593694843</v>
      </c>
      <c r="S333" s="21">
        <v>113.43534554531</v>
      </c>
    </row>
    <row r="334" spans="1:19">
      <c r="A334" s="9">
        <f t="shared" si="5"/>
        <v>42887</v>
      </c>
      <c r="B334" s="21">
        <v>105.672051914219</v>
      </c>
      <c r="C334" s="21">
        <v>106.205741572744</v>
      </c>
      <c r="D334" s="21">
        <v>104.127392166148</v>
      </c>
      <c r="E334" s="21">
        <v>103.79703519792599</v>
      </c>
      <c r="F334" s="21">
        <v>104.50590847578</v>
      </c>
      <c r="G334" s="21">
        <v>95.418866336786394</v>
      </c>
      <c r="H334" s="21">
        <v>108.02998907404</v>
      </c>
      <c r="I334" s="21">
        <v>103.74922591548901</v>
      </c>
      <c r="J334" s="21">
        <v>103.425808860028</v>
      </c>
      <c r="K334" s="21">
        <v>105.67171192834</v>
      </c>
      <c r="L334" s="21">
        <v>109.860045158676</v>
      </c>
      <c r="M334" s="21">
        <v>101.62241614346</v>
      </c>
      <c r="N334" s="21">
        <v>109.485981515877</v>
      </c>
      <c r="O334" s="21">
        <v>92.547491756870102</v>
      </c>
      <c r="P334" s="21">
        <v>107.906362607589</v>
      </c>
      <c r="Q334" s="21">
        <v>107.761558248599</v>
      </c>
      <c r="R334" s="21">
        <v>102.003755843733</v>
      </c>
      <c r="S334" s="21">
        <v>121.714350107797</v>
      </c>
    </row>
    <row r="335" spans="1:19">
      <c r="A335" s="9">
        <f t="shared" si="5"/>
        <v>42917</v>
      </c>
      <c r="B335" s="21">
        <v>108.20601056848599</v>
      </c>
      <c r="C335" s="21">
        <v>109.24418816927</v>
      </c>
      <c r="D335" s="21">
        <v>106.086336511776</v>
      </c>
      <c r="E335" s="21">
        <v>106.048166251716</v>
      </c>
      <c r="F335" s="21">
        <v>106.783077831056</v>
      </c>
      <c r="G335" s="21">
        <v>97.362250867298599</v>
      </c>
      <c r="H335" s="21">
        <v>113.13502738374901</v>
      </c>
      <c r="I335" s="21">
        <v>105.648003936972</v>
      </c>
      <c r="J335" s="21">
        <v>102.941012513009</v>
      </c>
      <c r="K335" s="21">
        <v>108.23351884622799</v>
      </c>
      <c r="L335" s="21">
        <v>117.18691459795799</v>
      </c>
      <c r="M335" s="21">
        <v>99.577343302402198</v>
      </c>
      <c r="N335" s="21">
        <v>115.676131888393</v>
      </c>
      <c r="O335" s="21">
        <v>88.402911148867204</v>
      </c>
      <c r="P335" s="21">
        <v>111.27206470583501</v>
      </c>
      <c r="Q335" s="21">
        <v>110.238652011973</v>
      </c>
      <c r="R335" s="21">
        <v>102.83420416125</v>
      </c>
      <c r="S335" s="21">
        <v>128.16916177951001</v>
      </c>
    </row>
    <row r="336" spans="1:19">
      <c r="A336" s="9">
        <f t="shared" si="5"/>
        <v>42948</v>
      </c>
      <c r="B336" s="21">
        <v>111.041893590877</v>
      </c>
      <c r="C336" s="21">
        <v>111.983166133213</v>
      </c>
      <c r="D336" s="21">
        <v>106.49138596607</v>
      </c>
      <c r="E336" s="21">
        <v>101.672179891512</v>
      </c>
      <c r="F336" s="21">
        <v>102.072376018505</v>
      </c>
      <c r="G336" s="21">
        <v>96.942264356156997</v>
      </c>
      <c r="H336" s="21">
        <v>120.19759156341</v>
      </c>
      <c r="I336" s="21">
        <v>101.84889299653901</v>
      </c>
      <c r="J336" s="21">
        <v>103.04431006152601</v>
      </c>
      <c r="K336" s="21">
        <v>115.072411548373</v>
      </c>
      <c r="L336" s="21">
        <v>127.015627722913</v>
      </c>
      <c r="M336" s="21">
        <v>103.525666756631</v>
      </c>
      <c r="N336" s="21">
        <v>125.059228008831</v>
      </c>
      <c r="O336" s="21">
        <v>88.143585069451703</v>
      </c>
      <c r="P336" s="21">
        <v>117.624086115197</v>
      </c>
      <c r="Q336" s="21">
        <v>114.032351231289</v>
      </c>
      <c r="R336" s="21">
        <v>107.781469226383</v>
      </c>
      <c r="S336" s="21">
        <v>140.98532251630499</v>
      </c>
    </row>
    <row r="337" spans="1:19">
      <c r="A337" s="9">
        <f t="shared" si="5"/>
        <v>42979</v>
      </c>
      <c r="B337" s="21">
        <v>114.08627438147001</v>
      </c>
      <c r="C337" s="21">
        <v>115.07595476669201</v>
      </c>
      <c r="D337" s="21">
        <v>106.145420474147</v>
      </c>
      <c r="E337" s="21">
        <v>100.32562780907</v>
      </c>
      <c r="F337" s="21">
        <v>100.823266722163</v>
      </c>
      <c r="G337" s="21">
        <v>94.444036590981199</v>
      </c>
      <c r="H337" s="21">
        <v>119.537899530573</v>
      </c>
      <c r="I337" s="21">
        <v>100.67283955726801</v>
      </c>
      <c r="J337" s="21">
        <v>103.021634508823</v>
      </c>
      <c r="K337" s="21">
        <v>115.919444064068</v>
      </c>
      <c r="L337" s="21">
        <v>126.102736242769</v>
      </c>
      <c r="M337" s="21">
        <v>106.074200185969</v>
      </c>
      <c r="N337" s="21">
        <v>124.47548050292799</v>
      </c>
      <c r="O337" s="21">
        <v>88.589019251059099</v>
      </c>
      <c r="P337" s="21">
        <v>125.57251581540299</v>
      </c>
      <c r="Q337" s="21">
        <v>120.06816194571</v>
      </c>
      <c r="R337" s="21">
        <v>117.289737263009</v>
      </c>
      <c r="S337" s="21">
        <v>146.058176942199</v>
      </c>
    </row>
    <row r="338" spans="1:19">
      <c r="A338" s="9">
        <f t="shared" si="5"/>
        <v>43009</v>
      </c>
      <c r="B338" s="21">
        <v>115.557521187622</v>
      </c>
      <c r="C338" s="21">
        <v>117.03504433329699</v>
      </c>
      <c r="D338" s="21">
        <v>105.624702742517</v>
      </c>
      <c r="E338" s="21">
        <v>101.036708278262</v>
      </c>
      <c r="F338" s="21">
        <v>101.633456334926</v>
      </c>
      <c r="G338" s="21">
        <v>93.983746708852493</v>
      </c>
      <c r="H338" s="21">
        <v>117.554224353245</v>
      </c>
      <c r="I338" s="21">
        <v>100.999787046874</v>
      </c>
      <c r="J338" s="21">
        <v>100.750024755307</v>
      </c>
      <c r="K338" s="21">
        <v>113.607250941104</v>
      </c>
      <c r="L338" s="21">
        <v>124.23350845860099</v>
      </c>
      <c r="M338" s="21">
        <v>103.33374656399801</v>
      </c>
      <c r="N338" s="21">
        <v>122.590853482425</v>
      </c>
      <c r="O338" s="21">
        <v>94.098972632072204</v>
      </c>
      <c r="P338" s="21">
        <v>129.92508821649</v>
      </c>
      <c r="Q338" s="21">
        <v>125.277179852575</v>
      </c>
      <c r="R338" s="21">
        <v>122.541328849368</v>
      </c>
      <c r="S338" s="21">
        <v>144.499321780808</v>
      </c>
    </row>
    <row r="339" spans="1:19">
      <c r="A339" s="9">
        <f t="shared" si="5"/>
        <v>43040</v>
      </c>
      <c r="B339" s="21">
        <v>120.483714624258</v>
      </c>
      <c r="C339" s="21">
        <v>122.49343320737</v>
      </c>
      <c r="D339" s="21">
        <v>106.462236511033</v>
      </c>
      <c r="E339" s="21">
        <v>101.371609755275</v>
      </c>
      <c r="F339" s="21">
        <v>102.23084174001499</v>
      </c>
      <c r="G339" s="21">
        <v>91.216352272818995</v>
      </c>
      <c r="H339" s="21">
        <v>118.95163176196201</v>
      </c>
      <c r="I339" s="21">
        <v>101.425529041361</v>
      </c>
      <c r="J339" s="21">
        <v>101.790278643321</v>
      </c>
      <c r="K339" s="21">
        <v>114.585770914622</v>
      </c>
      <c r="L339" s="21">
        <v>125.772876204084</v>
      </c>
      <c r="M339" s="21">
        <v>103.770036873809</v>
      </c>
      <c r="N339" s="21">
        <v>124.181150958418</v>
      </c>
      <c r="O339" s="21">
        <v>100.70790208794401</v>
      </c>
      <c r="P339" s="21">
        <v>140.76542295799399</v>
      </c>
      <c r="Q339" s="21">
        <v>137.01253840106199</v>
      </c>
      <c r="R339" s="21">
        <v>134.32594322682399</v>
      </c>
      <c r="S339" s="21">
        <v>144.247674867538</v>
      </c>
    </row>
    <row r="340" spans="1:19">
      <c r="A340" s="9">
        <f t="shared" si="5"/>
        <v>43070</v>
      </c>
      <c r="B340" s="21">
        <v>121.993457025726</v>
      </c>
      <c r="C340" s="21">
        <v>124.364540992645</v>
      </c>
      <c r="D340" s="21">
        <v>107.0298164979</v>
      </c>
      <c r="E340" s="21">
        <v>101.04782449024501</v>
      </c>
      <c r="F340" s="21">
        <v>102.285976731696</v>
      </c>
      <c r="G340" s="21">
        <v>86.414110850950294</v>
      </c>
      <c r="H340" s="21">
        <v>122.79267533561401</v>
      </c>
      <c r="I340" s="21">
        <v>101.438811861928</v>
      </c>
      <c r="J340" s="21">
        <v>104.08373724102201</v>
      </c>
      <c r="K340" s="21">
        <v>115.873139268155</v>
      </c>
      <c r="L340" s="21">
        <v>130.22904932742401</v>
      </c>
      <c r="M340" s="21">
        <v>101.993793262433</v>
      </c>
      <c r="N340" s="21">
        <v>127.871565252911</v>
      </c>
      <c r="O340" s="21">
        <v>102.720750269291</v>
      </c>
      <c r="P340" s="21">
        <v>143.63797911858501</v>
      </c>
      <c r="Q340" s="21">
        <v>138.762007624565</v>
      </c>
      <c r="R340" s="21">
        <v>139.35610741870201</v>
      </c>
      <c r="S340" s="21">
        <v>149.26611295216301</v>
      </c>
    </row>
    <row r="341" spans="1:19">
      <c r="A341" s="9">
        <f t="shared" si="5"/>
        <v>43101</v>
      </c>
      <c r="B341" s="21">
        <v>128.43517512754099</v>
      </c>
      <c r="C341" s="21">
        <v>130.89692495858199</v>
      </c>
      <c r="D341" s="21">
        <v>111.582083094783</v>
      </c>
      <c r="E341" s="21">
        <v>104.307647787882</v>
      </c>
      <c r="F341" s="21">
        <v>105.722006453454</v>
      </c>
      <c r="G341" s="21">
        <v>87.591351518059199</v>
      </c>
      <c r="H341" s="21">
        <v>128.99264065713501</v>
      </c>
      <c r="I341" s="21">
        <v>105.018158377929</v>
      </c>
      <c r="J341" s="21">
        <v>109.82457318269201</v>
      </c>
      <c r="K341" s="21">
        <v>122.012236647097</v>
      </c>
      <c r="L341" s="21">
        <v>136.611508051935</v>
      </c>
      <c r="M341" s="21">
        <v>107.897608008256</v>
      </c>
      <c r="N341" s="21">
        <v>134.41399751316001</v>
      </c>
      <c r="O341" s="21">
        <v>105.95100690388</v>
      </c>
      <c r="P341" s="21">
        <v>152.81274034355201</v>
      </c>
      <c r="Q341" s="21">
        <v>147.791130880976</v>
      </c>
      <c r="R341" s="21">
        <v>144.35186654250401</v>
      </c>
      <c r="S341" s="21">
        <v>155.443664053497</v>
      </c>
    </row>
    <row r="342" spans="1:19">
      <c r="A342" s="9">
        <f t="shared" si="5"/>
        <v>43132</v>
      </c>
      <c r="B342" s="21">
        <v>126.361109666386</v>
      </c>
      <c r="C342" s="21">
        <v>128.589496472999</v>
      </c>
      <c r="D342" s="21">
        <v>111.939354877139</v>
      </c>
      <c r="E342" s="21">
        <v>104.65940297775199</v>
      </c>
      <c r="F342" s="21">
        <v>105.93687384502</v>
      </c>
      <c r="G342" s="21">
        <v>89.560982744529795</v>
      </c>
      <c r="H342" s="21">
        <v>129.88897473443501</v>
      </c>
      <c r="I342" s="21">
        <v>105.40401080289701</v>
      </c>
      <c r="J342" s="21">
        <v>110.44108431686401</v>
      </c>
      <c r="K342" s="21">
        <v>122.26731308106299</v>
      </c>
      <c r="L342" s="21">
        <v>137.619065334212</v>
      </c>
      <c r="M342" s="21">
        <v>107.425183224028</v>
      </c>
      <c r="N342" s="21">
        <v>134.88445588208899</v>
      </c>
      <c r="O342" s="21">
        <v>107.010223888488</v>
      </c>
      <c r="P342" s="21">
        <v>147.22180794186201</v>
      </c>
      <c r="Q342" s="21">
        <v>140.59658574757299</v>
      </c>
      <c r="R342" s="21">
        <v>141.666540790196</v>
      </c>
      <c r="S342" s="21">
        <v>152.57311788071601</v>
      </c>
    </row>
    <row r="343" spans="1:19">
      <c r="A343" s="9">
        <f t="shared" si="5"/>
        <v>43160</v>
      </c>
      <c r="B343" s="21">
        <v>126.096253941207</v>
      </c>
      <c r="C343" s="21">
        <v>128.35691724373299</v>
      </c>
      <c r="D343" s="21">
        <v>111.44970572365401</v>
      </c>
      <c r="E343" s="21">
        <v>105.67570865732699</v>
      </c>
      <c r="F343" s="21">
        <v>106.83196693108</v>
      </c>
      <c r="G343" s="21">
        <v>92.009899312804805</v>
      </c>
      <c r="H343" s="21">
        <v>126.270136343891</v>
      </c>
      <c r="I343" s="21">
        <v>106.320333810419</v>
      </c>
      <c r="J343" s="21">
        <v>110.681051191336</v>
      </c>
      <c r="K343" s="21">
        <v>119.312948542478</v>
      </c>
      <c r="L343" s="21">
        <v>132.466440313601</v>
      </c>
      <c r="M343" s="21">
        <v>106.596104906573</v>
      </c>
      <c r="N343" s="21">
        <v>129.98605179090799</v>
      </c>
      <c r="O343" s="21">
        <v>110.478048507312</v>
      </c>
      <c r="P343" s="21">
        <v>147.28211014307399</v>
      </c>
      <c r="Q343" s="21">
        <v>142.728180429491</v>
      </c>
      <c r="R343" s="21">
        <v>138.54416597441099</v>
      </c>
      <c r="S343" s="21">
        <v>146.08467678038599</v>
      </c>
    </row>
    <row r="344" spans="1:19">
      <c r="A344" s="9">
        <f t="shared" si="5"/>
        <v>43191</v>
      </c>
      <c r="B344" s="21">
        <v>128.084993911987</v>
      </c>
      <c r="C344" s="21">
        <v>130.479268719315</v>
      </c>
      <c r="D344" s="21">
        <v>111.72021015838099</v>
      </c>
      <c r="E344" s="21">
        <v>105.61234135222099</v>
      </c>
      <c r="F344" s="21">
        <v>106.723711257536</v>
      </c>
      <c r="G344" s="21">
        <v>92.477067355015606</v>
      </c>
      <c r="H344" s="21">
        <v>127.05356025236701</v>
      </c>
      <c r="I344" s="21">
        <v>106.158012265819</v>
      </c>
      <c r="J344" s="21">
        <v>109.84933058589201</v>
      </c>
      <c r="K344" s="21">
        <v>120.30651648252</v>
      </c>
      <c r="L344" s="21">
        <v>133.89184713931101</v>
      </c>
      <c r="M344" s="21">
        <v>107.172169442919</v>
      </c>
      <c r="N344" s="21">
        <v>131.12991170248401</v>
      </c>
      <c r="O344" s="21">
        <v>109.956112024799</v>
      </c>
      <c r="P344" s="21">
        <v>151.756233731008</v>
      </c>
      <c r="Q344" s="21">
        <v>152.75525118943699</v>
      </c>
      <c r="R344" s="21">
        <v>123.15841533131</v>
      </c>
      <c r="S344" s="21">
        <v>144.06027602941501</v>
      </c>
    </row>
    <row r="345" spans="1:19">
      <c r="A345" s="9">
        <f t="shared" si="5"/>
        <v>43221</v>
      </c>
      <c r="B345" s="21">
        <v>132.85249030431899</v>
      </c>
      <c r="C345" s="21">
        <v>136.073519687523</v>
      </c>
      <c r="D345" s="21">
        <v>112.080767322905</v>
      </c>
      <c r="E345" s="21">
        <v>107.18666339520099</v>
      </c>
      <c r="F345" s="21">
        <v>108.422029955197</v>
      </c>
      <c r="G345" s="21">
        <v>92.585873707696507</v>
      </c>
      <c r="H345" s="21">
        <v>127.439139166678</v>
      </c>
      <c r="I345" s="21">
        <v>107.555937465634</v>
      </c>
      <c r="J345" s="21">
        <v>110.05397814793299</v>
      </c>
      <c r="K345" s="21">
        <v>119.351305182392</v>
      </c>
      <c r="L345" s="21">
        <v>134.34934211831401</v>
      </c>
      <c r="M345" s="21">
        <v>104.851148579233</v>
      </c>
      <c r="N345" s="21">
        <v>131.45654614655101</v>
      </c>
      <c r="O345" s="21">
        <v>107.23822004748</v>
      </c>
      <c r="P345" s="21">
        <v>162.89825464501601</v>
      </c>
      <c r="Q345" s="21">
        <v>166.11657357449201</v>
      </c>
      <c r="R345" s="21">
        <v>132.725684274983</v>
      </c>
      <c r="S345" s="21">
        <v>157.77853199832799</v>
      </c>
    </row>
    <row r="346" spans="1:19">
      <c r="A346" s="9">
        <f t="shared" si="5"/>
        <v>43252</v>
      </c>
      <c r="B346" s="21">
        <v>131.641941707538</v>
      </c>
      <c r="C346" s="21">
        <v>134.92049744591301</v>
      </c>
      <c r="D346" s="21">
        <v>109.84190063968001</v>
      </c>
      <c r="E346" s="21">
        <v>102.872269714661</v>
      </c>
      <c r="F346" s="21">
        <v>104.065008910394</v>
      </c>
      <c r="G346" s="21">
        <v>88.775292580206795</v>
      </c>
      <c r="H346" s="21">
        <v>128.303024969246</v>
      </c>
      <c r="I346" s="21">
        <v>103.875628039882</v>
      </c>
      <c r="J346" s="21">
        <v>110.663079735012</v>
      </c>
      <c r="K346" s="21">
        <v>119.041374996588</v>
      </c>
      <c r="L346" s="21">
        <v>135.314498805634</v>
      </c>
      <c r="M346" s="21">
        <v>103.30845977162301</v>
      </c>
      <c r="N346" s="21">
        <v>132.28602499119901</v>
      </c>
      <c r="O346" s="21">
        <v>108.076085825484</v>
      </c>
      <c r="P346" s="21">
        <v>163.17514177613501</v>
      </c>
      <c r="Q346" s="21">
        <v>164.36008742860599</v>
      </c>
      <c r="R346" s="21">
        <v>142.64070463095999</v>
      </c>
      <c r="S346" s="21">
        <v>167.86293939626199</v>
      </c>
    </row>
    <row r="347" spans="1:19">
      <c r="A347" s="9">
        <f t="shared" si="5"/>
        <v>43282</v>
      </c>
      <c r="B347" s="21">
        <v>129.82861889697901</v>
      </c>
      <c r="C347" s="21">
        <v>133.29209638121</v>
      </c>
      <c r="D347" s="21">
        <v>105.877444654293</v>
      </c>
      <c r="E347" s="21">
        <v>100.16938643612001</v>
      </c>
      <c r="F347" s="21">
        <v>101.28563450020199</v>
      </c>
      <c r="G347" s="21">
        <v>86.976457510796706</v>
      </c>
      <c r="H347" s="21">
        <v>121.785165838689</v>
      </c>
      <c r="I347" s="21">
        <v>101.293255631992</v>
      </c>
      <c r="J347" s="21">
        <v>108.89593125333001</v>
      </c>
      <c r="K347" s="21">
        <v>113.012001106639</v>
      </c>
      <c r="L347" s="21">
        <v>126.908341101779</v>
      </c>
      <c r="M347" s="21">
        <v>99.5769691087079</v>
      </c>
      <c r="N347" s="21">
        <v>124.16928138741</v>
      </c>
      <c r="O347" s="21">
        <v>103.73164695040801</v>
      </c>
      <c r="P347" s="21">
        <v>164.47337791011401</v>
      </c>
      <c r="Q347" s="21">
        <v>166.97538498050201</v>
      </c>
      <c r="R347" s="21">
        <v>139.51280359618201</v>
      </c>
      <c r="S347" s="21">
        <v>172.73530958900801</v>
      </c>
    </row>
    <row r="348" spans="1:19">
      <c r="A348" s="9">
        <f t="shared" si="5"/>
        <v>43313</v>
      </c>
      <c r="B348" s="21">
        <v>127.512680443896</v>
      </c>
      <c r="C348" s="21">
        <v>131.05199947717301</v>
      </c>
      <c r="D348" s="21">
        <v>102.86297529702701</v>
      </c>
      <c r="E348" s="21">
        <v>96.238952998499798</v>
      </c>
      <c r="F348" s="21">
        <v>97.404085256796094</v>
      </c>
      <c r="G348" s="21">
        <v>82.468262085860005</v>
      </c>
      <c r="H348" s="21">
        <v>119.696995098513</v>
      </c>
      <c r="I348" s="21">
        <v>97.509563110582704</v>
      </c>
      <c r="J348" s="21">
        <v>106.10490192656199</v>
      </c>
      <c r="K348" s="21">
        <v>110.587438299127</v>
      </c>
      <c r="L348" s="21">
        <v>125.099540536802</v>
      </c>
      <c r="M348" s="21">
        <v>96.557085127817402</v>
      </c>
      <c r="N348" s="21">
        <v>122.198962113855</v>
      </c>
      <c r="O348" s="21">
        <v>107.602190828692</v>
      </c>
      <c r="P348" s="21">
        <v>163.16784648732701</v>
      </c>
      <c r="Q348" s="21">
        <v>164.58963884102101</v>
      </c>
      <c r="R348" s="21">
        <v>147.48413252404501</v>
      </c>
      <c r="S348" s="21">
        <v>164.69381753157001</v>
      </c>
    </row>
    <row r="349" spans="1:19">
      <c r="A349" s="9">
        <f t="shared" si="5"/>
        <v>43344</v>
      </c>
      <c r="B349" s="21">
        <v>131.713928708743</v>
      </c>
      <c r="C349" s="21">
        <v>135.753666767363</v>
      </c>
      <c r="D349" s="21">
        <v>103.44391130842099</v>
      </c>
      <c r="E349" s="21">
        <v>97.223192788870605</v>
      </c>
      <c r="F349" s="21">
        <v>98.603643805769394</v>
      </c>
      <c r="G349" s="21">
        <v>80.907650807783</v>
      </c>
      <c r="H349" s="21">
        <v>118.941434491726</v>
      </c>
      <c r="I349" s="21">
        <v>98.211243004533301</v>
      </c>
      <c r="J349" s="21">
        <v>104.89513941781</v>
      </c>
      <c r="K349" s="21">
        <v>110.27794943124201</v>
      </c>
      <c r="L349" s="21">
        <v>124.524514773506</v>
      </c>
      <c r="M349" s="21">
        <v>96.504318295211505</v>
      </c>
      <c r="N349" s="21">
        <v>121.818835941725</v>
      </c>
      <c r="O349" s="21">
        <v>116.62099831550201</v>
      </c>
      <c r="P349" s="21">
        <v>172.60578353838201</v>
      </c>
      <c r="Q349" s="21">
        <v>173.08884675779299</v>
      </c>
      <c r="R349" s="21">
        <v>160.41711618575701</v>
      </c>
      <c r="S349" s="21">
        <v>163.47675963474299</v>
      </c>
    </row>
    <row r="350" spans="1:19">
      <c r="A350" s="9">
        <f t="shared" si="5"/>
        <v>43374</v>
      </c>
      <c r="B350" s="21">
        <v>132.82674856239001</v>
      </c>
      <c r="C350" s="21">
        <v>136.839034599901</v>
      </c>
      <c r="D350" s="21">
        <v>105.546073661401</v>
      </c>
      <c r="E350" s="21">
        <v>99.362705932860294</v>
      </c>
      <c r="F350" s="21">
        <v>100.454615587099</v>
      </c>
      <c r="G350" s="21">
        <v>86.457432522061197</v>
      </c>
      <c r="H350" s="21">
        <v>120.709945175767</v>
      </c>
      <c r="I350" s="21">
        <v>99.852037888285295</v>
      </c>
      <c r="J350" s="21">
        <v>103.16223816952601</v>
      </c>
      <c r="K350" s="21">
        <v>112.692605817247</v>
      </c>
      <c r="L350" s="21">
        <v>127.684756431081</v>
      </c>
      <c r="M350" s="21">
        <v>98.198140131670399</v>
      </c>
      <c r="N350" s="21">
        <v>125.089943585228</v>
      </c>
      <c r="O350" s="21">
        <v>123.345680175474</v>
      </c>
      <c r="P350" s="21">
        <v>172.287544850866</v>
      </c>
      <c r="Q350" s="21">
        <v>177.36273851966999</v>
      </c>
      <c r="R350" s="21">
        <v>152.67018169456799</v>
      </c>
      <c r="S350" s="21">
        <v>158.98022595870799</v>
      </c>
    </row>
    <row r="351" spans="1:19">
      <c r="A351" s="9">
        <f t="shared" si="5"/>
        <v>43405</v>
      </c>
      <c r="B351" s="21">
        <v>121.45602985409499</v>
      </c>
      <c r="C351" s="21">
        <v>124.13162647499</v>
      </c>
      <c r="D351" s="21">
        <v>103.07545273753701</v>
      </c>
      <c r="E351" s="21">
        <v>95.094908838272104</v>
      </c>
      <c r="F351" s="21">
        <v>95.859855318605497</v>
      </c>
      <c r="G351" s="21">
        <v>86.054011145862404</v>
      </c>
      <c r="H351" s="21">
        <v>118.87060870890301</v>
      </c>
      <c r="I351" s="21">
        <v>95.883039456561804</v>
      </c>
      <c r="J351" s="21">
        <v>101.214533068196</v>
      </c>
      <c r="K351" s="21">
        <v>112.12509391256999</v>
      </c>
      <c r="L351" s="21">
        <v>125.88849401207599</v>
      </c>
      <c r="M351" s="21">
        <v>98.818588688758993</v>
      </c>
      <c r="N351" s="21">
        <v>123.703918281573</v>
      </c>
      <c r="O351" s="21">
        <v>125.29045226806799</v>
      </c>
      <c r="P351" s="21">
        <v>148.043063052268</v>
      </c>
      <c r="Q351" s="21">
        <v>144.75945653847199</v>
      </c>
      <c r="R351" s="21">
        <v>160.27833850438799</v>
      </c>
      <c r="S351" s="21">
        <v>147.77940092777999</v>
      </c>
    </row>
    <row r="352" spans="1:19">
      <c r="A352" s="9">
        <f t="shared" si="5"/>
        <v>43435</v>
      </c>
      <c r="B352" s="21">
        <v>115.89409925551401</v>
      </c>
      <c r="C352" s="21">
        <v>117.695984035667</v>
      </c>
      <c r="D352" s="21">
        <v>104.28028635872001</v>
      </c>
      <c r="E352" s="21">
        <v>97.371173839084904</v>
      </c>
      <c r="F352" s="21">
        <v>98.668040874794102</v>
      </c>
      <c r="G352" s="21">
        <v>82.0435104117105</v>
      </c>
      <c r="H352" s="21">
        <v>117.68920016542</v>
      </c>
      <c r="I352" s="21">
        <v>98.238108402664594</v>
      </c>
      <c r="J352" s="21">
        <v>104.10268970450601</v>
      </c>
      <c r="K352" s="21">
        <v>111.887759649445</v>
      </c>
      <c r="L352" s="21">
        <v>123.089526604055</v>
      </c>
      <c r="M352" s="21">
        <v>101.057850657495</v>
      </c>
      <c r="N352" s="21">
        <v>121.52719875753699</v>
      </c>
      <c r="O352" s="21">
        <v>122.881959541425</v>
      </c>
      <c r="P352" s="21">
        <v>132.693181628518</v>
      </c>
      <c r="Q352" s="21">
        <v>125.656835657258</v>
      </c>
      <c r="R352" s="21">
        <v>151.531965074319</v>
      </c>
      <c r="S352" s="21">
        <v>150.02729458456301</v>
      </c>
    </row>
    <row r="353" spans="1:19">
      <c r="A353" s="9">
        <f t="shared" si="5"/>
        <v>43466</v>
      </c>
      <c r="B353" s="21">
        <v>117.018020445403</v>
      </c>
      <c r="C353" s="21">
        <v>118.549920078551</v>
      </c>
      <c r="D353" s="21">
        <v>106.08116780509501</v>
      </c>
      <c r="E353" s="21">
        <v>99.096938989444496</v>
      </c>
      <c r="F353" s="21">
        <v>100.463219736599</v>
      </c>
      <c r="G353" s="21">
        <v>82.948875338304603</v>
      </c>
      <c r="H353" s="21">
        <v>119.026982422213</v>
      </c>
      <c r="I353" s="21">
        <v>99.754718691265495</v>
      </c>
      <c r="J353" s="21">
        <v>104.20442308891</v>
      </c>
      <c r="K353" s="21">
        <v>114.711384958171</v>
      </c>
      <c r="L353" s="21">
        <v>124.91860995130899</v>
      </c>
      <c r="M353" s="21">
        <v>104.843002748118</v>
      </c>
      <c r="N353" s="21">
        <v>123.795486425991</v>
      </c>
      <c r="O353" s="21">
        <v>117.626170807074</v>
      </c>
      <c r="P353" s="21">
        <v>132.83789717655699</v>
      </c>
      <c r="Q353" s="21">
        <v>130.90453815323301</v>
      </c>
      <c r="R353" s="21">
        <v>132.55338115675599</v>
      </c>
      <c r="S353" s="21">
        <v>145.33796299340901</v>
      </c>
    </row>
    <row r="354" spans="1:19">
      <c r="A354" s="9">
        <f t="shared" si="5"/>
        <v>43497</v>
      </c>
      <c r="B354" s="21">
        <v>118.756642470421</v>
      </c>
      <c r="C354" s="21">
        <v>120.22858820497601</v>
      </c>
      <c r="D354" s="21">
        <v>107.397187041094</v>
      </c>
      <c r="E354" s="21">
        <v>97.609534990234593</v>
      </c>
      <c r="F354" s="21">
        <v>98.816982035829199</v>
      </c>
      <c r="G354" s="21">
        <v>83.338725869752693</v>
      </c>
      <c r="H354" s="21">
        <v>125.902473420522</v>
      </c>
      <c r="I354" s="21">
        <v>98.424685477294304</v>
      </c>
      <c r="J354" s="21">
        <v>103.938961300901</v>
      </c>
      <c r="K354" s="21">
        <v>120.811051471036</v>
      </c>
      <c r="L354" s="21">
        <v>134.632465976454</v>
      </c>
      <c r="M354" s="21">
        <v>107.44845770880001</v>
      </c>
      <c r="N354" s="21">
        <v>132.99297140191899</v>
      </c>
      <c r="O354" s="21">
        <v>109.763882154482</v>
      </c>
      <c r="P354" s="21">
        <v>135.18780329293099</v>
      </c>
      <c r="Q354" s="21">
        <v>141.59556937609199</v>
      </c>
      <c r="R354" s="21">
        <v>109.957213662877</v>
      </c>
      <c r="S354" s="21">
        <v>135.11475033688899</v>
      </c>
    </row>
    <row r="355" spans="1:19">
      <c r="A355" s="9">
        <f t="shared" si="5"/>
        <v>43525</v>
      </c>
      <c r="B355" s="21">
        <v>119.37270808252499</v>
      </c>
      <c r="C355" s="21">
        <v>121.088053427627</v>
      </c>
      <c r="D355" s="21">
        <v>107.09275734201699</v>
      </c>
      <c r="E355" s="21">
        <v>96.758698167308395</v>
      </c>
      <c r="F355" s="21">
        <v>98.0934340622577</v>
      </c>
      <c r="G355" s="21">
        <v>80.983462928152505</v>
      </c>
      <c r="H355" s="21">
        <v>127.503563040993</v>
      </c>
      <c r="I355" s="21">
        <v>97.874077971184903</v>
      </c>
      <c r="J355" s="21">
        <v>105.419325117932</v>
      </c>
      <c r="K355" s="21">
        <v>121.079260370112</v>
      </c>
      <c r="L355" s="21">
        <v>136.281541336163</v>
      </c>
      <c r="M355" s="21">
        <v>106.38163989652899</v>
      </c>
      <c r="N355" s="21">
        <v>134.71960116471601</v>
      </c>
      <c r="O355" s="21">
        <v>107.083336168499</v>
      </c>
      <c r="P355" s="21">
        <v>137.13534175498299</v>
      </c>
      <c r="Q355" s="21">
        <v>147.91533160217699</v>
      </c>
      <c r="R355" s="21">
        <v>99.904933570149396</v>
      </c>
      <c r="S355" s="21">
        <v>128.615210999482</v>
      </c>
    </row>
    <row r="356" spans="1:19">
      <c r="A356" s="9">
        <f t="shared" si="5"/>
        <v>43556</v>
      </c>
      <c r="B356" s="21">
        <v>122.77400891510101</v>
      </c>
      <c r="C356" s="21">
        <v>125.00512146305</v>
      </c>
      <c r="D356" s="21">
        <v>109.01303975927</v>
      </c>
      <c r="E356" s="21">
        <v>99.870589550689601</v>
      </c>
      <c r="F356" s="21">
        <v>101.54764321759301</v>
      </c>
      <c r="G356" s="21">
        <v>80.049502694329206</v>
      </c>
      <c r="H356" s="21">
        <v>129.87687787892401</v>
      </c>
      <c r="I356" s="21">
        <v>100.500830678349</v>
      </c>
      <c r="J356" s="21">
        <v>104.76424396027301</v>
      </c>
      <c r="K356" s="21">
        <v>122.059163280253</v>
      </c>
      <c r="L356" s="21">
        <v>139.858574156624</v>
      </c>
      <c r="M356" s="21">
        <v>104.850628173022</v>
      </c>
      <c r="N356" s="21">
        <v>137.42800658604199</v>
      </c>
      <c r="O356" s="21">
        <v>107.43580345589299</v>
      </c>
      <c r="P356" s="21">
        <v>142.67889772599301</v>
      </c>
      <c r="Q356" s="21">
        <v>159.32141243219399</v>
      </c>
      <c r="R356" s="21">
        <v>94.604849578233996</v>
      </c>
      <c r="S356" s="21">
        <v>116.653149590976</v>
      </c>
    </row>
    <row r="357" spans="1:19">
      <c r="A357" s="9">
        <f t="shared" si="5"/>
        <v>43586</v>
      </c>
      <c r="B357" s="21">
        <v>119.645171220398</v>
      </c>
      <c r="C357" s="21">
        <v>121.544949316784</v>
      </c>
      <c r="D357" s="21">
        <v>107.188733695905</v>
      </c>
      <c r="E357" s="21">
        <v>96.659758076645304</v>
      </c>
      <c r="F357" s="21">
        <v>98.113626807107593</v>
      </c>
      <c r="G357" s="21">
        <v>79.4764925956745</v>
      </c>
      <c r="H357" s="21">
        <v>129.519812028801</v>
      </c>
      <c r="I357" s="21">
        <v>97.8247126507122</v>
      </c>
      <c r="J357" s="21">
        <v>105.70531990710801</v>
      </c>
      <c r="K357" s="21">
        <v>121.23900440828299</v>
      </c>
      <c r="L357" s="21">
        <v>138.98552670199899</v>
      </c>
      <c r="M357" s="21">
        <v>104.08160217492799</v>
      </c>
      <c r="N357" s="21">
        <v>136.106432870601</v>
      </c>
      <c r="O357" s="21">
        <v>109.049214635648</v>
      </c>
      <c r="P357" s="21">
        <v>137.66308849767</v>
      </c>
      <c r="Q357" s="21">
        <v>154.89639653196301</v>
      </c>
      <c r="R357" s="21">
        <v>89.783132817063404</v>
      </c>
      <c r="S357" s="21">
        <v>114.939084252228</v>
      </c>
    </row>
    <row r="358" spans="1:19">
      <c r="A358" s="9">
        <f t="shared" si="5"/>
        <v>43617</v>
      </c>
      <c r="B358" s="21">
        <v>114.855351790109</v>
      </c>
      <c r="C358" s="21">
        <v>115.532710234231</v>
      </c>
      <c r="D358" s="21">
        <v>109.863581863121</v>
      </c>
      <c r="E358" s="21">
        <v>98.789328562575093</v>
      </c>
      <c r="F358" s="21">
        <v>100.170736396298</v>
      </c>
      <c r="G358" s="21">
        <v>82.462477969395593</v>
      </c>
      <c r="H358" s="21">
        <v>131.151171123019</v>
      </c>
      <c r="I358" s="21">
        <v>99.629251170915296</v>
      </c>
      <c r="J358" s="21">
        <v>105.311103793708</v>
      </c>
      <c r="K358" s="21">
        <v>125.381548219858</v>
      </c>
      <c r="L358" s="21">
        <v>141.42200550510901</v>
      </c>
      <c r="M358" s="21">
        <v>109.873575835463</v>
      </c>
      <c r="N358" s="21">
        <v>138.73444262736501</v>
      </c>
      <c r="O358" s="21">
        <v>109.966157681691</v>
      </c>
      <c r="P358" s="21">
        <v>122.075818912816</v>
      </c>
      <c r="Q358" s="21">
        <v>138.20901355331401</v>
      </c>
      <c r="R358" s="21">
        <v>76.763235224573407</v>
      </c>
      <c r="S358" s="21">
        <v>104.393469285957</v>
      </c>
    </row>
    <row r="359" spans="1:19">
      <c r="A359" s="9">
        <f t="shared" si="5"/>
        <v>43647</v>
      </c>
      <c r="B359" s="21">
        <v>117.38382745657501</v>
      </c>
      <c r="C359" s="21">
        <v>117.85844233402599</v>
      </c>
      <c r="D359" s="21">
        <v>111.61211577492899</v>
      </c>
      <c r="E359" s="21">
        <v>98.977828291887604</v>
      </c>
      <c r="F359" s="21">
        <v>100.30345667308001</v>
      </c>
      <c r="G359" s="21">
        <v>83.310234701167204</v>
      </c>
      <c r="H359" s="21">
        <v>134.639942888013</v>
      </c>
      <c r="I359" s="21">
        <v>99.305824469940006</v>
      </c>
      <c r="J359" s="21">
        <v>101.524631210024</v>
      </c>
      <c r="K359" s="21">
        <v>130.86160342609901</v>
      </c>
      <c r="L359" s="21">
        <v>147.802520114354</v>
      </c>
      <c r="M359" s="21">
        <v>114.483063619172</v>
      </c>
      <c r="N359" s="21">
        <v>145.152035019827</v>
      </c>
      <c r="O359" s="21">
        <v>104.69783259755501</v>
      </c>
      <c r="P359" s="21">
        <v>125.73246031598499</v>
      </c>
      <c r="Q359" s="21">
        <v>143.127515025534</v>
      </c>
      <c r="R359" s="21">
        <v>77.399260891310405</v>
      </c>
      <c r="S359" s="21">
        <v>106.285078245416</v>
      </c>
    </row>
    <row r="360" spans="1:19">
      <c r="A360" s="9">
        <f t="shared" si="5"/>
        <v>43678</v>
      </c>
      <c r="B360" s="21">
        <v>112.02992652713201</v>
      </c>
      <c r="C360" s="21">
        <v>111.121116691263</v>
      </c>
      <c r="D360" s="21">
        <v>108.498328841185</v>
      </c>
      <c r="E360" s="21">
        <v>96.711384260962902</v>
      </c>
      <c r="F360" s="21">
        <v>98.224053784204401</v>
      </c>
      <c r="G360" s="21">
        <v>78.833152575928494</v>
      </c>
      <c r="H360" s="21">
        <v>123.072170793635</v>
      </c>
      <c r="I360" s="21">
        <v>96.807793695662994</v>
      </c>
      <c r="J360" s="21">
        <v>97.459977830217696</v>
      </c>
      <c r="K360" s="21">
        <v>126.855286757887</v>
      </c>
      <c r="L360" s="21">
        <v>133.252430339282</v>
      </c>
      <c r="M360" s="21">
        <v>120.670505100166</v>
      </c>
      <c r="N360" s="21">
        <v>132.34735231634301</v>
      </c>
      <c r="O360" s="21">
        <v>101.08728228160901</v>
      </c>
      <c r="P360" s="21">
        <v>117.138291967642</v>
      </c>
      <c r="Q360" s="21">
        <v>134.958468638498</v>
      </c>
      <c r="R360" s="21">
        <v>72.603140032084696</v>
      </c>
      <c r="S360" s="21">
        <v>95.405304038079905</v>
      </c>
    </row>
    <row r="361" spans="1:19">
      <c r="A361" s="9">
        <f t="shared" si="5"/>
        <v>43709</v>
      </c>
      <c r="B361" s="21">
        <v>114.069357703356</v>
      </c>
      <c r="C361" s="21">
        <v>113.277837766476</v>
      </c>
      <c r="D361" s="21">
        <v>108.284295469122</v>
      </c>
      <c r="E361" s="21">
        <v>94.858025627670898</v>
      </c>
      <c r="F361" s="21">
        <v>96.037472044755802</v>
      </c>
      <c r="G361" s="21">
        <v>80.918155761355493</v>
      </c>
      <c r="H361" s="21">
        <v>124.102781503681</v>
      </c>
      <c r="I361" s="21">
        <v>95.169766116348896</v>
      </c>
      <c r="J361" s="21">
        <v>97.278607449631593</v>
      </c>
      <c r="K361" s="21">
        <v>128.70116406617299</v>
      </c>
      <c r="L361" s="21">
        <v>134.76477574829201</v>
      </c>
      <c r="M361" s="21">
        <v>122.838842260519</v>
      </c>
      <c r="N361" s="21">
        <v>134.875051090537</v>
      </c>
      <c r="O361" s="21">
        <v>102.07155571505599</v>
      </c>
      <c r="P361" s="21">
        <v>122.43730179454199</v>
      </c>
      <c r="Q361" s="21">
        <v>141.02323869731401</v>
      </c>
      <c r="R361" s="21">
        <v>79.023485547666894</v>
      </c>
      <c r="S361" s="21">
        <v>94.125200823460602</v>
      </c>
    </row>
    <row r="362" spans="1:19">
      <c r="A362" s="9">
        <f t="shared" si="5"/>
        <v>43739</v>
      </c>
      <c r="B362" s="21">
        <v>112.63356390455201</v>
      </c>
      <c r="C362" s="21">
        <v>111.829272154235</v>
      </c>
      <c r="D362" s="21">
        <v>107.681106025408</v>
      </c>
      <c r="E362" s="21">
        <v>95.149645944147494</v>
      </c>
      <c r="F362" s="21">
        <v>96.314933453495797</v>
      </c>
      <c r="G362" s="21">
        <v>81.377120120290101</v>
      </c>
      <c r="H362" s="21">
        <v>122.114996729341</v>
      </c>
      <c r="I362" s="21">
        <v>95.245560732175306</v>
      </c>
      <c r="J362" s="21">
        <v>95.894398713804506</v>
      </c>
      <c r="K362" s="21">
        <v>127.100515802261</v>
      </c>
      <c r="L362" s="21">
        <v>132.53708333557299</v>
      </c>
      <c r="M362" s="21">
        <v>121.84442255796</v>
      </c>
      <c r="N362" s="21">
        <v>133.04981509659899</v>
      </c>
      <c r="O362" s="21">
        <v>101.079046232705</v>
      </c>
      <c r="P362" s="21">
        <v>119.797167158702</v>
      </c>
      <c r="Q362" s="21">
        <v>134.667438783866</v>
      </c>
      <c r="R362" s="21">
        <v>83.103199603593197</v>
      </c>
      <c r="S362" s="21">
        <v>101.82727804708701</v>
      </c>
    </row>
    <row r="363" spans="1:19">
      <c r="A363" s="9">
        <f t="shared" si="5"/>
        <v>43770</v>
      </c>
      <c r="B363" s="21">
        <v>116.43818709128099</v>
      </c>
      <c r="C363" s="21">
        <v>116.288912381733</v>
      </c>
      <c r="D363" s="21">
        <v>108.699871747158</v>
      </c>
      <c r="E363" s="21">
        <v>99.219853296504397</v>
      </c>
      <c r="F363" s="21">
        <v>100.316584460561</v>
      </c>
      <c r="G363" s="21">
        <v>86.257594491158699</v>
      </c>
      <c r="H363" s="21">
        <v>120.027965385548</v>
      </c>
      <c r="I363" s="21">
        <v>99.219782745994195</v>
      </c>
      <c r="J363" s="21">
        <v>99.219305490593001</v>
      </c>
      <c r="K363" s="21">
        <v>124.145321249877</v>
      </c>
      <c r="L363" s="21">
        <v>128.29893065706199</v>
      </c>
      <c r="M363" s="21">
        <v>120.129596583386</v>
      </c>
      <c r="N363" s="21">
        <v>129.31036627120699</v>
      </c>
      <c r="O363" s="21">
        <v>96.015807719383702</v>
      </c>
      <c r="P363" s="21">
        <v>127.63146169019301</v>
      </c>
      <c r="Q363" s="21">
        <v>140.66729317804001</v>
      </c>
      <c r="R363" s="21">
        <v>95.3390385839907</v>
      </c>
      <c r="S363" s="21">
        <v>109.956437400439</v>
      </c>
    </row>
    <row r="364" spans="1:19">
      <c r="A364" s="9">
        <f t="shared" si="5"/>
        <v>43800</v>
      </c>
      <c r="B364" s="21">
        <v>119.292769428973</v>
      </c>
      <c r="C364" s="21">
        <v>119.411808416946</v>
      </c>
      <c r="D364" s="21">
        <v>111.127086658968</v>
      </c>
      <c r="E364" s="21">
        <v>102.77996238759</v>
      </c>
      <c r="F364" s="21">
        <v>103.99757851233799</v>
      </c>
      <c r="G364" s="21">
        <v>88.3889649838586</v>
      </c>
      <c r="H364" s="21">
        <v>122.025514602626</v>
      </c>
      <c r="I364" s="21">
        <v>102.321705953435</v>
      </c>
      <c r="J364" s="21">
        <v>99.221723292576598</v>
      </c>
      <c r="K364" s="21">
        <v>126.05023119045499</v>
      </c>
      <c r="L364" s="21">
        <v>131.08949887342399</v>
      </c>
      <c r="M364" s="21">
        <v>121.178248885005</v>
      </c>
      <c r="N364" s="21">
        <v>132.365142500709</v>
      </c>
      <c r="O364" s="21">
        <v>92.462202938578201</v>
      </c>
      <c r="P364" s="21">
        <v>131.104220044215</v>
      </c>
      <c r="Q364" s="21">
        <v>147.36472302964199</v>
      </c>
      <c r="R364" s="21">
        <v>87.275109798918905</v>
      </c>
      <c r="S364" s="21">
        <v>114.8053018271</v>
      </c>
    </row>
    <row r="365" spans="1:19">
      <c r="A365" s="9">
        <f t="shared" si="5"/>
        <v>43831</v>
      </c>
      <c r="B365" s="21">
        <v>118.820722860147</v>
      </c>
      <c r="C365" s="21">
        <v>118.11941771757201</v>
      </c>
      <c r="D365" s="21">
        <v>113.759208696315</v>
      </c>
      <c r="E365" s="21">
        <v>103.962457014748</v>
      </c>
      <c r="F365" s="21">
        <v>105.435140956963</v>
      </c>
      <c r="G365" s="21">
        <v>86.556814663124001</v>
      </c>
      <c r="H365" s="21">
        <v>124.22488082540301</v>
      </c>
      <c r="I365" s="21">
        <v>103.722186011548</v>
      </c>
      <c r="J365" s="21">
        <v>102.096816702331</v>
      </c>
      <c r="K365" s="21">
        <v>130.986243828097</v>
      </c>
      <c r="L365" s="21">
        <v>133.020279030366</v>
      </c>
      <c r="M365" s="21">
        <v>129.01973120412899</v>
      </c>
      <c r="N365" s="21">
        <v>135.810703394108</v>
      </c>
      <c r="O365" s="21">
        <v>89.900209315490201</v>
      </c>
      <c r="P365" s="21">
        <v>126.14207323198001</v>
      </c>
      <c r="Q365" s="21">
        <v>143.449947438046</v>
      </c>
      <c r="R365" s="21">
        <v>76.343432687290701</v>
      </c>
      <c r="S365" s="21">
        <v>119.17805844079</v>
      </c>
    </row>
    <row r="366" spans="1:19">
      <c r="A366" s="9">
        <f t="shared" si="5"/>
        <v>43862</v>
      </c>
      <c r="B366" s="21">
        <v>110.15475751368599</v>
      </c>
      <c r="C366" s="21">
        <v>108.142923879077</v>
      </c>
      <c r="D366" s="21">
        <v>110.75303875683601</v>
      </c>
      <c r="E366" s="21">
        <v>99.8997776568023</v>
      </c>
      <c r="F366" s="21">
        <v>101.173399305807</v>
      </c>
      <c r="G366" s="21">
        <v>84.846851310275099</v>
      </c>
      <c r="H366" s="21">
        <v>118.052267914558</v>
      </c>
      <c r="I366" s="21">
        <v>99.742276070234595</v>
      </c>
      <c r="J366" s="21">
        <v>98.6768198081365</v>
      </c>
      <c r="K366" s="21">
        <v>129.29379482317901</v>
      </c>
      <c r="L366" s="21">
        <v>125.75356435638599</v>
      </c>
      <c r="M366" s="21">
        <v>132.716502501463</v>
      </c>
      <c r="N366" s="21">
        <v>130.39004002918099</v>
      </c>
      <c r="O366" s="21">
        <v>88.845246260445407</v>
      </c>
      <c r="P366" s="21">
        <v>109.28935904591199</v>
      </c>
      <c r="Q366" s="21">
        <v>125.438720043781</v>
      </c>
      <c r="R366" s="21">
        <v>60.114334295331503</v>
      </c>
      <c r="S366" s="21">
        <v>114.73678118552201</v>
      </c>
    </row>
    <row r="367" spans="1:19">
      <c r="A367" s="9">
        <f t="shared" si="5"/>
        <v>43891</v>
      </c>
      <c r="B367" s="21">
        <v>93.175348870562701</v>
      </c>
      <c r="C367" s="21">
        <v>89.289527029127299</v>
      </c>
      <c r="D367" s="21">
        <v>107.127329082817</v>
      </c>
      <c r="E367" s="21">
        <v>96.134146361827703</v>
      </c>
      <c r="F367" s="21">
        <v>97.217466774974596</v>
      </c>
      <c r="G367" s="21">
        <v>83.330389138065101</v>
      </c>
      <c r="H367" s="21">
        <v>114.21524000163301</v>
      </c>
      <c r="I367" s="21">
        <v>96.0958725842885</v>
      </c>
      <c r="J367" s="21">
        <v>95.836960678434707</v>
      </c>
      <c r="K367" s="21">
        <v>125.240352771224</v>
      </c>
      <c r="L367" s="21">
        <v>121.520184712139</v>
      </c>
      <c r="M367" s="21">
        <v>128.837024767516</v>
      </c>
      <c r="N367" s="21">
        <v>123.39420647355701</v>
      </c>
      <c r="O367" s="21">
        <v>90.697218153463297</v>
      </c>
      <c r="P367" s="21">
        <v>72.994167467433599</v>
      </c>
      <c r="Q367" s="21">
        <v>75.569586974343693</v>
      </c>
      <c r="R367" s="21">
        <v>58.686339548343597</v>
      </c>
      <c r="S367" s="21">
        <v>101.156438733756</v>
      </c>
    </row>
    <row r="368" spans="1:19">
      <c r="A368" s="9">
        <f t="shared" si="5"/>
        <v>43922</v>
      </c>
      <c r="B368" s="21">
        <v>85.053367378887103</v>
      </c>
      <c r="C368" s="21">
        <v>79.423992430728305</v>
      </c>
      <c r="D368" s="21">
        <v>105.21470321257399</v>
      </c>
      <c r="E368" s="21">
        <v>92.140949995871296</v>
      </c>
      <c r="F368" s="21">
        <v>92.949281591472797</v>
      </c>
      <c r="G368" s="21">
        <v>82.5872838960031</v>
      </c>
      <c r="H368" s="21">
        <v>109.154269878394</v>
      </c>
      <c r="I368" s="21">
        <v>92.098136078843396</v>
      </c>
      <c r="J368" s="21">
        <v>91.808511339204799</v>
      </c>
      <c r="K368" s="21">
        <v>125.759354468472</v>
      </c>
      <c r="L368" s="21">
        <v>116.048811247706</v>
      </c>
      <c r="M368" s="21">
        <v>135.147542936364</v>
      </c>
      <c r="N368" s="21">
        <v>118.438265244589</v>
      </c>
      <c r="O368" s="21">
        <v>97.514318043849897</v>
      </c>
      <c r="P368" s="21">
        <v>55.890512386327202</v>
      </c>
      <c r="Q368" s="21">
        <v>55.004063097763797</v>
      </c>
      <c r="R368" s="21">
        <v>48.514551974751903</v>
      </c>
      <c r="S368" s="21">
        <v>87.548947927482899</v>
      </c>
    </row>
    <row r="369" spans="1:19">
      <c r="A369" s="9">
        <f t="shared" si="5"/>
        <v>43952</v>
      </c>
      <c r="B369" s="21">
        <v>91.725812749782307</v>
      </c>
      <c r="C369" s="21">
        <v>86.548140777237805</v>
      </c>
      <c r="D369" s="21">
        <v>108.120374901362</v>
      </c>
      <c r="E369" s="21">
        <v>95.407842584563596</v>
      </c>
      <c r="F369" s="21">
        <v>96.546839266119406</v>
      </c>
      <c r="G369" s="21">
        <v>81.946047890833299</v>
      </c>
      <c r="H369" s="21">
        <v>112.751805252637</v>
      </c>
      <c r="I369" s="21">
        <v>94.899985703539201</v>
      </c>
      <c r="J369" s="21">
        <v>91.464469237142197</v>
      </c>
      <c r="K369" s="21">
        <v>129.39138858466501</v>
      </c>
      <c r="L369" s="21">
        <v>121.213033308457</v>
      </c>
      <c r="M369" s="21">
        <v>137.29825218074299</v>
      </c>
      <c r="N369" s="21">
        <v>122.840369174683</v>
      </c>
      <c r="O369" s="21">
        <v>93.633203121748295</v>
      </c>
      <c r="P369" s="21">
        <v>68.011499242132999</v>
      </c>
      <c r="Q369" s="21">
        <v>73.716080528337898</v>
      </c>
      <c r="R369" s="21">
        <v>43.928330566866002</v>
      </c>
      <c r="S369" s="21">
        <v>80.468743084574101</v>
      </c>
    </row>
    <row r="370" spans="1:19">
      <c r="A370" s="9">
        <f t="shared" si="5"/>
        <v>43983</v>
      </c>
      <c r="B370" s="21">
        <v>99.874821308309905</v>
      </c>
      <c r="C370" s="21">
        <v>95.475531797879597</v>
      </c>
      <c r="D370" s="21">
        <v>111.957481367735</v>
      </c>
      <c r="E370" s="21">
        <v>98.123154322533694</v>
      </c>
      <c r="F370" s="21">
        <v>99.743054827455694</v>
      </c>
      <c r="G370" s="21">
        <v>78.977560332089595</v>
      </c>
      <c r="H370" s="21">
        <v>121.010810259275</v>
      </c>
      <c r="I370" s="21">
        <v>97.417952958605099</v>
      </c>
      <c r="J370" s="21">
        <v>92.647453653730096</v>
      </c>
      <c r="K370" s="21">
        <v>135.754271078991</v>
      </c>
      <c r="L370" s="21">
        <v>132.28459428247899</v>
      </c>
      <c r="M370" s="21">
        <v>139.10876721249801</v>
      </c>
      <c r="N370" s="21">
        <v>133.32247614758001</v>
      </c>
      <c r="O370" s="21">
        <v>91.212662290598203</v>
      </c>
      <c r="P370" s="21">
        <v>82.397563544036899</v>
      </c>
      <c r="Q370" s="21">
        <v>92.589395958637994</v>
      </c>
      <c r="R370" s="21">
        <v>43.994588539156403</v>
      </c>
      <c r="S370" s="21">
        <v>81.568288973321899</v>
      </c>
    </row>
    <row r="371" spans="1:19">
      <c r="A371" s="9">
        <f t="shared" si="5"/>
        <v>44013</v>
      </c>
      <c r="B371" s="21">
        <v>102.86449368961</v>
      </c>
      <c r="C371" s="21">
        <v>97.796633376542104</v>
      </c>
      <c r="D371" s="21">
        <v>114.235553576399</v>
      </c>
      <c r="E371" s="21">
        <v>96.189343987064106</v>
      </c>
      <c r="F371" s="21">
        <v>97.553826686768801</v>
      </c>
      <c r="G371" s="21">
        <v>80.062531447556594</v>
      </c>
      <c r="H371" s="21">
        <v>126.62181183822899</v>
      </c>
      <c r="I371" s="21">
        <v>95.784725880447397</v>
      </c>
      <c r="J371" s="21">
        <v>93.047592211842996</v>
      </c>
      <c r="K371" s="21">
        <v>144.30147743195201</v>
      </c>
      <c r="L371" s="21">
        <v>139.96679445363301</v>
      </c>
      <c r="M371" s="21">
        <v>148.49226468492401</v>
      </c>
      <c r="N371" s="21">
        <v>141.58489518431699</v>
      </c>
      <c r="O371" s="21">
        <v>89.490643769055694</v>
      </c>
      <c r="P371" s="21">
        <v>86.416547317125804</v>
      </c>
      <c r="Q371" s="21">
        <v>97.379360165483504</v>
      </c>
      <c r="R371" s="21">
        <v>45.856917912216403</v>
      </c>
      <c r="S371" s="21">
        <v>78.359154439567604</v>
      </c>
    </row>
    <row r="372" spans="1:19">
      <c r="A372" s="9">
        <f t="shared" si="5"/>
        <v>44044</v>
      </c>
      <c r="B372" s="21">
        <v>108.67007816952599</v>
      </c>
      <c r="C372" s="21">
        <v>103.128754066821</v>
      </c>
      <c r="D372" s="21">
        <v>119.346307941164</v>
      </c>
      <c r="E372" s="21">
        <v>97.741655118303896</v>
      </c>
      <c r="F372" s="21">
        <v>98.5880249481216</v>
      </c>
      <c r="G372" s="21">
        <v>87.738415364864295</v>
      </c>
      <c r="H372" s="21">
        <v>133.92785322909799</v>
      </c>
      <c r="I372" s="21">
        <v>97.495111408257799</v>
      </c>
      <c r="J372" s="21">
        <v>95.827308908778704</v>
      </c>
      <c r="K372" s="21">
        <v>154.77958665640199</v>
      </c>
      <c r="L372" s="21">
        <v>149.07194614473801</v>
      </c>
      <c r="M372" s="21">
        <v>160.297754241083</v>
      </c>
      <c r="N372" s="21">
        <v>152.457125535421</v>
      </c>
      <c r="O372" s="21">
        <v>92.112247728483197</v>
      </c>
      <c r="P372" s="21">
        <v>93.227185730955796</v>
      </c>
      <c r="Q372" s="21">
        <v>99.664209281341797</v>
      </c>
      <c r="R372" s="21">
        <v>66.805975786543797</v>
      </c>
      <c r="S372" s="21">
        <v>79.446630688486707</v>
      </c>
    </row>
    <row r="373" spans="1:19">
      <c r="A373" s="9">
        <f t="shared" si="5"/>
        <v>44075</v>
      </c>
      <c r="B373" s="21">
        <v>108.341801551643</v>
      </c>
      <c r="C373" s="21">
        <v>103.178557413674</v>
      </c>
      <c r="D373" s="21">
        <v>120.12510506459</v>
      </c>
      <c r="E373" s="21">
        <v>99.251643118220798</v>
      </c>
      <c r="F373" s="21">
        <v>100.027149384227</v>
      </c>
      <c r="G373" s="21">
        <v>90.085939384626002</v>
      </c>
      <c r="H373" s="21">
        <v>136.38243556799799</v>
      </c>
      <c r="I373" s="21">
        <v>98.968164918169805</v>
      </c>
      <c r="J373" s="21">
        <v>97.050510436113001</v>
      </c>
      <c r="K373" s="21">
        <v>154.62109084228601</v>
      </c>
      <c r="L373" s="21">
        <v>152.01597412693701</v>
      </c>
      <c r="M373" s="21">
        <v>157.13972714805499</v>
      </c>
      <c r="N373" s="21">
        <v>155.13823930020999</v>
      </c>
      <c r="O373" s="21">
        <v>91.507477227712897</v>
      </c>
      <c r="P373" s="21">
        <v>91.297555351090594</v>
      </c>
      <c r="Q373" s="21">
        <v>93.246012069736594</v>
      </c>
      <c r="R373" s="21">
        <v>80.011798358601595</v>
      </c>
      <c r="S373" s="21">
        <v>81.855204972040298</v>
      </c>
    </row>
    <row r="374" spans="1:19">
      <c r="A374" s="9">
        <f t="shared" si="5"/>
        <v>44105</v>
      </c>
      <c r="B374" s="21">
        <v>111.24098859726</v>
      </c>
      <c r="C374" s="21">
        <v>106.604549099102</v>
      </c>
      <c r="D374" s="21">
        <v>122.19046135755001</v>
      </c>
      <c r="E374" s="21">
        <v>103.566261587513</v>
      </c>
      <c r="F374" s="21">
        <v>105.243697048738</v>
      </c>
      <c r="G374" s="21">
        <v>83.740662306439503</v>
      </c>
      <c r="H374" s="21">
        <v>137.47971373243399</v>
      </c>
      <c r="I374" s="21">
        <v>103.55514337390601</v>
      </c>
      <c r="J374" s="21">
        <v>103.47993162163699</v>
      </c>
      <c r="K374" s="21">
        <v>153.089960969667</v>
      </c>
      <c r="L374" s="21">
        <v>150.993847679407</v>
      </c>
      <c r="M374" s="21">
        <v>155.11649091465799</v>
      </c>
      <c r="N374" s="21">
        <v>153.79009093807801</v>
      </c>
      <c r="O374" s="21">
        <v>90.839739835543099</v>
      </c>
      <c r="P374" s="21">
        <v>95.402857186355106</v>
      </c>
      <c r="Q374" s="21">
        <v>92.299995375525896</v>
      </c>
      <c r="R374" s="21">
        <v>101.233697199147</v>
      </c>
      <c r="S374" s="21">
        <v>87.050747331392898</v>
      </c>
    </row>
    <row r="375" spans="1:19">
      <c r="A375" s="9">
        <f t="shared" si="5"/>
        <v>44136</v>
      </c>
      <c r="B375" s="21">
        <v>115.210057200145</v>
      </c>
      <c r="C375" s="21">
        <v>111.355977382576</v>
      </c>
      <c r="D375" s="21">
        <v>125.106289201926</v>
      </c>
      <c r="E375" s="21">
        <v>106.886950206709</v>
      </c>
      <c r="F375" s="21">
        <v>108.687071206318</v>
      </c>
      <c r="G375" s="21">
        <v>85.611331310681706</v>
      </c>
      <c r="H375" s="21">
        <v>144.115146016766</v>
      </c>
      <c r="I375" s="21">
        <v>107.13142288268401</v>
      </c>
      <c r="J375" s="21">
        <v>108.78521538856801</v>
      </c>
      <c r="K375" s="21">
        <v>155.349846611543</v>
      </c>
      <c r="L375" s="21">
        <v>158.15798350586701</v>
      </c>
      <c r="M375" s="21">
        <v>152.63492965909199</v>
      </c>
      <c r="N375" s="21">
        <v>160.259844370222</v>
      </c>
      <c r="O375" s="21">
        <v>89.627171899496801</v>
      </c>
      <c r="P375" s="21">
        <v>100.89541152282401</v>
      </c>
      <c r="Q375" s="21">
        <v>97.150580386980806</v>
      </c>
      <c r="R375" s="21">
        <v>104.680025154831</v>
      </c>
      <c r="S375" s="21">
        <v>98.9434406978787</v>
      </c>
    </row>
    <row r="376" spans="1:19">
      <c r="A376" s="9">
        <f t="shared" si="5"/>
        <v>44166</v>
      </c>
      <c r="B376" s="21">
        <v>125.23831502822</v>
      </c>
      <c r="C376" s="21">
        <v>122.58704599242699</v>
      </c>
      <c r="D376" s="21">
        <v>129.90091797331499</v>
      </c>
      <c r="E376" s="21">
        <v>108.077917134221</v>
      </c>
      <c r="F376" s="21">
        <v>109.858476239401</v>
      </c>
      <c r="G376" s="21">
        <v>87.033500146766599</v>
      </c>
      <c r="H376" s="21">
        <v>159.45745548732501</v>
      </c>
      <c r="I376" s="21">
        <v>108.01514202657501</v>
      </c>
      <c r="J376" s="21">
        <v>107.59048515166501</v>
      </c>
      <c r="K376" s="21">
        <v>166.192410509571</v>
      </c>
      <c r="L376" s="21">
        <v>180.073387149936</v>
      </c>
      <c r="M376" s="21">
        <v>152.77223185885799</v>
      </c>
      <c r="N376" s="21">
        <v>180.35794060671799</v>
      </c>
      <c r="O376" s="21">
        <v>93.0537037171393</v>
      </c>
      <c r="P376" s="21">
        <v>118.49397949919801</v>
      </c>
      <c r="Q376" s="21">
        <v>109.603923360436</v>
      </c>
      <c r="R376" s="21">
        <v>130.40032071236399</v>
      </c>
      <c r="S376" s="21">
        <v>127.839263796011</v>
      </c>
    </row>
    <row r="377" spans="1:19">
      <c r="A377" s="9">
        <f t="shared" si="5"/>
        <v>44197</v>
      </c>
      <c r="B377" s="21">
        <v>136.96160030100299</v>
      </c>
      <c r="C377" s="21">
        <v>135.53663542583001</v>
      </c>
      <c r="D377" s="21">
        <v>135.935192738106</v>
      </c>
      <c r="E377" s="21">
        <v>114.613501549669</v>
      </c>
      <c r="F377" s="21">
        <v>116.94080212550899</v>
      </c>
      <c r="G377" s="21">
        <v>87.107150521702195</v>
      </c>
      <c r="H377" s="21">
        <v>167.03484479979301</v>
      </c>
      <c r="I377" s="21">
        <v>114.07242747306999</v>
      </c>
      <c r="J377" s="21">
        <v>110.41220553033099</v>
      </c>
      <c r="K377" s="21">
        <v>171.60953266302599</v>
      </c>
      <c r="L377" s="21">
        <v>189.54104584029</v>
      </c>
      <c r="M377" s="21">
        <v>154.27328057131501</v>
      </c>
      <c r="N377" s="21">
        <v>189.440905607308</v>
      </c>
      <c r="O377" s="21">
        <v>106.034511796754</v>
      </c>
      <c r="P377" s="21">
        <v>138.44627250560899</v>
      </c>
      <c r="Q377" s="21">
        <v>120.097338456917</v>
      </c>
      <c r="R377" s="21">
        <v>181.986570328292</v>
      </c>
      <c r="S377" s="21">
        <v>134.99756956346801</v>
      </c>
    </row>
    <row r="378" spans="1:19">
      <c r="A378" s="9">
        <f t="shared" si="5"/>
        <v>44228</v>
      </c>
      <c r="B378" s="21">
        <v>137.974647557282</v>
      </c>
      <c r="C378" s="21">
        <v>137.197253062041</v>
      </c>
      <c r="D378" s="21">
        <v>138.188781507394</v>
      </c>
      <c r="E378" s="21">
        <v>117.390044492369</v>
      </c>
      <c r="F378" s="21">
        <v>119.743411108101</v>
      </c>
      <c r="G378" s="21">
        <v>89.575619101071496</v>
      </c>
      <c r="H378" s="21">
        <v>169.51832596318599</v>
      </c>
      <c r="I378" s="21">
        <v>116.60681056700101</v>
      </c>
      <c r="J378" s="21">
        <v>111.30844177811301</v>
      </c>
      <c r="K378" s="21">
        <v>171.445059633629</v>
      </c>
      <c r="L378" s="21">
        <v>192.65542047018701</v>
      </c>
      <c r="M378" s="21">
        <v>150.938805711627</v>
      </c>
      <c r="N378" s="21">
        <v>192.952796641151</v>
      </c>
      <c r="O378" s="21">
        <v>132.05474251701199</v>
      </c>
      <c r="P378" s="21">
        <v>137.66490829259999</v>
      </c>
      <c r="Q378" s="21">
        <v>136.02863715290599</v>
      </c>
      <c r="R378" s="21">
        <v>117.467224110272</v>
      </c>
      <c r="S378" s="21">
        <v>133.71139284389201</v>
      </c>
    </row>
    <row r="379" spans="1:19">
      <c r="A379" s="9">
        <f t="shared" si="5"/>
        <v>44256</v>
      </c>
      <c r="B379" s="21">
        <v>141.01558483409499</v>
      </c>
      <c r="C379" s="21">
        <v>141.39735264394</v>
      </c>
      <c r="D379" s="21">
        <v>140.24062228993699</v>
      </c>
      <c r="E379" s="21">
        <v>120.003155826076</v>
      </c>
      <c r="F379" s="21">
        <v>122.513728413983</v>
      </c>
      <c r="G379" s="21">
        <v>90.330714027611506</v>
      </c>
      <c r="H379" s="21">
        <v>174.679193690668</v>
      </c>
      <c r="I379" s="21">
        <v>119.29127657060999</v>
      </c>
      <c r="J379" s="21">
        <v>114.47560310901</v>
      </c>
      <c r="K379" s="21">
        <v>171.088880622555</v>
      </c>
      <c r="L379" s="21">
        <v>198.608740784764</v>
      </c>
      <c r="M379" s="21">
        <v>144.48257982773001</v>
      </c>
      <c r="N379" s="21">
        <v>198.13481837106499</v>
      </c>
      <c r="O379" s="21">
        <v>151.38526072869399</v>
      </c>
      <c r="P379" s="21">
        <v>142.13654827056399</v>
      </c>
      <c r="Q379" s="21">
        <v>144.28398481392199</v>
      </c>
      <c r="R379" s="21">
        <v>110.626669886879</v>
      </c>
      <c r="S379" s="21">
        <v>141.678743268045</v>
      </c>
    </row>
    <row r="380" spans="1:19">
      <c r="A380" s="9">
        <f t="shared" si="5"/>
        <v>44287</v>
      </c>
      <c r="B380" s="21">
        <v>145.21863611296999</v>
      </c>
      <c r="C380" s="21">
        <v>145.68213967819901</v>
      </c>
      <c r="D380" s="21">
        <v>146.61853784534901</v>
      </c>
      <c r="E380" s="21">
        <v>126.830341776967</v>
      </c>
      <c r="F380" s="21">
        <v>129.99910227502599</v>
      </c>
      <c r="G380" s="21">
        <v>89.378781162934999</v>
      </c>
      <c r="H380" s="21">
        <v>181.52351622938801</v>
      </c>
      <c r="I380" s="21">
        <v>125.255127779749</v>
      </c>
      <c r="J380" s="21">
        <v>114.599224851692</v>
      </c>
      <c r="K380" s="21">
        <v>177.99404517535899</v>
      </c>
      <c r="L380" s="21">
        <v>208.124387818424</v>
      </c>
      <c r="M380" s="21">
        <v>148.86392043317599</v>
      </c>
      <c r="N380" s="21">
        <v>207.80911650525701</v>
      </c>
      <c r="O380" s="21">
        <v>158.96734195689601</v>
      </c>
      <c r="P380" s="21">
        <v>143.19371417516101</v>
      </c>
      <c r="Q380" s="21">
        <v>142.462990169497</v>
      </c>
      <c r="R380" s="21">
        <v>126.179930209297</v>
      </c>
      <c r="S380" s="21">
        <v>141.58968260230401</v>
      </c>
    </row>
    <row r="381" spans="1:19">
      <c r="A381" s="9">
        <f t="shared" si="5"/>
        <v>44317</v>
      </c>
      <c r="B381" s="21">
        <v>155.18563793412699</v>
      </c>
      <c r="C381" s="21">
        <v>155.92590579591101</v>
      </c>
      <c r="D381" s="21">
        <v>155.61991017200501</v>
      </c>
      <c r="E381" s="21">
        <v>133.123645915705</v>
      </c>
      <c r="F381" s="21">
        <v>136.32802738580801</v>
      </c>
      <c r="G381" s="21">
        <v>95.251081254672101</v>
      </c>
      <c r="H381" s="21">
        <v>197.47552440005299</v>
      </c>
      <c r="I381" s="21">
        <v>131.17418517331799</v>
      </c>
      <c r="J381" s="21">
        <v>117.986602743489</v>
      </c>
      <c r="K381" s="21">
        <v>192.191199517147</v>
      </c>
      <c r="L381" s="21">
        <v>229.070548481874</v>
      </c>
      <c r="M381" s="21">
        <v>156.53611094150301</v>
      </c>
      <c r="N381" s="21">
        <v>227.40494194892801</v>
      </c>
      <c r="O381" s="21">
        <v>161.76974665363801</v>
      </c>
      <c r="P381" s="21">
        <v>154.55747428440699</v>
      </c>
      <c r="Q381" s="21">
        <v>148.654330211332</v>
      </c>
      <c r="R381" s="21">
        <v>152.49357232951701</v>
      </c>
      <c r="S381" s="21">
        <v>156.40336145157599</v>
      </c>
    </row>
    <row r="382" spans="1:19">
      <c r="A382" s="9">
        <f t="shared" si="5"/>
        <v>44348</v>
      </c>
      <c r="B382" s="21">
        <v>160.78017558765799</v>
      </c>
      <c r="C382" s="21">
        <v>162.34361446638101</v>
      </c>
      <c r="D382" s="21">
        <v>153.78733432708401</v>
      </c>
      <c r="E382" s="21">
        <v>126.500949163927</v>
      </c>
      <c r="F382" s="21">
        <v>128.97304220983801</v>
      </c>
      <c r="G382" s="21">
        <v>97.283296832930205</v>
      </c>
      <c r="H382" s="21">
        <v>203.478019078838</v>
      </c>
      <c r="I382" s="21">
        <v>125.427673312116</v>
      </c>
      <c r="J382" s="21">
        <v>118.167248181229</v>
      </c>
      <c r="K382" s="21">
        <v>194.95023705352</v>
      </c>
      <c r="L382" s="21">
        <v>237.38709476858401</v>
      </c>
      <c r="M382" s="21">
        <v>153.92212882553099</v>
      </c>
      <c r="N382" s="21">
        <v>233.75480655717999</v>
      </c>
      <c r="O382" s="21">
        <v>175.998707259404</v>
      </c>
      <c r="P382" s="21">
        <v>170.895141051769</v>
      </c>
      <c r="Q382" s="21">
        <v>161.31369933512701</v>
      </c>
      <c r="R382" s="21">
        <v>175.63555753433599</v>
      </c>
      <c r="S382" s="21">
        <v>183.88860876891499</v>
      </c>
    </row>
    <row r="383" spans="1:19">
      <c r="A383" s="9">
        <f t="shared" si="5"/>
        <v>44378</v>
      </c>
      <c r="B383" s="21">
        <v>164.82995993475899</v>
      </c>
      <c r="C383" s="21">
        <v>167.10052360456999</v>
      </c>
      <c r="D383" s="21">
        <v>153.409117109812</v>
      </c>
      <c r="E383" s="21">
        <v>127.35844450551301</v>
      </c>
      <c r="F383" s="21">
        <v>129.45892794027799</v>
      </c>
      <c r="G383" s="21">
        <v>102.53284385691001</v>
      </c>
      <c r="H383" s="21">
        <v>202.82580401096101</v>
      </c>
      <c r="I383" s="21">
        <v>125.427757021652</v>
      </c>
      <c r="J383" s="21">
        <v>112.367170683051</v>
      </c>
      <c r="K383" s="21">
        <v>194.39660339129301</v>
      </c>
      <c r="L383" s="21">
        <v>238.78103700245001</v>
      </c>
      <c r="M383" s="21">
        <v>151.485571710686</v>
      </c>
      <c r="N383" s="21">
        <v>234.53302243041901</v>
      </c>
      <c r="O383" s="21">
        <v>170.86605529530999</v>
      </c>
      <c r="P383" s="21">
        <v>181.34991604998001</v>
      </c>
      <c r="Q383" s="21">
        <v>164.90915568592499</v>
      </c>
      <c r="R383" s="21">
        <v>208.80978454900401</v>
      </c>
      <c r="S383" s="21">
        <v>205.24686129352801</v>
      </c>
    </row>
    <row r="384" spans="1:19">
      <c r="A384" s="9">
        <f t="shared" si="5"/>
        <v>44409</v>
      </c>
      <c r="B384" s="21">
        <v>163.18864652341901</v>
      </c>
      <c r="C384" s="21">
        <v>165.48308940252301</v>
      </c>
      <c r="D384" s="21">
        <v>148.93476894858699</v>
      </c>
      <c r="E384" s="21">
        <v>130.03147343331699</v>
      </c>
      <c r="F384" s="21">
        <v>131.93031023228599</v>
      </c>
      <c r="G384" s="21">
        <v>107.58913311876999</v>
      </c>
      <c r="H384" s="21">
        <v>183.26794906572101</v>
      </c>
      <c r="I384" s="21">
        <v>127.50180886002001</v>
      </c>
      <c r="J384" s="21">
        <v>110.38930212683699</v>
      </c>
      <c r="K384" s="21">
        <v>179.656276119967</v>
      </c>
      <c r="L384" s="21">
        <v>212.235540487241</v>
      </c>
      <c r="M384" s="21">
        <v>148.15852495696501</v>
      </c>
      <c r="N384" s="21">
        <v>209.37151474829699</v>
      </c>
      <c r="O384" s="21">
        <v>170.34507474154901</v>
      </c>
      <c r="P384" s="21">
        <v>183.80651471556499</v>
      </c>
      <c r="Q384" s="21">
        <v>156.095527466682</v>
      </c>
      <c r="R384" s="21">
        <v>244.22433493534399</v>
      </c>
      <c r="S384" s="21">
        <v>231.336677642598</v>
      </c>
    </row>
    <row r="385" spans="1:19">
      <c r="A385" s="9">
        <f t="shared" si="5"/>
        <v>44440</v>
      </c>
      <c r="B385" s="21">
        <v>171.57987860100801</v>
      </c>
      <c r="C385" s="21">
        <v>174.884496114245</v>
      </c>
      <c r="D385" s="21">
        <v>143.028258702784</v>
      </c>
      <c r="E385" s="21">
        <v>126.97318736945</v>
      </c>
      <c r="F385" s="21">
        <v>128.01476093400299</v>
      </c>
      <c r="G385" s="21">
        <v>114.662835889512</v>
      </c>
      <c r="H385" s="21">
        <v>167.77232981059299</v>
      </c>
      <c r="I385" s="21">
        <v>124.56220785476501</v>
      </c>
      <c r="J385" s="21">
        <v>108.25257391589101</v>
      </c>
      <c r="K385" s="21">
        <v>168.099641784413</v>
      </c>
      <c r="L385" s="21">
        <v>191.43006829347499</v>
      </c>
      <c r="M385" s="21">
        <v>145.543700667237</v>
      </c>
      <c r="N385" s="21">
        <v>188.90526301787401</v>
      </c>
      <c r="O385" s="21">
        <v>178.14697430597201</v>
      </c>
      <c r="P385" s="21">
        <v>212.87906421862701</v>
      </c>
      <c r="Q385" s="21">
        <v>165.15139646123501</v>
      </c>
      <c r="R385" s="21">
        <v>344.61414972864401</v>
      </c>
      <c r="S385" s="21">
        <v>260.60719740670402</v>
      </c>
    </row>
    <row r="386" spans="1:19">
      <c r="A386" s="9">
        <f t="shared" si="5"/>
        <v>44470</v>
      </c>
      <c r="B386" s="21">
        <v>191.49841408856801</v>
      </c>
      <c r="C386" s="21">
        <v>197.06002739393301</v>
      </c>
      <c r="D386" s="21">
        <v>146.58760006174401</v>
      </c>
      <c r="E386" s="21">
        <v>128.65468821801699</v>
      </c>
      <c r="F386" s="21">
        <v>129.48166225451101</v>
      </c>
      <c r="G386" s="21">
        <v>118.880687225215</v>
      </c>
      <c r="H386" s="21">
        <v>172.75969233530401</v>
      </c>
      <c r="I386" s="21">
        <v>126.650682638257</v>
      </c>
      <c r="J386" s="21">
        <v>113.094118918714</v>
      </c>
      <c r="K386" s="21">
        <v>170.426233845735</v>
      </c>
      <c r="L386" s="21">
        <v>196.47538994028201</v>
      </c>
      <c r="M386" s="21">
        <v>145.24181508714599</v>
      </c>
      <c r="N386" s="21">
        <v>193.13888476814299</v>
      </c>
      <c r="O386" s="21">
        <v>223.03656717238999</v>
      </c>
      <c r="P386" s="21">
        <v>256.46075427605302</v>
      </c>
      <c r="Q386" s="21">
        <v>187.02681902407099</v>
      </c>
      <c r="R386" s="21">
        <v>458.16067385974901</v>
      </c>
      <c r="S386" s="21">
        <v>338.06097667015001</v>
      </c>
    </row>
    <row r="387" spans="1:19">
      <c r="A387" s="9">
        <f t="shared" si="5"/>
        <v>44501</v>
      </c>
      <c r="B387" s="21">
        <v>183.10496650905</v>
      </c>
      <c r="C387" s="21">
        <v>187.32390124092899</v>
      </c>
      <c r="D387" s="21">
        <v>146.755641988436</v>
      </c>
      <c r="E387" s="21">
        <v>130.90458318964701</v>
      </c>
      <c r="F387" s="21">
        <v>131.637472665199</v>
      </c>
      <c r="G387" s="21">
        <v>122.242567037329</v>
      </c>
      <c r="H387" s="21">
        <v>161.65557198784799</v>
      </c>
      <c r="I387" s="21">
        <v>128.90255748109101</v>
      </c>
      <c r="J387" s="21">
        <v>115.359387062642</v>
      </c>
      <c r="K387" s="21">
        <v>164.09457248834201</v>
      </c>
      <c r="L387" s="21">
        <v>180.05724415957701</v>
      </c>
      <c r="M387" s="21">
        <v>148.66180351820299</v>
      </c>
      <c r="N387" s="21">
        <v>178.87759362910299</v>
      </c>
      <c r="O387" s="21">
        <v>263.03277136335703</v>
      </c>
      <c r="P387" s="21">
        <v>235.68333179281299</v>
      </c>
      <c r="Q387" s="21">
        <v>182.05067683465899</v>
      </c>
      <c r="R387" s="21">
        <v>419.747026082942</v>
      </c>
      <c r="S387" s="21">
        <v>235.572486306462</v>
      </c>
    </row>
    <row r="388" spans="1:19">
      <c r="A388" s="9">
        <f t="shared" si="5"/>
        <v>44531</v>
      </c>
      <c r="B388" s="21">
        <v>186.693289095045</v>
      </c>
      <c r="C388" s="21">
        <v>191.622503431528</v>
      </c>
      <c r="D388" s="21">
        <v>149.846632299681</v>
      </c>
      <c r="E388" s="21">
        <v>134.54053101775199</v>
      </c>
      <c r="F388" s="21">
        <v>135.35489451872999</v>
      </c>
      <c r="G388" s="21">
        <v>124.915573865765</v>
      </c>
      <c r="H388" s="21">
        <v>168.84821339309201</v>
      </c>
      <c r="I388" s="21">
        <v>131.91628108864001</v>
      </c>
      <c r="J388" s="21">
        <v>114.163929628473</v>
      </c>
      <c r="K388" s="21">
        <v>167.17950744736399</v>
      </c>
      <c r="L388" s="21">
        <v>190.58396255704699</v>
      </c>
      <c r="M388" s="21">
        <v>144.55199521013401</v>
      </c>
      <c r="N388" s="21">
        <v>186.63220993734299</v>
      </c>
      <c r="O388" s="21">
        <v>267.59453715053002</v>
      </c>
      <c r="P388" s="21">
        <v>239.99103275389601</v>
      </c>
      <c r="Q388" s="21">
        <v>168.07915516408201</v>
      </c>
      <c r="R388" s="21">
        <v>504.14352710172301</v>
      </c>
      <c r="S388" s="21">
        <v>236.17601560973</v>
      </c>
    </row>
    <row r="389" spans="1:19">
      <c r="A389" s="9">
        <f t="shared" si="5"/>
        <v>44562</v>
      </c>
      <c r="B389" s="21">
        <v>192.24525948025399</v>
      </c>
      <c r="C389" s="21">
        <v>197.52967842143499</v>
      </c>
      <c r="D389" s="21">
        <v>158.27844970503301</v>
      </c>
      <c r="E389" s="21">
        <v>140.52975070127599</v>
      </c>
      <c r="F389" s="21">
        <v>141.83032644062601</v>
      </c>
      <c r="G389" s="21">
        <v>125.158254128644</v>
      </c>
      <c r="H389" s="21">
        <v>183.35675934256099</v>
      </c>
      <c r="I389" s="21">
        <v>137.77115242241101</v>
      </c>
      <c r="J389" s="21">
        <v>119.109970177329</v>
      </c>
      <c r="K389" s="21">
        <v>177.932370491532</v>
      </c>
      <c r="L389" s="21">
        <v>208.893385183649</v>
      </c>
      <c r="M389" s="21">
        <v>147.999148994183</v>
      </c>
      <c r="N389" s="21">
        <v>204.12933589971499</v>
      </c>
      <c r="O389" s="21">
        <v>294.977640049907</v>
      </c>
      <c r="P389" s="21">
        <v>241.37737831433901</v>
      </c>
      <c r="Q389" s="21">
        <v>193.11044793116301</v>
      </c>
      <c r="R389" s="21">
        <v>389.053385005726</v>
      </c>
      <c r="S389" s="21">
        <v>300.827982941264</v>
      </c>
    </row>
    <row r="390" spans="1:19">
      <c r="A390" s="9">
        <f t="shared" si="5"/>
        <v>44593</v>
      </c>
      <c r="B390" s="21">
        <v>203.492270392221</v>
      </c>
      <c r="C390" s="21">
        <v>209.690829568542</v>
      </c>
      <c r="D390" s="21">
        <v>164.39299945233799</v>
      </c>
      <c r="E390" s="21">
        <v>147.03062751187201</v>
      </c>
      <c r="F390" s="21">
        <v>148.674969819121</v>
      </c>
      <c r="G390" s="21">
        <v>127.596156011777</v>
      </c>
      <c r="H390" s="21">
        <v>190.20894818370499</v>
      </c>
      <c r="I390" s="21">
        <v>144.02597571286401</v>
      </c>
      <c r="J390" s="21">
        <v>123.700306972372</v>
      </c>
      <c r="K390" s="21">
        <v>184.00099716640099</v>
      </c>
      <c r="L390" s="21">
        <v>216.64460836035599</v>
      </c>
      <c r="M390" s="21">
        <v>152.44103525756901</v>
      </c>
      <c r="N390" s="21">
        <v>212.54453664726</v>
      </c>
      <c r="O390" s="21">
        <v>299.10112341106901</v>
      </c>
      <c r="P390" s="21">
        <v>260.04836261451402</v>
      </c>
      <c r="Q390" s="21">
        <v>212.07010693109501</v>
      </c>
      <c r="R390" s="21">
        <v>389.72492149818299</v>
      </c>
      <c r="S390" s="21">
        <v>357.95397057101002</v>
      </c>
    </row>
    <row r="391" spans="1:19">
      <c r="A391" s="9">
        <f t="shared" ref="A391:A441" si="6">EDATE(A390,1)</f>
        <v>44621</v>
      </c>
      <c r="B391" s="21">
        <v>239.87387711469401</v>
      </c>
      <c r="C391" s="21">
        <v>249.358787271311</v>
      </c>
      <c r="D391" s="21">
        <v>176.33325316731299</v>
      </c>
      <c r="E391" s="21">
        <v>157.76916096228101</v>
      </c>
      <c r="F391" s="21">
        <v>160.99041551566901</v>
      </c>
      <c r="G391" s="21">
        <v>119.697173434869</v>
      </c>
      <c r="H391" s="21">
        <v>204.92347774614899</v>
      </c>
      <c r="I391" s="21">
        <v>154.60607623147899</v>
      </c>
      <c r="J391" s="21">
        <v>133.20865092661401</v>
      </c>
      <c r="K391" s="21">
        <v>196.31326601419801</v>
      </c>
      <c r="L391" s="21">
        <v>233.42847735070399</v>
      </c>
      <c r="M391" s="21">
        <v>160.430144840542</v>
      </c>
      <c r="N391" s="21">
        <v>228.883528533153</v>
      </c>
      <c r="O391" s="21">
        <v>331.22183852108799</v>
      </c>
      <c r="P391" s="21">
        <v>331.78375935662899</v>
      </c>
      <c r="Q391" s="21">
        <v>254.43002816336599</v>
      </c>
      <c r="R391" s="21">
        <v>557.99287500015896</v>
      </c>
      <c r="S391" s="21">
        <v>505.279508733574</v>
      </c>
    </row>
    <row r="392" spans="1:19">
      <c r="A392" s="9">
        <f t="shared" si="6"/>
        <v>44652</v>
      </c>
      <c r="B392" s="21">
        <v>228.28768648975</v>
      </c>
      <c r="C392" s="21">
        <v>236.588069855432</v>
      </c>
      <c r="D392" s="21">
        <v>178.341766776985</v>
      </c>
      <c r="E392" s="21">
        <v>162.29723709639501</v>
      </c>
      <c r="F392" s="21">
        <v>165.82954707524499</v>
      </c>
      <c r="G392" s="21">
        <v>120.54888743050201</v>
      </c>
      <c r="H392" s="21">
        <v>203.529780952962</v>
      </c>
      <c r="I392" s="21">
        <v>158.56556475499599</v>
      </c>
      <c r="J392" s="21">
        <v>133.32179578170201</v>
      </c>
      <c r="K392" s="21">
        <v>194.04429418291701</v>
      </c>
      <c r="L392" s="21">
        <v>231.43584554654299</v>
      </c>
      <c r="M392" s="21">
        <v>157.89400646699301</v>
      </c>
      <c r="N392" s="21">
        <v>225.68205574078601</v>
      </c>
      <c r="O392" s="21">
        <v>348.950761983478</v>
      </c>
      <c r="P392" s="21">
        <v>300.53317786337601</v>
      </c>
      <c r="Q392" s="21">
        <v>244.03950371967099</v>
      </c>
      <c r="R392" s="21">
        <v>463.03131528536602</v>
      </c>
      <c r="S392" s="21">
        <v>470.77725847945197</v>
      </c>
    </row>
    <row r="393" spans="1:19">
      <c r="A393" s="9">
        <f t="shared" si="6"/>
        <v>44682</v>
      </c>
      <c r="B393" s="21">
        <v>226.32953507682001</v>
      </c>
      <c r="C393" s="21">
        <v>235.17024486678201</v>
      </c>
      <c r="D393" s="21">
        <v>170.78382532508999</v>
      </c>
      <c r="E393" s="21">
        <v>159.04082515008599</v>
      </c>
      <c r="F393" s="21">
        <v>162.49721076357699</v>
      </c>
      <c r="G393" s="21">
        <v>118.18982508604</v>
      </c>
      <c r="H393" s="21">
        <v>187.21320602648001</v>
      </c>
      <c r="I393" s="21">
        <v>155.90597824212199</v>
      </c>
      <c r="J393" s="21">
        <v>134.699574283944</v>
      </c>
      <c r="K393" s="21">
        <v>178.51593365384699</v>
      </c>
      <c r="L393" s="21">
        <v>208.08617077366699</v>
      </c>
      <c r="M393" s="21">
        <v>149.927320966612</v>
      </c>
      <c r="N393" s="21">
        <v>203.04281073032601</v>
      </c>
      <c r="O393" s="21">
        <v>347.82457834601303</v>
      </c>
      <c r="P393" s="21">
        <v>306.67497906480799</v>
      </c>
      <c r="Q393" s="21">
        <v>263.116400535178</v>
      </c>
      <c r="R393" s="21">
        <v>415.14838758797498</v>
      </c>
      <c r="S393" s="21">
        <v>550.85949722491</v>
      </c>
    </row>
    <row r="394" spans="1:19">
      <c r="A394" s="9">
        <f t="shared" si="6"/>
        <v>44713</v>
      </c>
      <c r="B394" s="21">
        <v>231.613134501139</v>
      </c>
      <c r="C394" s="21">
        <v>241.16729990261399</v>
      </c>
      <c r="D394" s="21">
        <v>164.89204378039901</v>
      </c>
      <c r="E394" s="21">
        <v>153.38387211150501</v>
      </c>
      <c r="F394" s="21">
        <v>156.14986541659599</v>
      </c>
      <c r="G394" s="21">
        <v>120.69261444558801</v>
      </c>
      <c r="H394" s="21">
        <v>180.41876177202201</v>
      </c>
      <c r="I394" s="21">
        <v>150.436096840213</v>
      </c>
      <c r="J394" s="21">
        <v>130.495182653255</v>
      </c>
      <c r="K394" s="21">
        <v>173.81235008105901</v>
      </c>
      <c r="L394" s="21">
        <v>200.262239977994</v>
      </c>
      <c r="M394" s="21">
        <v>148.24050042630401</v>
      </c>
      <c r="N394" s="21">
        <v>195.36301615835001</v>
      </c>
      <c r="O394" s="21">
        <v>320.12041652439098</v>
      </c>
      <c r="P394" s="21">
        <v>328.12348032769199</v>
      </c>
      <c r="Q394" s="21">
        <v>275.42600015988302</v>
      </c>
      <c r="R394" s="21">
        <v>483.23027619299597</v>
      </c>
      <c r="S394" s="21">
        <v>559.39291697298904</v>
      </c>
    </row>
    <row r="395" spans="1:19">
      <c r="A395" s="9">
        <f t="shared" si="6"/>
        <v>44743</v>
      </c>
      <c r="B395" s="21">
        <v>229.47158845273901</v>
      </c>
      <c r="C395" s="21">
        <v>239.686859507322</v>
      </c>
      <c r="D395" s="21">
        <v>150.42531316007299</v>
      </c>
      <c r="E395" s="21">
        <v>142.04407452216699</v>
      </c>
      <c r="F395" s="21">
        <v>144.31523940467901</v>
      </c>
      <c r="G395" s="21">
        <v>115.20119090443799</v>
      </c>
      <c r="H395" s="21">
        <v>157.434324603725</v>
      </c>
      <c r="I395" s="21">
        <v>139.15543124804501</v>
      </c>
      <c r="J395" s="21">
        <v>119.614529264447</v>
      </c>
      <c r="K395" s="21">
        <v>156.12955043358599</v>
      </c>
      <c r="L395" s="21">
        <v>172.46682623554801</v>
      </c>
      <c r="M395" s="21">
        <v>140.33461282878201</v>
      </c>
      <c r="N395" s="21">
        <v>169.838815320886</v>
      </c>
      <c r="O395" s="21">
        <v>286.35552162961602</v>
      </c>
      <c r="P395" s="21">
        <v>343.80999752830701</v>
      </c>
      <c r="Q395" s="21">
        <v>250.04563906650401</v>
      </c>
      <c r="R395" s="21">
        <v>668.92834200737798</v>
      </c>
      <c r="S395" s="21">
        <v>564.48525217568101</v>
      </c>
    </row>
    <row r="396" spans="1:19">
      <c r="A396" s="9">
        <f t="shared" si="6"/>
        <v>44774</v>
      </c>
      <c r="B396" s="21">
        <v>241.934978955101</v>
      </c>
      <c r="C396" s="21">
        <v>253.31779888598001</v>
      </c>
      <c r="D396" s="21">
        <v>148.96609591646899</v>
      </c>
      <c r="E396" s="21">
        <v>138.80800483140499</v>
      </c>
      <c r="F396" s="21">
        <v>140.30077891686199</v>
      </c>
      <c r="G396" s="21">
        <v>121.164917201786</v>
      </c>
      <c r="H396" s="21">
        <v>158.51022808837899</v>
      </c>
      <c r="I396" s="21">
        <v>136.087653285295</v>
      </c>
      <c r="J396" s="21">
        <v>117.685199995307</v>
      </c>
      <c r="K396" s="21">
        <v>158.734846964436</v>
      </c>
      <c r="L396" s="21">
        <v>174.73724084513199</v>
      </c>
      <c r="M396" s="21">
        <v>143.263674417864</v>
      </c>
      <c r="N396" s="21">
        <v>172.81791180679701</v>
      </c>
      <c r="O396" s="21">
        <v>265.51906940554602</v>
      </c>
      <c r="P396" s="21">
        <v>376.412082914937</v>
      </c>
      <c r="Q396" s="21">
        <v>233.89507495280799</v>
      </c>
      <c r="R396" s="21">
        <v>893.10185043516003</v>
      </c>
      <c r="S396" s="21">
        <v>577.57684079653598</v>
      </c>
    </row>
    <row r="397" spans="1:19">
      <c r="A397" s="9">
        <f t="shared" si="6"/>
        <v>44805</v>
      </c>
      <c r="B397" s="21">
        <v>220.02076267609999</v>
      </c>
      <c r="C397" s="21">
        <v>229.65779212559499</v>
      </c>
      <c r="D397" s="21">
        <v>143.88472611702301</v>
      </c>
      <c r="E397" s="21">
        <v>134.371627972656</v>
      </c>
      <c r="F397" s="21">
        <v>135.47644370935501</v>
      </c>
      <c r="G397" s="21">
        <v>121.313817653558</v>
      </c>
      <c r="H397" s="21">
        <v>150.15153341934899</v>
      </c>
      <c r="I397" s="21">
        <v>131.312779180071</v>
      </c>
      <c r="J397" s="21">
        <v>110.620482220445</v>
      </c>
      <c r="K397" s="21">
        <v>151.22023257549199</v>
      </c>
      <c r="L397" s="21">
        <v>165.86422002497901</v>
      </c>
      <c r="M397" s="21">
        <v>137.06237230221299</v>
      </c>
      <c r="N397" s="21">
        <v>164.46877946283601</v>
      </c>
      <c r="O397" s="21">
        <v>283.920285938777</v>
      </c>
      <c r="P397" s="21">
        <v>330.14958609318199</v>
      </c>
      <c r="Q397" s="21">
        <v>219.82368428538601</v>
      </c>
      <c r="R397" s="21">
        <v>725.03042166848297</v>
      </c>
      <c r="S397" s="21">
        <v>559.89313921624705</v>
      </c>
    </row>
    <row r="398" spans="1:19">
      <c r="A398" s="9">
        <f t="shared" si="6"/>
        <v>44835</v>
      </c>
      <c r="B398" s="21">
        <v>191.36197273227901</v>
      </c>
      <c r="C398" s="21">
        <v>197.907089173994</v>
      </c>
      <c r="D398" s="21">
        <v>144.00772568638101</v>
      </c>
      <c r="E398" s="21">
        <v>136.331601528547</v>
      </c>
      <c r="F398" s="21">
        <v>138.26864260161199</v>
      </c>
      <c r="G398" s="21">
        <v>113.437725136114</v>
      </c>
      <c r="H398" s="21">
        <v>145.46086467530799</v>
      </c>
      <c r="I398" s="21">
        <v>132.27396451904499</v>
      </c>
      <c r="J398" s="21">
        <v>104.82513142912499</v>
      </c>
      <c r="K398" s="21">
        <v>148.62022809652601</v>
      </c>
      <c r="L398" s="21">
        <v>161.612637069991</v>
      </c>
      <c r="M398" s="21">
        <v>136.059119894671</v>
      </c>
      <c r="N398" s="21">
        <v>160.840462966806</v>
      </c>
      <c r="O398" s="21">
        <v>301.35927152096002</v>
      </c>
      <c r="P398" s="21">
        <v>259.85867608930403</v>
      </c>
      <c r="Q398" s="21">
        <v>227.626851886905</v>
      </c>
      <c r="R398" s="21">
        <v>372.15972683377697</v>
      </c>
      <c r="S398" s="21">
        <v>483.84108159806999</v>
      </c>
    </row>
    <row r="399" spans="1:19">
      <c r="A399" s="9">
        <f t="shared" si="6"/>
        <v>44866</v>
      </c>
      <c r="B399" s="21">
        <v>192.03820412986499</v>
      </c>
      <c r="C399" s="21">
        <v>198.10454755993101</v>
      </c>
      <c r="D399" s="21">
        <v>147.224734096221</v>
      </c>
      <c r="E399" s="21">
        <v>135.62599516153901</v>
      </c>
      <c r="F399" s="21">
        <v>138.119556385236</v>
      </c>
      <c r="G399" s="21">
        <v>106.154610570843</v>
      </c>
      <c r="H399" s="21">
        <v>150.976629292849</v>
      </c>
      <c r="I399" s="21">
        <v>131.76138335499601</v>
      </c>
      <c r="J399" s="21">
        <v>105.61831432572301</v>
      </c>
      <c r="K399" s="21">
        <v>154.517385636874</v>
      </c>
      <c r="L399" s="21">
        <v>169.00551965682899</v>
      </c>
      <c r="M399" s="21">
        <v>140.51020502554101</v>
      </c>
      <c r="N399" s="21">
        <v>167.537231126656</v>
      </c>
      <c r="O399" s="21">
        <v>340.106135097741</v>
      </c>
      <c r="P399" s="21">
        <v>256.85973872882602</v>
      </c>
      <c r="Q399" s="21">
        <v>213.71421113713501</v>
      </c>
      <c r="R399" s="21">
        <v>418.04128066190998</v>
      </c>
      <c r="S399" s="21">
        <v>417.44556537184297</v>
      </c>
    </row>
    <row r="400" spans="1:19">
      <c r="A400" s="9">
        <f t="shared" si="6"/>
        <v>44896</v>
      </c>
      <c r="B400" s="21">
        <v>194.335480021259</v>
      </c>
      <c r="C400" s="21">
        <v>200.03178718814499</v>
      </c>
      <c r="D400" s="21">
        <v>149.974989720927</v>
      </c>
      <c r="E400" s="21">
        <v>133.99499010063201</v>
      </c>
      <c r="F400" s="21">
        <v>136.37745020618101</v>
      </c>
      <c r="G400" s="21">
        <v>105.83670893417801</v>
      </c>
      <c r="H400" s="21">
        <v>161.98024530681201</v>
      </c>
      <c r="I400" s="21">
        <v>130.36584913113001</v>
      </c>
      <c r="J400" s="21">
        <v>105.815677566159</v>
      </c>
      <c r="K400" s="21">
        <v>164.732036419948</v>
      </c>
      <c r="L400" s="21">
        <v>184.30437341585801</v>
      </c>
      <c r="M400" s="21">
        <v>145.80942989864201</v>
      </c>
      <c r="N400" s="21">
        <v>181.50903525812799</v>
      </c>
      <c r="O400" s="21">
        <v>328.84035787642199</v>
      </c>
      <c r="P400" s="21">
        <v>258.501791058344</v>
      </c>
      <c r="Q400" s="21">
        <v>189.296427221599</v>
      </c>
      <c r="R400" s="21">
        <v>483.49941765447102</v>
      </c>
      <c r="S400" s="21">
        <v>465.72073843699297</v>
      </c>
    </row>
    <row r="401" spans="1:19">
      <c r="A401" s="9">
        <f t="shared" si="6"/>
        <v>44927</v>
      </c>
      <c r="B401" s="21">
        <v>182.62368984668601</v>
      </c>
      <c r="C401" s="21">
        <v>186.10101161082</v>
      </c>
      <c r="D401" s="21">
        <v>154.52163930665799</v>
      </c>
      <c r="E401" s="21">
        <v>135.876486005115</v>
      </c>
      <c r="F401" s="21">
        <v>138.326427147006</v>
      </c>
      <c r="G401" s="21">
        <v>106.920646889926</v>
      </c>
      <c r="H401" s="21">
        <v>171.621298073368</v>
      </c>
      <c r="I401" s="21">
        <v>131.66743312864801</v>
      </c>
      <c r="J401" s="21">
        <v>103.194312048019</v>
      </c>
      <c r="K401" s="21">
        <v>175.412944662066</v>
      </c>
      <c r="L401" s="21">
        <v>198.81945633570001</v>
      </c>
      <c r="M401" s="21">
        <v>152.78344413133601</v>
      </c>
      <c r="N401" s="21">
        <v>194.436481316797</v>
      </c>
      <c r="O401" s="21">
        <v>318.93720461190202</v>
      </c>
      <c r="P401" s="21">
        <v>223.27258492253199</v>
      </c>
      <c r="Q401" s="21">
        <v>193.773416914282</v>
      </c>
      <c r="R401" s="21">
        <v>290.28636660499399</v>
      </c>
      <c r="S401" s="21">
        <v>414.44659080264898</v>
      </c>
    </row>
    <row r="402" spans="1:19">
      <c r="A402" s="9">
        <f t="shared" si="6"/>
        <v>44958</v>
      </c>
      <c r="B402" s="21">
        <v>174.58040180053999</v>
      </c>
      <c r="C402" s="21">
        <v>177.53430186580701</v>
      </c>
      <c r="D402" s="21">
        <v>155.81892732766701</v>
      </c>
      <c r="E402" s="21">
        <v>140.50881528120999</v>
      </c>
      <c r="F402" s="21">
        <v>142.70009752128701</v>
      </c>
      <c r="G402" s="21">
        <v>114.610064117473</v>
      </c>
      <c r="H402" s="21">
        <v>179.165019623897</v>
      </c>
      <c r="I402" s="21">
        <v>135.78646596478799</v>
      </c>
      <c r="J402" s="21">
        <v>103.841031251129</v>
      </c>
      <c r="K402" s="21">
        <v>178.05738141302399</v>
      </c>
      <c r="L402" s="21">
        <v>209.10457820614499</v>
      </c>
      <c r="M402" s="21">
        <v>148.04083874729201</v>
      </c>
      <c r="N402" s="21">
        <v>201.98185342355799</v>
      </c>
      <c r="O402" s="21">
        <v>253.08841812706299</v>
      </c>
      <c r="P402" s="21">
        <v>201.718393251723</v>
      </c>
      <c r="Q402" s="21">
        <v>193.61103726019201</v>
      </c>
      <c r="R402" s="21">
        <v>231.518006971288</v>
      </c>
      <c r="S402" s="21">
        <v>283.78440216454499</v>
      </c>
    </row>
    <row r="403" spans="1:19">
      <c r="A403" s="9">
        <f t="shared" si="6"/>
        <v>44986</v>
      </c>
      <c r="B403" s="21">
        <v>168.294428517282</v>
      </c>
      <c r="C403" s="21">
        <v>169.99127694770101</v>
      </c>
      <c r="D403" s="21">
        <v>156.03791902096501</v>
      </c>
      <c r="E403" s="21">
        <v>143.78359531450599</v>
      </c>
      <c r="F403" s="21">
        <v>146.185210825729</v>
      </c>
      <c r="G403" s="21">
        <v>115.398916527558</v>
      </c>
      <c r="H403" s="21">
        <v>174.347288666428</v>
      </c>
      <c r="I403" s="21">
        <v>138.24760522001901</v>
      </c>
      <c r="J403" s="21">
        <v>100.79810746179299</v>
      </c>
      <c r="K403" s="21">
        <v>177.257549774723</v>
      </c>
      <c r="L403" s="21">
        <v>203.581402086645</v>
      </c>
      <c r="M403" s="21">
        <v>151.80755371510099</v>
      </c>
      <c r="N403" s="21">
        <v>196.63334249023299</v>
      </c>
      <c r="O403" s="21">
        <v>224.87964405721499</v>
      </c>
      <c r="P403" s="21">
        <v>186.023155031465</v>
      </c>
      <c r="Q403" s="21">
        <v>185.08696213633201</v>
      </c>
      <c r="R403" s="21">
        <v>197.48576054910399</v>
      </c>
      <c r="S403" s="21">
        <v>242.69308681483901</v>
      </c>
    </row>
    <row r="404" spans="1:19">
      <c r="A404" s="9">
        <f t="shared" si="6"/>
        <v>45017</v>
      </c>
      <c r="B404" s="21">
        <v>170.75432833881499</v>
      </c>
      <c r="C404" s="21">
        <v>171.94991056143499</v>
      </c>
      <c r="D404" s="21">
        <v>155.81165447829301</v>
      </c>
      <c r="E404" s="21">
        <v>144.15249339925899</v>
      </c>
      <c r="F404" s="21">
        <v>146.104879523862</v>
      </c>
      <c r="G404" s="21">
        <v>121.07725393816899</v>
      </c>
      <c r="H404" s="21">
        <v>168.360790575235</v>
      </c>
      <c r="I404" s="21">
        <v>138.46694627457501</v>
      </c>
      <c r="J404" s="21">
        <v>100.005735061035</v>
      </c>
      <c r="K404" s="21">
        <v>177.22845807180201</v>
      </c>
      <c r="L404" s="21">
        <v>195.530358108386</v>
      </c>
      <c r="M404" s="21">
        <v>159.534114618746</v>
      </c>
      <c r="N404" s="21">
        <v>191.00885528695599</v>
      </c>
      <c r="O404" s="21">
        <v>214.23549690394901</v>
      </c>
      <c r="P404" s="21">
        <v>192.368522685372</v>
      </c>
      <c r="Q404" s="21">
        <v>195.462879231362</v>
      </c>
      <c r="R404" s="21">
        <v>187.266901456358</v>
      </c>
      <c r="S404" s="21">
        <v>242.198227995097</v>
      </c>
    </row>
    <row r="405" spans="1:19">
      <c r="A405" s="9">
        <f t="shared" si="6"/>
        <v>45047</v>
      </c>
      <c r="B405" s="21">
        <v>157.14302108196199</v>
      </c>
      <c r="C405" s="21">
        <v>156.88793835510401</v>
      </c>
      <c r="D405" s="21">
        <v>148.78968055866599</v>
      </c>
      <c r="E405" s="21">
        <v>137.413578855661</v>
      </c>
      <c r="F405" s="21">
        <v>138.68971520038099</v>
      </c>
      <c r="G405" s="21">
        <v>122.330931336126</v>
      </c>
      <c r="H405" s="21">
        <v>156.68402876697999</v>
      </c>
      <c r="I405" s="21">
        <v>132.92902647827901</v>
      </c>
      <c r="J405" s="21">
        <v>102.59222468907601</v>
      </c>
      <c r="K405" s="21">
        <v>168.18316257085499</v>
      </c>
      <c r="L405" s="21">
        <v>178.18428083801101</v>
      </c>
      <c r="M405" s="21">
        <v>158.51404509234499</v>
      </c>
      <c r="N405" s="21">
        <v>175.28701354029499</v>
      </c>
      <c r="O405" s="21">
        <v>204.491597176152</v>
      </c>
      <c r="P405" s="21">
        <v>169.225913822498</v>
      </c>
      <c r="Q405" s="21">
        <v>177.500034018528</v>
      </c>
      <c r="R405" s="21">
        <v>150.93660590176799</v>
      </c>
      <c r="S405" s="21">
        <v>212.397752202172</v>
      </c>
    </row>
    <row r="406" spans="1:19">
      <c r="A406" s="9">
        <f t="shared" si="6"/>
        <v>45078</v>
      </c>
      <c r="B406" s="21">
        <v>154.056029483592</v>
      </c>
      <c r="C406" s="21">
        <v>153.86041610950301</v>
      </c>
      <c r="D406" s="21">
        <v>145.92115035499901</v>
      </c>
      <c r="E406" s="21">
        <v>135.203918912131</v>
      </c>
      <c r="F406" s="21">
        <v>136.02599053667001</v>
      </c>
      <c r="G406" s="21">
        <v>125.487859495729</v>
      </c>
      <c r="H406" s="21">
        <v>156.43436334383301</v>
      </c>
      <c r="I406" s="21">
        <v>130.63435282458099</v>
      </c>
      <c r="J406" s="21">
        <v>99.722455940552393</v>
      </c>
      <c r="K406" s="21">
        <v>166.363952577161</v>
      </c>
      <c r="L406" s="21">
        <v>178.97604642106</v>
      </c>
      <c r="M406" s="21">
        <v>154.17053442439899</v>
      </c>
      <c r="N406" s="21">
        <v>174.917988143873</v>
      </c>
      <c r="O406" s="21">
        <v>178.71716914733801</v>
      </c>
      <c r="P406" s="21">
        <v>165.82292342187699</v>
      </c>
      <c r="Q406" s="21">
        <v>176.755460259747</v>
      </c>
      <c r="R406" s="21">
        <v>156.480574717873</v>
      </c>
      <c r="S406" s="21">
        <v>176.46114475427501</v>
      </c>
    </row>
    <row r="407" spans="1:19">
      <c r="A407" s="9">
        <f t="shared" si="6"/>
        <v>45108</v>
      </c>
      <c r="B407" s="21">
        <v>157.88984094478201</v>
      </c>
      <c r="C407" s="21">
        <v>158.07773003675101</v>
      </c>
      <c r="D407" s="21">
        <v>146.07674523811301</v>
      </c>
      <c r="E407" s="21">
        <v>135.58521869573201</v>
      </c>
      <c r="F407" s="21">
        <v>136.60553154712201</v>
      </c>
      <c r="G407" s="21">
        <v>123.526147452411</v>
      </c>
      <c r="H407" s="21">
        <v>157.406575759638</v>
      </c>
      <c r="I407" s="21">
        <v>131.11274891001901</v>
      </c>
      <c r="J407" s="21">
        <v>100.857682633689</v>
      </c>
      <c r="K407" s="21">
        <v>166.89282588392399</v>
      </c>
      <c r="L407" s="21">
        <v>179.88346439871299</v>
      </c>
      <c r="M407" s="21">
        <v>154.333429367951</v>
      </c>
      <c r="N407" s="21">
        <v>175.515572083828</v>
      </c>
      <c r="O407" s="21">
        <v>168.57659420456901</v>
      </c>
      <c r="P407" s="21">
        <v>174.97718078915801</v>
      </c>
      <c r="Q407" s="21">
        <v>188.44598326613499</v>
      </c>
      <c r="R407" s="21">
        <v>156.87727765623401</v>
      </c>
      <c r="S407" s="21">
        <v>173.826078253936</v>
      </c>
    </row>
    <row r="408" spans="1:19">
      <c r="A408" s="9">
        <f t="shared" si="6"/>
        <v>45139</v>
      </c>
      <c r="B408" s="21">
        <v>161.27673608943601</v>
      </c>
      <c r="C408" s="21">
        <v>162.12843123109801</v>
      </c>
      <c r="D408" s="21">
        <v>142.64854229508299</v>
      </c>
      <c r="E408" s="21">
        <v>130.66308742737201</v>
      </c>
      <c r="F408" s="21">
        <v>131.31819501664901</v>
      </c>
      <c r="G408" s="21">
        <v>122.92037490506399</v>
      </c>
      <c r="H408" s="21">
        <v>154.700610815548</v>
      </c>
      <c r="I408" s="21">
        <v>126.787419006189</v>
      </c>
      <c r="J408" s="21">
        <v>100.56955492524401</v>
      </c>
      <c r="K408" s="21">
        <v>163.80491885675099</v>
      </c>
      <c r="L408" s="21">
        <v>176.21646458216301</v>
      </c>
      <c r="M408" s="21">
        <v>151.805391353609</v>
      </c>
      <c r="N408" s="21">
        <v>171.93669365119601</v>
      </c>
      <c r="O408" s="21">
        <v>177.32648515158999</v>
      </c>
      <c r="P408" s="21">
        <v>188.221940458799</v>
      </c>
      <c r="Q408" s="21">
        <v>203.15107209149201</v>
      </c>
      <c r="R408" s="21">
        <v>169.30792224536901</v>
      </c>
      <c r="S408" s="21">
        <v>197.22956874876701</v>
      </c>
    </row>
    <row r="409" spans="1:19">
      <c r="A409" s="9">
        <f t="shared" si="6"/>
        <v>45170</v>
      </c>
      <c r="B409" s="21">
        <v>168.618796307683</v>
      </c>
      <c r="C409" s="21">
        <v>170.33615050787299</v>
      </c>
      <c r="D409" s="21">
        <v>143.7765111974</v>
      </c>
      <c r="E409" s="21">
        <v>130.63313222623299</v>
      </c>
      <c r="F409" s="21">
        <v>131.13705329944301</v>
      </c>
      <c r="G409" s="21">
        <v>124.677292196797</v>
      </c>
      <c r="H409" s="21">
        <v>159.823048276051</v>
      </c>
      <c r="I409" s="21">
        <v>126.970677159163</v>
      </c>
      <c r="J409" s="21">
        <v>102.19514460169</v>
      </c>
      <c r="K409" s="21">
        <v>166.80657839928199</v>
      </c>
      <c r="L409" s="21">
        <v>182.72881887189601</v>
      </c>
      <c r="M409" s="21">
        <v>151.41289845886999</v>
      </c>
      <c r="N409" s="21">
        <v>177.61600141476501</v>
      </c>
      <c r="O409" s="21">
        <v>173.19943105852599</v>
      </c>
      <c r="P409" s="21">
        <v>204.55252432705899</v>
      </c>
      <c r="Q409" s="21">
        <v>223.54314921521899</v>
      </c>
      <c r="R409" s="21">
        <v>181.69670904643101</v>
      </c>
      <c r="S409" s="21">
        <v>217.23810341789999</v>
      </c>
    </row>
    <row r="410" spans="1:19">
      <c r="A410" s="9">
        <f t="shared" si="6"/>
        <v>45200</v>
      </c>
      <c r="B410" s="21">
        <v>167.89992807849001</v>
      </c>
      <c r="C410" s="21">
        <v>169.54909891827299</v>
      </c>
      <c r="D410" s="21">
        <v>143.709240515673</v>
      </c>
      <c r="E410" s="21">
        <v>131.717975849292</v>
      </c>
      <c r="F410" s="21">
        <v>132.41858733871001</v>
      </c>
      <c r="G410" s="21">
        <v>123.437453014293</v>
      </c>
      <c r="H410" s="21">
        <v>157.57578616798301</v>
      </c>
      <c r="I410" s="21">
        <v>127.72281284071499</v>
      </c>
      <c r="J410" s="21">
        <v>100.696599718969</v>
      </c>
      <c r="K410" s="21">
        <v>165.080224184196</v>
      </c>
      <c r="L410" s="21">
        <v>180.18395883103</v>
      </c>
      <c r="M410" s="21">
        <v>150.477878650088</v>
      </c>
      <c r="N410" s="21">
        <v>174.58765419595099</v>
      </c>
      <c r="O410" s="21">
        <v>178.09479817686</v>
      </c>
      <c r="P410" s="21">
        <v>202.89113696386599</v>
      </c>
      <c r="Q410" s="21">
        <v>215.044438631829</v>
      </c>
      <c r="R410" s="21">
        <v>212.39261405311501</v>
      </c>
      <c r="S410" s="21">
        <v>208.032802375199</v>
      </c>
    </row>
    <row r="411" spans="1:19">
      <c r="A411" s="9">
        <f t="shared" si="6"/>
        <v>45231</v>
      </c>
      <c r="B411" s="21">
        <v>165.10921527327801</v>
      </c>
      <c r="C411" s="21">
        <v>165.79204789049501</v>
      </c>
      <c r="D411" s="21">
        <v>148.03833519876201</v>
      </c>
      <c r="E411" s="21">
        <v>135.42200543148999</v>
      </c>
      <c r="F411" s="21">
        <v>135.742882786877</v>
      </c>
      <c r="G411" s="21">
        <v>131.62955796431601</v>
      </c>
      <c r="H411" s="21">
        <v>163.05523079957399</v>
      </c>
      <c r="I411" s="21">
        <v>130.79390249815401</v>
      </c>
      <c r="J411" s="21">
        <v>99.486019451291199</v>
      </c>
      <c r="K411" s="21">
        <v>171.66958551715601</v>
      </c>
      <c r="L411" s="21">
        <v>188.32253499183801</v>
      </c>
      <c r="M411" s="21">
        <v>155.56945345860399</v>
      </c>
      <c r="N411" s="21">
        <v>181.854841210334</v>
      </c>
      <c r="O411" s="21">
        <v>178.227411469028</v>
      </c>
      <c r="P411" s="21">
        <v>189.80180530377999</v>
      </c>
      <c r="Q411" s="21">
        <v>196.29311629017101</v>
      </c>
      <c r="R411" s="21">
        <v>213.97592540271901</v>
      </c>
      <c r="S411" s="21">
        <v>181.484958914586</v>
      </c>
    </row>
    <row r="412" spans="1:19">
      <c r="A412" s="9">
        <f t="shared" si="6"/>
        <v>45261</v>
      </c>
      <c r="B412" s="21">
        <v>159.53262239367501</v>
      </c>
      <c r="C412" s="21">
        <v>159.14117694432301</v>
      </c>
      <c r="D412" s="21">
        <v>148.71219147490501</v>
      </c>
      <c r="E412" s="21">
        <v>134.32085497561201</v>
      </c>
      <c r="F412" s="21">
        <v>133.87928283679099</v>
      </c>
      <c r="G412" s="21">
        <v>139.539793337361</v>
      </c>
      <c r="H412" s="21">
        <v>165.39534389534799</v>
      </c>
      <c r="I412" s="21">
        <v>130.01385223460099</v>
      </c>
      <c r="J412" s="21">
        <v>100.87812642201099</v>
      </c>
      <c r="K412" s="21">
        <v>175.02345358510399</v>
      </c>
      <c r="L412" s="21">
        <v>191.03945878936099</v>
      </c>
      <c r="M412" s="21">
        <v>159.53912156145799</v>
      </c>
      <c r="N412" s="21">
        <v>184.75147836489799</v>
      </c>
      <c r="O412" s="21">
        <v>173.242783957912</v>
      </c>
      <c r="P412" s="21">
        <v>175.18409809171999</v>
      </c>
      <c r="Q412" s="21">
        <v>182.45892348499601</v>
      </c>
      <c r="R412" s="21">
        <v>178.077807778422</v>
      </c>
      <c r="S412" s="21">
        <v>183.90715130207201</v>
      </c>
    </row>
    <row r="413" spans="1:19">
      <c r="A413" s="9">
        <f t="shared" si="6"/>
        <v>45292</v>
      </c>
      <c r="B413" s="21">
        <v>159.327607266651</v>
      </c>
      <c r="C413" s="21">
        <v>158.91929576412099</v>
      </c>
      <c r="D413" s="21">
        <v>149.41632654860501</v>
      </c>
      <c r="E413" s="21">
        <v>136.29808036491701</v>
      </c>
      <c r="F413" s="21">
        <v>135.598684293064</v>
      </c>
      <c r="G413" s="21">
        <v>144.564238187283</v>
      </c>
      <c r="H413" s="21">
        <v>165.60316064981001</v>
      </c>
      <c r="I413" s="21">
        <v>132.22042519515</v>
      </c>
      <c r="J413" s="21">
        <v>104.636174585471</v>
      </c>
      <c r="K413" s="21">
        <v>173.98542286021799</v>
      </c>
      <c r="L413" s="21">
        <v>189.83613994749601</v>
      </c>
      <c r="M413" s="21">
        <v>158.66089198862099</v>
      </c>
      <c r="N413" s="21">
        <v>182.91932154571899</v>
      </c>
      <c r="O413" s="21">
        <v>167.53787675673101</v>
      </c>
      <c r="P413" s="21">
        <v>173.664020525935</v>
      </c>
      <c r="Q413" s="21">
        <v>187.00428217289499</v>
      </c>
      <c r="R413" s="21">
        <v>153.388223039667</v>
      </c>
      <c r="S413" s="21">
        <v>173.55860660804601</v>
      </c>
    </row>
    <row r="414" spans="1:19">
      <c r="A414" s="9">
        <f t="shared" si="6"/>
        <v>45323</v>
      </c>
      <c r="B414" s="21">
        <v>158.635914495566</v>
      </c>
      <c r="C414" s="21">
        <v>158.23598773746801</v>
      </c>
      <c r="D414" s="21">
        <v>148.544883198534</v>
      </c>
      <c r="E414" s="21">
        <v>136.34375492410399</v>
      </c>
      <c r="F414" s="21">
        <v>134.389975915918</v>
      </c>
      <c r="G414" s="21">
        <v>159.43545686759501</v>
      </c>
      <c r="H414" s="21">
        <v>162.532368488445</v>
      </c>
      <c r="I414" s="21">
        <v>132.575863051309</v>
      </c>
      <c r="J414" s="21">
        <v>107.08707859991</v>
      </c>
      <c r="K414" s="21">
        <v>170.82833732016499</v>
      </c>
      <c r="L414" s="21">
        <v>184.57060014065601</v>
      </c>
      <c r="M414" s="21">
        <v>157.542267694505</v>
      </c>
      <c r="N414" s="21">
        <v>177.82865040068401</v>
      </c>
      <c r="O414" s="21">
        <v>171.729004019624</v>
      </c>
      <c r="P414" s="21">
        <v>173.23233235539001</v>
      </c>
      <c r="Q414" s="21">
        <v>195.52689603827099</v>
      </c>
      <c r="R414" s="21">
        <v>124.956498182559</v>
      </c>
      <c r="S414" s="21">
        <v>163.513377494878</v>
      </c>
    </row>
    <row r="415" spans="1:19">
      <c r="A415" s="9">
        <f t="shared" si="6"/>
        <v>45352</v>
      </c>
      <c r="B415" s="21">
        <v>163.06996380413801</v>
      </c>
      <c r="C415" s="21">
        <v>161.92194852653199</v>
      </c>
      <c r="D415" s="21">
        <v>151.49312431388901</v>
      </c>
      <c r="E415" s="21">
        <v>139.137199649754</v>
      </c>
      <c r="F415" s="21">
        <v>135.65054373030799</v>
      </c>
      <c r="G415" s="21">
        <v>180.34596427156299</v>
      </c>
      <c r="H415" s="21">
        <v>160.33922735791299</v>
      </c>
      <c r="I415" s="21">
        <v>135.72826814492001</v>
      </c>
      <c r="J415" s="21">
        <v>112.667754926992</v>
      </c>
      <c r="K415" s="21">
        <v>173.65582508344599</v>
      </c>
      <c r="L415" s="21">
        <v>179.28754478481599</v>
      </c>
      <c r="M415" s="21">
        <v>168.211058014006</v>
      </c>
      <c r="N415" s="21">
        <v>174.01011377061999</v>
      </c>
      <c r="O415" s="21">
        <v>172.42253204862499</v>
      </c>
      <c r="P415" s="21">
        <v>179.81556509322499</v>
      </c>
      <c r="Q415" s="21">
        <v>203.987048945997</v>
      </c>
      <c r="R415" s="21">
        <v>128.28074301619799</v>
      </c>
      <c r="S415" s="21">
        <v>174.32003145336699</v>
      </c>
    </row>
    <row r="416" spans="1:19">
      <c r="A416" s="9">
        <f t="shared" si="6"/>
        <v>45383</v>
      </c>
      <c r="B416" s="21">
        <v>170.39734361753199</v>
      </c>
      <c r="C416" s="21">
        <v>168.52674477639101</v>
      </c>
      <c r="D416" s="21">
        <v>157.86050697036401</v>
      </c>
      <c r="E416" s="21">
        <v>144.231495967755</v>
      </c>
      <c r="F416" s="21">
        <v>137.86001378838</v>
      </c>
      <c r="G416" s="21">
        <v>219.536004209472</v>
      </c>
      <c r="H416" s="21">
        <v>165.741900689354</v>
      </c>
      <c r="I416" s="21">
        <v>139.416209415689</v>
      </c>
      <c r="J416" s="21">
        <v>106.84207906881799</v>
      </c>
      <c r="K416" s="21">
        <v>185.214660571633</v>
      </c>
      <c r="L416" s="21">
        <v>189.153229510194</v>
      </c>
      <c r="M416" s="21">
        <v>181.40683781152899</v>
      </c>
      <c r="N416" s="21">
        <v>183.82583963170299</v>
      </c>
      <c r="O416" s="21">
        <v>165.35056552815101</v>
      </c>
      <c r="P416" s="21">
        <v>188.531556162908</v>
      </c>
      <c r="Q416" s="21">
        <v>215.40371726000501</v>
      </c>
      <c r="R416" s="21">
        <v>137.12302234340899</v>
      </c>
      <c r="S416" s="21">
        <v>180.73233547374801</v>
      </c>
    </row>
    <row r="417" spans="1:19">
      <c r="A417" s="9">
        <f t="shared" si="6"/>
        <v>45413</v>
      </c>
      <c r="B417" s="21">
        <v>168.67610402987501</v>
      </c>
      <c r="C417" s="21">
        <v>166.45630106482099</v>
      </c>
      <c r="D417" s="21">
        <v>158.85715660786801</v>
      </c>
      <c r="E417" s="21">
        <v>142.20207690081401</v>
      </c>
      <c r="F417" s="21">
        <v>137.78109786927101</v>
      </c>
      <c r="G417" s="21">
        <v>194.453600572189</v>
      </c>
      <c r="H417" s="21">
        <v>172.44890520109701</v>
      </c>
      <c r="I417" s="21">
        <v>137.304683808184</v>
      </c>
      <c r="J417" s="21">
        <v>104.17512459414699</v>
      </c>
      <c r="K417" s="21">
        <v>191.33202447393199</v>
      </c>
      <c r="L417" s="21">
        <v>199.58616782183699</v>
      </c>
      <c r="M417" s="21">
        <v>183.35188869477099</v>
      </c>
      <c r="N417" s="21">
        <v>193.78555998524399</v>
      </c>
      <c r="O417" s="21">
        <v>161.511927053704</v>
      </c>
      <c r="P417" s="21">
        <v>182.878959545486</v>
      </c>
      <c r="Q417" s="21">
        <v>200.77430095080101</v>
      </c>
      <c r="R417" s="21">
        <v>157.602512079202</v>
      </c>
      <c r="S417" s="21">
        <v>189.36987029170601</v>
      </c>
    </row>
    <row r="418" spans="1:19">
      <c r="A418" s="9">
        <f t="shared" si="6"/>
        <v>45444</v>
      </c>
      <c r="B418" s="21">
        <v>166.747261625275</v>
      </c>
      <c r="C418" s="21">
        <v>164.51164920769699</v>
      </c>
      <c r="D418" s="21">
        <v>153.40816424060901</v>
      </c>
      <c r="E418" s="21">
        <v>136.48970217908001</v>
      </c>
      <c r="F418" s="21">
        <v>130.29887014654699</v>
      </c>
      <c r="G418" s="21">
        <v>209.659107459078</v>
      </c>
      <c r="H418" s="21">
        <v>163.909384984426</v>
      </c>
      <c r="I418" s="21">
        <v>132.275171146508</v>
      </c>
      <c r="J418" s="21">
        <v>103.764991799646</v>
      </c>
      <c r="K418" s="21">
        <v>184.62774879141901</v>
      </c>
      <c r="L418" s="21">
        <v>187.81540247035801</v>
      </c>
      <c r="M418" s="21">
        <v>181.54591363267701</v>
      </c>
      <c r="N418" s="21">
        <v>183.106873022115</v>
      </c>
      <c r="O418" s="21">
        <v>163.44666866470101</v>
      </c>
      <c r="P418" s="21">
        <v>186.04192374338101</v>
      </c>
      <c r="Q418" s="21">
        <v>200.573073566349</v>
      </c>
      <c r="R418" s="21">
        <v>174.982986374511</v>
      </c>
      <c r="S418" s="21">
        <v>185.91868778741201</v>
      </c>
    </row>
    <row r="419" spans="1:19">
      <c r="A419" s="9">
        <f t="shared" si="6"/>
        <v>45474</v>
      </c>
      <c r="B419" s="21">
        <v>166.12298221967501</v>
      </c>
      <c r="C419" s="21">
        <v>163.22134344992401</v>
      </c>
      <c r="D419" s="21">
        <v>152.42654392718799</v>
      </c>
      <c r="E419" s="21">
        <v>134.61322951349501</v>
      </c>
      <c r="F419" s="21">
        <v>128.760233034706</v>
      </c>
      <c r="G419" s="21">
        <v>203.789758485427</v>
      </c>
      <c r="H419" s="21">
        <v>159.90893781123401</v>
      </c>
      <c r="I419" s="21">
        <v>130.24829479216899</v>
      </c>
      <c r="J419" s="21">
        <v>100.720674570472</v>
      </c>
      <c r="K419" s="21">
        <v>184.92286347856</v>
      </c>
      <c r="L419" s="21">
        <v>183.43491556361499</v>
      </c>
      <c r="M419" s="21">
        <v>186.36141692900301</v>
      </c>
      <c r="N419" s="21">
        <v>179.38498893693199</v>
      </c>
      <c r="O419" s="21">
        <v>166.15196513809201</v>
      </c>
      <c r="P419" s="21">
        <v>185.93452879244401</v>
      </c>
      <c r="Q419" s="21">
        <v>203.31539819357999</v>
      </c>
      <c r="R419" s="21">
        <v>161.08036450039401</v>
      </c>
      <c r="S419" s="21">
        <v>185.60699530598799</v>
      </c>
    </row>
    <row r="420" spans="1:19">
      <c r="A420" s="9">
        <f t="shared" si="6"/>
        <v>45505</v>
      </c>
      <c r="B420" s="21">
        <v>164.15396802561199</v>
      </c>
      <c r="C420" s="21">
        <v>160.35562990804601</v>
      </c>
      <c r="D420" s="21">
        <v>152.020191445888</v>
      </c>
      <c r="E420" s="21">
        <v>134.015721767087</v>
      </c>
      <c r="F420" s="21">
        <v>128.27017078748199</v>
      </c>
      <c r="G420" s="21">
        <v>201.92235305256801</v>
      </c>
      <c r="H420" s="21">
        <v>155.945114017111</v>
      </c>
      <c r="I420" s="21">
        <v>130.068280503587</v>
      </c>
      <c r="J420" s="21">
        <v>103.364892270399</v>
      </c>
      <c r="K420" s="21">
        <v>184.01224654323701</v>
      </c>
      <c r="L420" s="21">
        <v>176.84454676438801</v>
      </c>
      <c r="M420" s="21">
        <v>190.942004732377</v>
      </c>
      <c r="N420" s="21">
        <v>172.92103690193599</v>
      </c>
      <c r="O420" s="21">
        <v>167.66507942109899</v>
      </c>
      <c r="P420" s="21">
        <v>181.70516452497199</v>
      </c>
      <c r="Q420" s="21">
        <v>188.588230712545</v>
      </c>
      <c r="R420" s="21">
        <v>179.930224044596</v>
      </c>
      <c r="S420" s="21">
        <v>197.066153076462</v>
      </c>
    </row>
    <row r="421" spans="1:19">
      <c r="A421" s="9">
        <f t="shared" si="6"/>
        <v>45536</v>
      </c>
      <c r="B421" s="21">
        <v>161.30021635498699</v>
      </c>
      <c r="C421" s="21">
        <v>156.266256247748</v>
      </c>
      <c r="D421" s="21">
        <v>154.97917685416101</v>
      </c>
      <c r="E421" s="21">
        <v>137.07635638451001</v>
      </c>
      <c r="F421" s="21">
        <v>130.69465807797701</v>
      </c>
      <c r="G421" s="21">
        <v>212.501608969556</v>
      </c>
      <c r="H421" s="21">
        <v>158.07558924669999</v>
      </c>
      <c r="I421" s="21">
        <v>133.56999767195299</v>
      </c>
      <c r="J421" s="21">
        <v>109.85041535619</v>
      </c>
      <c r="K421" s="21">
        <v>188.28638496611401</v>
      </c>
      <c r="L421" s="21">
        <v>177.24399031023199</v>
      </c>
      <c r="M421" s="21">
        <v>198.962212240593</v>
      </c>
      <c r="N421" s="21">
        <v>174.127181412006</v>
      </c>
      <c r="O421" s="21">
        <v>145.109970836206</v>
      </c>
      <c r="P421" s="21">
        <v>170.443437810424</v>
      </c>
      <c r="Q421" s="21">
        <v>172.49697082243799</v>
      </c>
      <c r="R421" s="21">
        <v>179.98208750077299</v>
      </c>
      <c r="S421" s="21">
        <v>189.13280850616499</v>
      </c>
    </row>
    <row r="422" spans="1:19">
      <c r="A422" s="9">
        <f t="shared" si="6"/>
        <v>45566</v>
      </c>
      <c r="B422" s="21">
        <v>166.521712190941</v>
      </c>
      <c r="C422" s="21">
        <v>160.99024416909401</v>
      </c>
      <c r="D422" s="21">
        <v>159.26119869117301</v>
      </c>
      <c r="E422" s="21">
        <v>138.42505133019901</v>
      </c>
      <c r="F422" s="21">
        <v>132.73526915585899</v>
      </c>
      <c r="G422" s="21">
        <v>205.672551453198</v>
      </c>
      <c r="H422" s="21">
        <v>164.115051799111</v>
      </c>
      <c r="I422" s="21">
        <v>134.33019241490601</v>
      </c>
      <c r="J422" s="21">
        <v>106.629563051196</v>
      </c>
      <c r="K422" s="21">
        <v>197.94852066691499</v>
      </c>
      <c r="L422" s="21">
        <v>186.96421572654299</v>
      </c>
      <c r="M422" s="21">
        <v>208.56818659337699</v>
      </c>
      <c r="N422" s="21">
        <v>183.824080947742</v>
      </c>
      <c r="O422" s="21">
        <v>148.94901970674499</v>
      </c>
      <c r="P422" s="21">
        <v>177.02385868122801</v>
      </c>
      <c r="Q422" s="21">
        <v>179.27994915128301</v>
      </c>
      <c r="R422" s="21">
        <v>190.04415289778899</v>
      </c>
      <c r="S422" s="21">
        <v>194.932936700992</v>
      </c>
    </row>
    <row r="423" spans="1:19">
      <c r="A423" s="9">
        <f t="shared" si="6"/>
        <v>45597</v>
      </c>
      <c r="B423" s="21">
        <v>166.222982220962</v>
      </c>
      <c r="C423" s="21">
        <v>160.99238824976001</v>
      </c>
      <c r="D423" s="21">
        <v>158.53531851818599</v>
      </c>
      <c r="E423" s="21">
        <v>140.62477646985499</v>
      </c>
      <c r="F423" s="21">
        <v>133.40190581489901</v>
      </c>
      <c r="G423" s="21">
        <v>225.99183980807101</v>
      </c>
      <c r="H423" s="21">
        <v>159.837390503564</v>
      </c>
      <c r="I423" s="21">
        <v>135.73143732269199</v>
      </c>
      <c r="J423" s="21">
        <v>102.629301969446</v>
      </c>
      <c r="K423" s="21">
        <v>194.05331395464501</v>
      </c>
      <c r="L423" s="21">
        <v>182.576294205388</v>
      </c>
      <c r="M423" s="21">
        <v>205.149338348556</v>
      </c>
      <c r="N423" s="21">
        <v>179.17126065455801</v>
      </c>
      <c r="O423" s="21">
        <v>147.534173661105</v>
      </c>
      <c r="P423" s="21">
        <v>177.342990520266</v>
      </c>
      <c r="Q423" s="21">
        <v>176.80990155500601</v>
      </c>
      <c r="R423" s="21">
        <v>207.66962217091799</v>
      </c>
      <c r="S423" s="21">
        <v>193.822573982271</v>
      </c>
    </row>
    <row r="424" spans="1:19">
      <c r="A424" s="9">
        <f t="shared" si="6"/>
        <v>45627</v>
      </c>
      <c r="B424" s="21">
        <v>166.69516443089401</v>
      </c>
      <c r="C424" s="21">
        <v>161.62305956239601</v>
      </c>
      <c r="D424" s="21">
        <v>159.27382025550199</v>
      </c>
      <c r="E424" s="21">
        <v>142.22374573971501</v>
      </c>
      <c r="F424" s="21">
        <v>132.204468429424</v>
      </c>
      <c r="G424" s="21">
        <v>260.64152194117599</v>
      </c>
      <c r="H424" s="21">
        <v>160.46572892835101</v>
      </c>
      <c r="I424" s="21">
        <v>137.569565562892</v>
      </c>
      <c r="J424" s="21">
        <v>106.085276912902</v>
      </c>
      <c r="K424" s="21">
        <v>193.088713328067</v>
      </c>
      <c r="L424" s="21">
        <v>182.08071193732701</v>
      </c>
      <c r="M424" s="21">
        <v>203.73128906884301</v>
      </c>
      <c r="N424" s="21">
        <v>178.17767821471799</v>
      </c>
      <c r="O424" s="21">
        <v>148.68848753923601</v>
      </c>
      <c r="P424" s="21">
        <v>177.429948366948</v>
      </c>
      <c r="Q424" s="21">
        <v>177.562886754104</v>
      </c>
      <c r="R424" s="21">
        <v>214.14001972661001</v>
      </c>
      <c r="S424" s="21">
        <v>182.43790512492299</v>
      </c>
    </row>
    <row r="425" spans="1:19">
      <c r="A425" s="9">
        <f t="shared" si="6"/>
        <v>45658</v>
      </c>
      <c r="B425" s="21">
        <v>172.883926930939</v>
      </c>
      <c r="C425" s="21">
        <v>167.906025398585</v>
      </c>
      <c r="D425" s="21">
        <v>162.00309318638</v>
      </c>
      <c r="E425" s="21">
        <v>145.96856843872899</v>
      </c>
      <c r="F425" s="21">
        <v>135.631084328887</v>
      </c>
      <c r="G425" s="21">
        <v>268.147228824558</v>
      </c>
      <c r="H425" s="21">
        <v>159.053716157758</v>
      </c>
      <c r="I425" s="21">
        <v>140.47990811891</v>
      </c>
      <c r="J425" s="21">
        <v>103.350583673866</v>
      </c>
      <c r="K425" s="21">
        <v>195.05990708728299</v>
      </c>
      <c r="L425" s="21">
        <v>181.19443433060499</v>
      </c>
      <c r="M425" s="21">
        <v>208.465096526916</v>
      </c>
      <c r="N425" s="21">
        <v>177.41186564309601</v>
      </c>
      <c r="O425" s="21">
        <v>157.18476350669201</v>
      </c>
      <c r="P425" s="21">
        <v>188.622773766699</v>
      </c>
      <c r="Q425" s="21">
        <v>193.25787884064599</v>
      </c>
      <c r="R425" s="21">
        <v>225.019641678846</v>
      </c>
      <c r="S425" s="21">
        <v>165.79266569585201</v>
      </c>
    </row>
    <row r="426" spans="1:19">
      <c r="A426" s="9">
        <f t="shared" si="6"/>
        <v>45689</v>
      </c>
      <c r="B426" s="21">
        <v>172.279811710583</v>
      </c>
      <c r="C426" s="21">
        <v>165.539676418857</v>
      </c>
      <c r="D426" s="21">
        <v>164.77467286900301</v>
      </c>
      <c r="E426" s="21">
        <v>143.28617235807999</v>
      </c>
      <c r="F426" s="21">
        <v>132.018924336477</v>
      </c>
      <c r="G426" s="21">
        <v>276.45370663304402</v>
      </c>
      <c r="H426" s="21">
        <v>163.237746636342</v>
      </c>
      <c r="I426" s="21">
        <v>138.38634476240799</v>
      </c>
      <c r="J426" s="21">
        <v>105.240316784043</v>
      </c>
      <c r="K426" s="21">
        <v>204.68274417827701</v>
      </c>
      <c r="L426" s="21">
        <v>186.29039541656101</v>
      </c>
      <c r="M426" s="21">
        <v>222.46453378742299</v>
      </c>
      <c r="N426" s="21">
        <v>182.708653872806</v>
      </c>
      <c r="O426" s="21">
        <v>166.27576724245699</v>
      </c>
      <c r="P426" s="21">
        <v>183.13580248131001</v>
      </c>
      <c r="Q426" s="21">
        <v>182.784164611677</v>
      </c>
      <c r="R426" s="21">
        <v>232.61551560027399</v>
      </c>
      <c r="S426" s="21">
        <v>154.000117737229</v>
      </c>
    </row>
    <row r="427" spans="1:19">
      <c r="A427" s="9">
        <f t="shared" si="6"/>
        <v>45717</v>
      </c>
      <c r="B427" s="21">
        <v>167.64546797001799</v>
      </c>
      <c r="C427" s="21">
        <v>159.548421949567</v>
      </c>
      <c r="D427" s="21">
        <v>164.10747807601399</v>
      </c>
      <c r="E427" s="21">
        <v>138.96309186749701</v>
      </c>
      <c r="F427" s="21">
        <v>128.97542573511399</v>
      </c>
      <c r="G427" s="21">
        <v>257.00725575392698</v>
      </c>
      <c r="H427" s="21">
        <v>164.05152019328801</v>
      </c>
      <c r="I427" s="21">
        <v>134.658368573518</v>
      </c>
      <c r="J427" s="21">
        <v>105.538062612674</v>
      </c>
      <c r="K427" s="21">
        <v>208.618570416355</v>
      </c>
      <c r="L427" s="21">
        <v>187.309278165622</v>
      </c>
      <c r="M427" s="21">
        <v>229.220471589037</v>
      </c>
      <c r="N427" s="21">
        <v>183.87580235896999</v>
      </c>
      <c r="O427" s="21">
        <v>166.09186671429899</v>
      </c>
      <c r="P427" s="21">
        <v>172.76307957547399</v>
      </c>
      <c r="Q427" s="21">
        <v>171.83405042181599</v>
      </c>
      <c r="R427" s="21">
        <v>213.51437769784999</v>
      </c>
      <c r="S427" s="21">
        <v>142.52584835113299</v>
      </c>
    </row>
    <row r="428" spans="1:19">
      <c r="A428" s="9">
        <f t="shared" si="6"/>
        <v>45748</v>
      </c>
      <c r="B428" s="21">
        <v>162.75022033043999</v>
      </c>
      <c r="C428" s="21">
        <v>151.96284430890901</v>
      </c>
      <c r="D428" s="21">
        <v>165.02503190204999</v>
      </c>
      <c r="E428" s="21">
        <v>138.726229849986</v>
      </c>
      <c r="F428" s="21">
        <v>129.21289789123699</v>
      </c>
      <c r="G428" s="21">
        <v>251.16424108901199</v>
      </c>
      <c r="H428" s="21">
        <v>155.39640075706899</v>
      </c>
      <c r="I428" s="21">
        <v>134.228509761564</v>
      </c>
      <c r="J428" s="21">
        <v>103.802631916114</v>
      </c>
      <c r="K428" s="21">
        <v>211.225508691687</v>
      </c>
      <c r="L428" s="21">
        <v>175.90374108865501</v>
      </c>
      <c r="M428" s="21">
        <v>245.37472194756401</v>
      </c>
      <c r="N428" s="21">
        <v>173.31988301247301</v>
      </c>
      <c r="O428" s="21">
        <v>171.242213469376</v>
      </c>
      <c r="P428" s="21">
        <v>159.45976375824301</v>
      </c>
      <c r="Q428" s="21">
        <v>158.241938300078</v>
      </c>
      <c r="R428" s="21">
        <v>184.89093114156299</v>
      </c>
      <c r="S428" s="21">
        <v>140.46376826438299</v>
      </c>
    </row>
    <row r="429" spans="1:19">
      <c r="A429" s="9">
        <f t="shared" si="6"/>
        <v>45778</v>
      </c>
      <c r="B429" s="21">
        <v>161.19313255849499</v>
      </c>
      <c r="C429" s="21">
        <v>149.63150003245801</v>
      </c>
      <c r="D429" s="21">
        <v>166.01172260596499</v>
      </c>
      <c r="E429" s="21">
        <v>136.40284887550399</v>
      </c>
      <c r="F429" s="21">
        <v>126.197064180925</v>
      </c>
      <c r="G429" s="21">
        <v>257.02495469163</v>
      </c>
      <c r="H429" s="21">
        <v>158.042341971046</v>
      </c>
      <c r="I429" s="21">
        <v>132.35345083774101</v>
      </c>
      <c r="J429" s="21">
        <v>104.960352196111</v>
      </c>
      <c r="K429" s="21">
        <v>215.44313697390899</v>
      </c>
      <c r="L429" s="21">
        <v>179.14121600655301</v>
      </c>
      <c r="M429" s="21">
        <v>250.53996606368</v>
      </c>
      <c r="N429" s="21">
        <v>176.672949224832</v>
      </c>
      <c r="O429" s="21">
        <v>185.47955198797399</v>
      </c>
      <c r="P429" s="21">
        <v>154.22316568813801</v>
      </c>
      <c r="Q429" s="21">
        <v>150.37006877153999</v>
      </c>
      <c r="R429" s="21">
        <v>186.47668333876001</v>
      </c>
      <c r="S429" s="21">
        <v>143.213795963054</v>
      </c>
    </row>
    <row r="430" spans="1:19">
      <c r="A430" s="9">
        <f t="shared" si="6"/>
        <v>45809</v>
      </c>
      <c r="B430" s="21">
        <v>166.18312519046</v>
      </c>
      <c r="C430" s="21">
        <v>154.60738301085601</v>
      </c>
      <c r="D430" s="21">
        <v>165.58183190633599</v>
      </c>
      <c r="E430" s="21">
        <v>133.00991177431999</v>
      </c>
      <c r="F430" s="21">
        <v>124.838864003994</v>
      </c>
      <c r="G430" s="21">
        <v>229.58347454057599</v>
      </c>
      <c r="H430" s="21">
        <v>159.27678480342101</v>
      </c>
      <c r="I430" s="21">
        <v>129.47342161779801</v>
      </c>
      <c r="J430" s="21">
        <v>105.550008113039</v>
      </c>
      <c r="K430" s="21">
        <v>219.60761010061299</v>
      </c>
      <c r="L430" s="21">
        <v>180.631946856133</v>
      </c>
      <c r="M430" s="21">
        <v>257.289422938619</v>
      </c>
      <c r="N430" s="21">
        <v>180.06905894865599</v>
      </c>
      <c r="O430" s="21">
        <v>174.58357478452299</v>
      </c>
      <c r="P430" s="21">
        <v>167.05288049822201</v>
      </c>
      <c r="Q430" s="21">
        <v>163.118320907065</v>
      </c>
      <c r="R430" s="21">
        <v>200.28784709257999</v>
      </c>
      <c r="S430" s="21">
        <v>149.65349086790499</v>
      </c>
    </row>
    <row r="431" spans="1:19">
      <c r="A431" s="9">
        <f t="shared" si="6"/>
        <v>45839</v>
      </c>
      <c r="B431" s="21">
        <v>165.75994456174001</v>
      </c>
      <c r="C431" s="21">
        <v>154.22885051022101</v>
      </c>
      <c r="D431" s="21">
        <v>166.225384462954</v>
      </c>
      <c r="E431" s="21">
        <v>131.59475458253399</v>
      </c>
      <c r="F431" s="21">
        <v>125.771132381294</v>
      </c>
      <c r="G431" s="21">
        <v>200.42410915085199</v>
      </c>
      <c r="H431" s="21">
        <v>162.07451524548901</v>
      </c>
      <c r="I431" s="21">
        <v>128.33047780570899</v>
      </c>
      <c r="J431" s="21">
        <v>106.248515275163</v>
      </c>
      <c r="K431" s="21">
        <v>221.92108484638399</v>
      </c>
      <c r="L431" s="21">
        <v>184.264070427467</v>
      </c>
      <c r="M431" s="21">
        <v>258.32802320868899</v>
      </c>
      <c r="N431" s="21">
        <v>184.91451434954101</v>
      </c>
      <c r="O431" s="21">
        <v>187.639555190973</v>
      </c>
      <c r="P431" s="21">
        <v>165.08669768668901</v>
      </c>
      <c r="Q431" s="21">
        <v>163.67270220750299</v>
      </c>
      <c r="R431" s="21">
        <v>185.99314380753199</v>
      </c>
      <c r="S431" s="21">
        <v>155.408719024948</v>
      </c>
    </row>
    <row r="432" spans="1:19">
      <c r="A432" s="9">
        <f t="shared" si="6"/>
        <v>45870</v>
      </c>
      <c r="B432" s="21">
        <v>163.347890678846</v>
      </c>
      <c r="C432" s="21">
        <v>151.31185661343599</v>
      </c>
      <c r="D432" s="21">
        <v>166.87166218645601</v>
      </c>
      <c r="E432" s="21">
        <v>131.82477901671899</v>
      </c>
      <c r="F432" s="21">
        <v>124.078165925061</v>
      </c>
      <c r="G432" s="21">
        <v>223.38195095617701</v>
      </c>
      <c r="H432" s="21">
        <v>161.771499448616</v>
      </c>
      <c r="I432" s="21">
        <v>128.24182530104301</v>
      </c>
      <c r="J432" s="21">
        <v>104.004098200219</v>
      </c>
      <c r="K432" s="21">
        <v>222.87025478326001</v>
      </c>
      <c r="L432" s="21">
        <v>184.73271713217</v>
      </c>
      <c r="M432" s="21">
        <v>259.74176475235203</v>
      </c>
      <c r="N432" s="21">
        <v>184.97251187596601</v>
      </c>
      <c r="O432" s="21">
        <v>197.97440801892</v>
      </c>
      <c r="P432" s="21">
        <v>158.25084560449801</v>
      </c>
      <c r="Q432" s="21">
        <v>158.130820126581</v>
      </c>
      <c r="R432" s="21">
        <v>173.44914494151399</v>
      </c>
      <c r="S432" s="21">
        <v>154.14960279776901</v>
      </c>
    </row>
    <row r="433" spans="1:19">
      <c r="A433" s="9">
        <f t="shared" si="6"/>
        <v>45901</v>
      </c>
      <c r="B433" s="21">
        <v>167.46449102514001</v>
      </c>
      <c r="C433" s="21">
        <v>153.18206764337199</v>
      </c>
      <c r="D433" s="21">
        <v>174.10608195763601</v>
      </c>
      <c r="E433" s="21">
        <v>134.666151849382</v>
      </c>
      <c r="F433" s="21">
        <v>126.65724198317599</v>
      </c>
      <c r="G433" s="21">
        <v>229.323407735487</v>
      </c>
      <c r="H433" s="21">
        <v>166.97955857179801</v>
      </c>
      <c r="I433" s="21">
        <v>130.53433947770699</v>
      </c>
      <c r="J433" s="21">
        <v>102.583729828942</v>
      </c>
      <c r="K433" s="21">
        <v>238.51335360939899</v>
      </c>
      <c r="L433" s="21">
        <v>192.575424228272</v>
      </c>
      <c r="M433" s="21">
        <v>282.926310644848</v>
      </c>
      <c r="N433" s="21">
        <v>193.87987458600401</v>
      </c>
      <c r="O433" s="21">
        <v>194.33661546243599</v>
      </c>
      <c r="P433" s="21">
        <v>157.85760014836299</v>
      </c>
      <c r="Q433" s="21">
        <v>157.54502851840601</v>
      </c>
      <c r="R433" s="21">
        <v>174.15102148523599</v>
      </c>
      <c r="S433" s="21">
        <v>145.08425651057399</v>
      </c>
    </row>
    <row r="434" spans="1:19">
      <c r="A434" s="9">
        <f t="shared" si="6"/>
        <v>45931</v>
      </c>
      <c r="B434" s="21">
        <v>167.812160391536</v>
      </c>
      <c r="C434" s="21">
        <v>150.04698480046</v>
      </c>
      <c r="D434" s="21">
        <v>179.35560024581</v>
      </c>
      <c r="E434" s="21">
        <v>130.39433699887701</v>
      </c>
      <c r="F434" s="21">
        <v>122.680920877936</v>
      </c>
      <c r="G434" s="21">
        <v>221.559154147936</v>
      </c>
      <c r="H434" s="21">
        <v>172.40072404316501</v>
      </c>
      <c r="I434" s="21">
        <v>126.44374518816799</v>
      </c>
      <c r="J434" s="21">
        <v>99.719044342668298</v>
      </c>
      <c r="K434" s="21">
        <v>258.77040588661401</v>
      </c>
      <c r="L434" s="21">
        <v>201.290025502883</v>
      </c>
      <c r="M434" s="21">
        <v>314.34264648944497</v>
      </c>
      <c r="N434" s="21">
        <v>205.34268911111801</v>
      </c>
      <c r="O434" s="21">
        <v>189.59310330283199</v>
      </c>
      <c r="P434" s="21">
        <v>151.11487081893401</v>
      </c>
      <c r="Q434" s="21">
        <v>148.803478767732</v>
      </c>
      <c r="R434" s="21">
        <v>175.81027770136299</v>
      </c>
      <c r="S434" s="21">
        <v>142.92933028122101</v>
      </c>
    </row>
    <row r="435" spans="1:19">
      <c r="A435" s="9">
        <f t="shared" si="6"/>
        <v>45962</v>
      </c>
      <c r="B435" s="21">
        <v>168.64427383307699</v>
      </c>
      <c r="C435" s="21">
        <v>150.70079689735101</v>
      </c>
      <c r="D435" s="21">
        <v>179.64886019941801</v>
      </c>
      <c r="E435" s="21">
        <v>129.89424485133699</v>
      </c>
      <c r="F435" s="21">
        <v>122.37555701300199</v>
      </c>
      <c r="G435" s="21">
        <v>218.757569639655</v>
      </c>
      <c r="H435" s="21">
        <v>173.01415591969101</v>
      </c>
      <c r="I435" s="21">
        <v>126.120274193566</v>
      </c>
      <c r="J435" s="21">
        <v>100.590368381679</v>
      </c>
      <c r="K435" s="21">
        <v>260.19552812427798</v>
      </c>
      <c r="L435" s="21">
        <v>201.80095115697901</v>
      </c>
      <c r="M435" s="21">
        <v>316.65161730572402</v>
      </c>
      <c r="N435" s="21">
        <v>205.972909924432</v>
      </c>
      <c r="O435" s="21">
        <v>187.54537902864999</v>
      </c>
      <c r="P435" s="21">
        <v>152.72642200510001</v>
      </c>
      <c r="Q435" s="21">
        <v>148.50872497738399</v>
      </c>
      <c r="R435" s="21">
        <v>187.16366135747401</v>
      </c>
      <c r="S435" s="21">
        <v>148.59407500843099</v>
      </c>
    </row>
    <row r="436" spans="1:19">
      <c r="A436" s="9">
        <f t="shared" si="6"/>
        <v>45992</v>
      </c>
      <c r="B436" s="21">
        <v>170.77689929194401</v>
      </c>
      <c r="C436" s="21">
        <v>151.002035300117</v>
      </c>
      <c r="D436" s="21">
        <v>186.97178918683699</v>
      </c>
      <c r="E436" s="21">
        <v>132.732901127752</v>
      </c>
      <c r="F436" s="21">
        <v>126.47387809481801</v>
      </c>
      <c r="G436" s="21">
        <v>206.708255417288</v>
      </c>
      <c r="H436" s="21">
        <v>179.79994490273799</v>
      </c>
      <c r="I436" s="21">
        <v>128.759500935803</v>
      </c>
      <c r="J436" s="21">
        <v>101.88050746918699</v>
      </c>
      <c r="K436" s="21">
        <v>276.22866628121301</v>
      </c>
      <c r="L436" s="21">
        <v>210.77113498620199</v>
      </c>
      <c r="M436" s="21">
        <v>339.51324536905901</v>
      </c>
      <c r="N436" s="21">
        <v>220.15616567767799</v>
      </c>
      <c r="O436" s="21">
        <v>175.72515375398399</v>
      </c>
      <c r="P436" s="21">
        <v>147.35140658048999</v>
      </c>
      <c r="Q436" s="21">
        <v>142.458696929952</v>
      </c>
      <c r="R436" s="21">
        <v>174.70674815337</v>
      </c>
      <c r="S436" s="21">
        <v>151.01456977148001</v>
      </c>
    </row>
    <row r="437" spans="1:19">
      <c r="A437" s="9">
        <f t="shared" si="6"/>
        <v>46023</v>
      </c>
      <c r="B437" s="21">
        <v>180.39143568633301</v>
      </c>
      <c r="C437" s="21">
        <v>158.02701087931899</v>
      </c>
      <c r="D437" s="21">
        <v>198.874483216524</v>
      </c>
      <c r="E437" s="21">
        <v>135.15829693085601</v>
      </c>
      <c r="F437" s="21">
        <v>129.95741604515601</v>
      </c>
      <c r="G437" s="21">
        <v>196.627475764812</v>
      </c>
      <c r="H437" s="21">
        <v>189.979444934122</v>
      </c>
      <c r="I437" s="21">
        <v>131.13587204005901</v>
      </c>
      <c r="J437" s="21">
        <v>103.925239549849</v>
      </c>
      <c r="K437" s="21">
        <v>303.37783252732203</v>
      </c>
      <c r="L437" s="21">
        <v>224.18401878914599</v>
      </c>
      <c r="M437" s="21">
        <v>379.94269939030198</v>
      </c>
      <c r="N437" s="21">
        <v>242.97495145553401</v>
      </c>
      <c r="O437" s="21">
        <v>178.15454718714301</v>
      </c>
      <c r="P437" s="21">
        <v>153.65618166398099</v>
      </c>
      <c r="Q437" s="21">
        <v>146.338413879417</v>
      </c>
      <c r="R437" s="21">
        <v>192.662888171818</v>
      </c>
      <c r="S437" s="21">
        <v>152.693549062383</v>
      </c>
    </row>
    <row r="438" spans="1:19">
      <c r="A438" s="9">
        <f t="shared" si="6"/>
        <v>46054</v>
      </c>
      <c r="B438" s="21">
        <v>184.25857039604799</v>
      </c>
      <c r="C438" s="21">
        <v>159.65875969430201</v>
      </c>
      <c r="D438" s="21">
        <v>201.57669045022399</v>
      </c>
      <c r="E438" s="21">
        <v>135.007858933151</v>
      </c>
      <c r="F438" s="21">
        <v>132.03454758541301</v>
      </c>
      <c r="G438" s="21">
        <v>170.14940725542101</v>
      </c>
      <c r="H438" s="21">
        <v>187.398012512462</v>
      </c>
      <c r="I438" s="21">
        <v>131.189890464771</v>
      </c>
      <c r="J438" s="21">
        <v>105.36235118864801</v>
      </c>
      <c r="K438" s="21">
        <v>309.65057515190398</v>
      </c>
      <c r="L438" s="21">
        <v>220.00530722822899</v>
      </c>
      <c r="M438" s="21">
        <v>396.319945895486</v>
      </c>
      <c r="N438" s="21">
        <v>235.21545669691901</v>
      </c>
      <c r="O438" s="21">
        <v>186.190320217031</v>
      </c>
      <c r="P438" s="21">
        <v>159.20835407854599</v>
      </c>
      <c r="Q438" s="21">
        <v>157.57414010711599</v>
      </c>
      <c r="R438" s="21">
        <v>174.96071932486899</v>
      </c>
      <c r="S438" s="21">
        <v>163.791715232656</v>
      </c>
    </row>
    <row r="439" spans="1:19">
      <c r="A439" s="9">
        <f t="shared" si="6"/>
        <v>46082</v>
      </c>
      <c r="B439" s="21">
        <v>218.76083403501201</v>
      </c>
      <c r="C439" s="21">
        <v>199.440738157456</v>
      </c>
      <c r="D439" s="21">
        <v>202.50288999834501</v>
      </c>
      <c r="E439" s="21">
        <v>138.99276891407001</v>
      </c>
      <c r="F439" s="21">
        <v>136.543623755862</v>
      </c>
      <c r="G439" s="21">
        <v>167.93920030305699</v>
      </c>
      <c r="H439" s="21">
        <v>189.72939074446401</v>
      </c>
      <c r="I439" s="21">
        <v>134.794313240588</v>
      </c>
      <c r="J439" s="21">
        <v>106.392879414207</v>
      </c>
      <c r="K439" s="21">
        <v>304.37002234915099</v>
      </c>
      <c r="L439" s="21">
        <v>222.85374351591801</v>
      </c>
      <c r="M439" s="21">
        <v>383.18025690441902</v>
      </c>
      <c r="N439" s="21">
        <v>235.50327429888401</v>
      </c>
      <c r="O439" s="21">
        <v>212.69109430718899</v>
      </c>
      <c r="P439" s="21">
        <v>242.27753294472799</v>
      </c>
      <c r="Q439" s="21">
        <v>250.650758836877</v>
      </c>
      <c r="R439" s="21">
        <v>268.19738812705901</v>
      </c>
      <c r="S439" s="21">
        <v>185.36359416573799</v>
      </c>
    </row>
    <row r="440" spans="1:19">
      <c r="A440" s="9">
        <f t="shared" si="6"/>
        <v>46113</v>
      </c>
      <c r="B440" s="21">
        <v>214.350427147967</v>
      </c>
      <c r="C440" s="21">
        <v>195.825389350291</v>
      </c>
      <c r="D440" s="21">
        <v>203.957658895501</v>
      </c>
      <c r="E440" s="21">
        <v>141.324565671692</v>
      </c>
      <c r="F440" s="21">
        <v>139.351633921569</v>
      </c>
      <c r="G440" s="21">
        <v>164.642633753002</v>
      </c>
      <c r="H440" s="21">
        <v>195.55103789924101</v>
      </c>
      <c r="I440" s="21">
        <v>137.38652579201701</v>
      </c>
      <c r="J440" s="21">
        <v>110.746735415117</v>
      </c>
      <c r="K440" s="21">
        <v>301.70953969917798</v>
      </c>
      <c r="L440" s="21">
        <v>229.25880400537099</v>
      </c>
      <c r="M440" s="21">
        <v>371.75517420872097</v>
      </c>
      <c r="N440" s="21">
        <v>239.94045378028699</v>
      </c>
      <c r="O440" s="21">
        <v>242.65567505796199</v>
      </c>
      <c r="P440" s="21">
        <v>229.38329977198899</v>
      </c>
      <c r="Q440" s="21">
        <v>241.948663344609</v>
      </c>
      <c r="R440" s="21">
        <v>227.138441138053</v>
      </c>
      <c r="S440" s="21">
        <v>183.632694118063</v>
      </c>
    </row>
    <row r="441" spans="1:19">
      <c r="A441" s="9">
        <f t="shared" si="6"/>
        <v>46143</v>
      </c>
      <c r="B441" s="21">
        <v>216.61002998118099</v>
      </c>
      <c r="C441" s="21">
        <v>199.62309662159799</v>
      </c>
      <c r="D441" s="21">
        <v>204.227831379778</v>
      </c>
      <c r="E441" s="21">
        <v>143.035323436982</v>
      </c>
      <c r="F441" s="21">
        <v>140.799051814802</v>
      </c>
      <c r="G441" s="21">
        <v>169.46580382791299</v>
      </c>
      <c r="H441" s="21">
        <v>202.07301472247201</v>
      </c>
      <c r="I441" s="21">
        <v>139.544522450237</v>
      </c>
      <c r="J441" s="21">
        <v>115.930184003772</v>
      </c>
      <c r="K441" s="21">
        <v>300.19215638996599</v>
      </c>
      <c r="L441" s="21">
        <v>236.31281511620199</v>
      </c>
      <c r="M441" s="21">
        <v>361.95093563111197</v>
      </c>
      <c r="N441" s="21">
        <v>246.36259584978799</v>
      </c>
      <c r="O441" s="21">
        <v>230.08282591702701</v>
      </c>
      <c r="P441" s="21">
        <v>234.52056256099399</v>
      </c>
      <c r="Q441" s="21">
        <v>244.293849211533</v>
      </c>
      <c r="R441" s="21">
        <v>238.48319649328499</v>
      </c>
      <c r="S441" s="21">
        <v>192.467315634052</v>
      </c>
    </row>
  </sheetData>
  <hyperlinks>
    <hyperlink ref="B1" r:id="rId1" display="https://www.imf.org/en/Research/commodity-prices" xr:uid="{F2BC0D4A-299A-446D-BF61-5D2FBB5151A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FF1B-1CC1-4ACA-BCC0-7CBC77AD7658}">
  <dimension ref="A1:J322"/>
  <sheetViews>
    <sheetView showGridLines="0" workbookViewId="0">
      <pane xSplit="3" ySplit="4" topLeftCell="D301" activePane="bottomRight" state="frozen"/>
      <selection activeCell="G394" sqref="G394"/>
      <selection pane="topRight" activeCell="G394" sqref="G394"/>
      <selection pane="bottomLeft" activeCell="G394" sqref="G394"/>
      <selection pane="bottomRight" activeCell="E322" sqref="E322"/>
    </sheetView>
  </sheetViews>
  <sheetFormatPr baseColWidth="10" defaultRowHeight="14.4"/>
  <cols>
    <col min="2" max="2" width="8.44140625" customWidth="1"/>
    <col min="3" max="3" width="5.44140625" customWidth="1"/>
    <col min="4" max="4" width="10.109375" bestFit="1" customWidth="1"/>
  </cols>
  <sheetData>
    <row r="1" spans="1:10">
      <c r="A1" t="s">
        <v>19</v>
      </c>
      <c r="B1" s="6" t="s">
        <v>20</v>
      </c>
    </row>
    <row r="2" spans="1:10">
      <c r="D2" s="10"/>
      <c r="E2" s="10"/>
      <c r="F2" s="10"/>
      <c r="G2" s="10"/>
      <c r="H2" s="10"/>
      <c r="I2" s="10"/>
      <c r="J2" s="10"/>
    </row>
    <row r="3" spans="1:10"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52</v>
      </c>
    </row>
    <row r="4" spans="1:10">
      <c r="A4" s="11" t="s">
        <v>17</v>
      </c>
      <c r="B4" s="11" t="s">
        <v>53</v>
      </c>
      <c r="C4" s="11" t="s">
        <v>54</v>
      </c>
      <c r="D4" s="12" t="s">
        <v>1</v>
      </c>
      <c r="E4" s="12" t="s">
        <v>2</v>
      </c>
      <c r="F4" s="12" t="s">
        <v>3</v>
      </c>
      <c r="G4" s="12" t="s">
        <v>4</v>
      </c>
      <c r="H4" s="12" t="s">
        <v>55</v>
      </c>
      <c r="I4" s="12" t="s">
        <v>56</v>
      </c>
      <c r="J4" s="12" t="s">
        <v>52</v>
      </c>
    </row>
    <row r="5" spans="1:10">
      <c r="A5" s="13">
        <v>36526</v>
      </c>
      <c r="B5" s="14">
        <f t="shared" ref="B5:B68" si="0">+YEAR(A5)</f>
        <v>2000</v>
      </c>
      <c r="C5" s="14">
        <f t="shared" ref="C5:C68" si="1">+MONTH(A5)</f>
        <v>1</v>
      </c>
      <c r="D5" s="15">
        <v>1929.421052631579</v>
      </c>
      <c r="E5" s="15">
        <v>0.99977263157894714</v>
      </c>
      <c r="F5" s="15">
        <v>1.7992105263157896</v>
      </c>
      <c r="G5" s="15">
        <v>518.55789473684206</v>
      </c>
      <c r="H5" s="15">
        <v>3.4948157894736842</v>
      </c>
      <c r="I5" s="15">
        <v>9.4872105263157902</v>
      </c>
      <c r="J5" s="15">
        <v>101.86000000000001</v>
      </c>
    </row>
    <row r="6" spans="1:10">
      <c r="A6" s="13">
        <v>36557</v>
      </c>
      <c r="B6" s="14">
        <f t="shared" si="0"/>
        <v>2000</v>
      </c>
      <c r="C6" s="14">
        <f t="shared" si="1"/>
        <v>2</v>
      </c>
      <c r="D6" s="15">
        <v>1946.742857142857</v>
      </c>
      <c r="E6" s="15">
        <v>0.99971428571428567</v>
      </c>
      <c r="F6" s="15">
        <v>1.7745238095238098</v>
      </c>
      <c r="G6" s="15">
        <v>511.75238095238103</v>
      </c>
      <c r="H6" s="15">
        <v>3.4527857142857141</v>
      </c>
      <c r="I6" s="15">
        <v>9.4120476190476197</v>
      </c>
      <c r="J6" s="15">
        <v>104.43333333333332</v>
      </c>
    </row>
    <row r="7" spans="1:10">
      <c r="A7" s="13">
        <v>36586</v>
      </c>
      <c r="B7" s="14">
        <f t="shared" si="0"/>
        <v>2000</v>
      </c>
      <c r="C7" s="14">
        <f t="shared" si="1"/>
        <v>3</v>
      </c>
      <c r="D7" s="15">
        <v>1955.4347826086957</v>
      </c>
      <c r="E7" s="15">
        <v>0.99975869565217379</v>
      </c>
      <c r="F7" s="15">
        <v>1.7407391304347826</v>
      </c>
      <c r="G7" s="15">
        <v>504.40652173913043</v>
      </c>
      <c r="H7" s="15">
        <v>3.4426521739130429</v>
      </c>
      <c r="I7" s="15">
        <v>9.2825652173913067</v>
      </c>
      <c r="J7" s="15">
        <v>105.54347826086956</v>
      </c>
    </row>
    <row r="8" spans="1:10">
      <c r="A8" s="13">
        <v>36617</v>
      </c>
      <c r="B8" s="14">
        <f t="shared" si="0"/>
        <v>2000</v>
      </c>
      <c r="C8" s="14">
        <f t="shared" si="1"/>
        <v>4</v>
      </c>
      <c r="D8" s="15">
        <v>1989.8</v>
      </c>
      <c r="E8" s="15">
        <v>0.9996434999999998</v>
      </c>
      <c r="F8" s="15">
        <v>1.7686499999999998</v>
      </c>
      <c r="G8" s="15">
        <v>508.75500000000011</v>
      </c>
      <c r="H8" s="15">
        <v>3.4772000000000007</v>
      </c>
      <c r="I8" s="15">
        <v>9.39025</v>
      </c>
      <c r="J8" s="15">
        <v>106.79900000000002</v>
      </c>
    </row>
    <row r="9" spans="1:10">
      <c r="A9" s="13">
        <v>36647</v>
      </c>
      <c r="B9" s="14">
        <f t="shared" si="0"/>
        <v>2000</v>
      </c>
      <c r="C9" s="14">
        <f t="shared" si="1"/>
        <v>5</v>
      </c>
      <c r="D9" s="15">
        <v>2058.0956521739131</v>
      </c>
      <c r="E9" s="15">
        <v>0.99971478260869528</v>
      </c>
      <c r="F9" s="15">
        <v>1.8253043478260869</v>
      </c>
      <c r="G9" s="15">
        <v>521.55000000000007</v>
      </c>
      <c r="H9" s="15">
        <v>3.5018478260869568</v>
      </c>
      <c r="I9" s="15">
        <v>9.4958260869565212</v>
      </c>
      <c r="J9" s="15">
        <v>110.71347826086954</v>
      </c>
    </row>
    <row r="10" spans="1:10">
      <c r="A10" s="13">
        <v>36678</v>
      </c>
      <c r="B10" s="14">
        <f t="shared" si="0"/>
        <v>2000</v>
      </c>
      <c r="C10" s="14">
        <f t="shared" si="1"/>
        <v>6</v>
      </c>
      <c r="D10" s="15">
        <v>2122.3863636363635</v>
      </c>
      <c r="E10" s="15">
        <v>0.99970727272727278</v>
      </c>
      <c r="F10" s="15">
        <v>1.8078636363636362</v>
      </c>
      <c r="G10" s="15">
        <v>530.7409090909091</v>
      </c>
      <c r="H10" s="15">
        <v>3.4840227272727273</v>
      </c>
      <c r="I10" s="15">
        <v>9.8285909090909094</v>
      </c>
      <c r="J10" s="15">
        <v>107.10590909090909</v>
      </c>
    </row>
    <row r="11" spans="1:10">
      <c r="A11" s="13">
        <v>36708</v>
      </c>
      <c r="B11" s="14">
        <f t="shared" si="0"/>
        <v>2000</v>
      </c>
      <c r="C11" s="14">
        <f t="shared" si="1"/>
        <v>7</v>
      </c>
      <c r="D11" s="15">
        <v>2162.3260869565215</v>
      </c>
      <c r="E11" s="15">
        <v>0.99970086956521742</v>
      </c>
      <c r="F11" s="15">
        <v>1.7964782608695651</v>
      </c>
      <c r="G11" s="15">
        <v>542.84347826086946</v>
      </c>
      <c r="H11" s="15">
        <v>3.479043478260869</v>
      </c>
      <c r="I11" s="15">
        <v>9.4186956521739127</v>
      </c>
      <c r="J11" s="15">
        <v>108.22304347826088</v>
      </c>
    </row>
    <row r="12" spans="1:10">
      <c r="A12" s="13">
        <v>36739</v>
      </c>
      <c r="B12" s="14">
        <f t="shared" si="0"/>
        <v>2000</v>
      </c>
      <c r="C12" s="14">
        <f t="shared" si="1"/>
        <v>8</v>
      </c>
      <c r="D12" s="15">
        <v>2188.3956521739133</v>
      </c>
      <c r="E12" s="15">
        <v>0.99972043478260875</v>
      </c>
      <c r="F12" s="15">
        <v>1.8083478260869568</v>
      </c>
      <c r="G12" s="15">
        <v>550.30217391304348</v>
      </c>
      <c r="H12" s="15">
        <v>3.4768347826086954</v>
      </c>
      <c r="I12" s="15">
        <v>9.2591304347826107</v>
      </c>
      <c r="J12" s="15">
        <v>111.16695652173912</v>
      </c>
    </row>
    <row r="13" spans="1:10">
      <c r="A13" s="13">
        <v>36770</v>
      </c>
      <c r="B13" s="14">
        <f t="shared" si="0"/>
        <v>2000</v>
      </c>
      <c r="C13" s="14">
        <f t="shared" si="1"/>
        <v>9</v>
      </c>
      <c r="D13" s="15">
        <v>2213.0714285714284</v>
      </c>
      <c r="E13" s="15">
        <v>0.99967476190476201</v>
      </c>
      <c r="F13" s="15">
        <v>1.8365238095238092</v>
      </c>
      <c r="G13" s="15">
        <v>565.39523809523814</v>
      </c>
      <c r="H13" s="15">
        <v>3.4831476190476187</v>
      </c>
      <c r="I13" s="15">
        <v>9.3519047619047608</v>
      </c>
      <c r="J13" s="15">
        <v>114.21809523809523</v>
      </c>
    </row>
    <row r="14" spans="1:10">
      <c r="A14" s="13">
        <v>36800</v>
      </c>
      <c r="B14" s="14">
        <f t="shared" si="0"/>
        <v>2000</v>
      </c>
      <c r="C14" s="14">
        <f t="shared" si="1"/>
        <v>10</v>
      </c>
      <c r="D14" s="15">
        <v>2169.25</v>
      </c>
      <c r="E14" s="15">
        <v>0.99966363636363653</v>
      </c>
      <c r="F14" s="15">
        <v>1.8783181818181818</v>
      </c>
      <c r="G14" s="15">
        <v>567.82727272727277</v>
      </c>
      <c r="H14" s="15">
        <v>3.4986590909090909</v>
      </c>
      <c r="I14" s="15">
        <v>9.532</v>
      </c>
      <c r="J14" s="15">
        <v>116.05136363636365</v>
      </c>
    </row>
    <row r="15" spans="1:10">
      <c r="A15" s="13">
        <v>36831</v>
      </c>
      <c r="B15" s="14">
        <f t="shared" si="0"/>
        <v>2000</v>
      </c>
      <c r="C15" s="14">
        <f t="shared" si="1"/>
        <v>11</v>
      </c>
      <c r="D15" s="15">
        <v>2134.931818181818</v>
      </c>
      <c r="E15" s="15">
        <v>0.99958818181818176</v>
      </c>
      <c r="F15" s="15">
        <v>1.9481818181818185</v>
      </c>
      <c r="G15" s="15">
        <v>574.6431818181818</v>
      </c>
      <c r="H15" s="15">
        <v>3.5267318181818186</v>
      </c>
      <c r="I15" s="15">
        <v>9.4922727272727254</v>
      </c>
      <c r="J15" s="15">
        <v>116.47590909090906</v>
      </c>
    </row>
    <row r="16" spans="1:10">
      <c r="A16" s="13">
        <v>36861</v>
      </c>
      <c r="B16" s="14">
        <f t="shared" si="0"/>
        <v>2000</v>
      </c>
      <c r="C16" s="14">
        <f t="shared" si="1"/>
        <v>12</v>
      </c>
      <c r="D16" s="15">
        <v>2189.652380952381</v>
      </c>
      <c r="E16" s="15">
        <v>0.99925904761904794</v>
      </c>
      <c r="F16" s="15">
        <v>1.9611428571428571</v>
      </c>
      <c r="G16" s="15">
        <v>574.35</v>
      </c>
      <c r="H16" s="15">
        <v>3.5185000000000004</v>
      </c>
      <c r="I16" s="15">
        <v>9.4758571428571425</v>
      </c>
      <c r="J16" s="15">
        <v>112.6342857142857</v>
      </c>
    </row>
    <row r="17" spans="1:10">
      <c r="A17" s="13">
        <v>36892</v>
      </c>
      <c r="B17" s="14">
        <f t="shared" si="0"/>
        <v>2001</v>
      </c>
      <c r="C17" s="14">
        <f t="shared" si="1"/>
        <v>1</v>
      </c>
      <c r="D17" s="15">
        <v>2240.8478260869565</v>
      </c>
      <c r="E17" s="15">
        <v>0.99965956521739119</v>
      </c>
      <c r="F17" s="15">
        <v>1.954491304347826</v>
      </c>
      <c r="G17" s="15">
        <v>570.2569565217392</v>
      </c>
      <c r="H17" s="15">
        <v>3.522278260869566</v>
      </c>
      <c r="I17" s="15">
        <v>9.7576956521739113</v>
      </c>
      <c r="J17" s="15">
        <v>110.10130434782609</v>
      </c>
    </row>
    <row r="18" spans="1:10">
      <c r="A18" s="13">
        <v>36923</v>
      </c>
      <c r="B18" s="14">
        <f t="shared" si="0"/>
        <v>2001</v>
      </c>
      <c r="C18" s="14">
        <f t="shared" si="1"/>
        <v>2</v>
      </c>
      <c r="D18" s="15">
        <v>2244.75</v>
      </c>
      <c r="E18" s="15">
        <v>0.99978849999999997</v>
      </c>
      <c r="F18" s="15">
        <v>2.0071499999999998</v>
      </c>
      <c r="G18" s="15">
        <v>563.76199999999994</v>
      </c>
      <c r="H18" s="15">
        <v>3.5273000000000003</v>
      </c>
      <c r="I18" s="15">
        <v>9.7007999999999974</v>
      </c>
      <c r="J18" s="15">
        <v>111.80550000000001</v>
      </c>
    </row>
    <row r="19" spans="1:10">
      <c r="A19" s="13">
        <v>36951</v>
      </c>
      <c r="B19" s="14">
        <f t="shared" si="0"/>
        <v>2001</v>
      </c>
      <c r="C19" s="14">
        <f t="shared" si="1"/>
        <v>3</v>
      </c>
      <c r="D19" s="15">
        <v>2281.3545454545451</v>
      </c>
      <c r="E19" s="15">
        <v>0.99970318181818196</v>
      </c>
      <c r="F19" s="15">
        <v>2.0918409090909091</v>
      </c>
      <c r="G19" s="15">
        <v>588.54318181818178</v>
      </c>
      <c r="H19" s="15">
        <v>3.5193318181818181</v>
      </c>
      <c r="I19" s="15">
        <v>9.5810454545454533</v>
      </c>
      <c r="J19" s="15">
        <v>113.93181818181819</v>
      </c>
    </row>
    <row r="20" spans="1:10">
      <c r="A20" s="13">
        <v>36982</v>
      </c>
      <c r="B20" s="14">
        <f t="shared" si="0"/>
        <v>2001</v>
      </c>
      <c r="C20" s="14">
        <f t="shared" si="1"/>
        <v>4</v>
      </c>
      <c r="D20" s="15">
        <v>2323.0952380952381</v>
      </c>
      <c r="E20" s="15">
        <v>0.99948523809523815</v>
      </c>
      <c r="F20" s="15">
        <v>2.1926190476190479</v>
      </c>
      <c r="G20" s="15">
        <v>598.81904761904752</v>
      </c>
      <c r="H20" s="15">
        <v>3.5579904761904761</v>
      </c>
      <c r="I20" s="15">
        <v>9.3238571428571415</v>
      </c>
      <c r="J20" s="15">
        <v>115.5095238095238</v>
      </c>
    </row>
    <row r="21" spans="1:10">
      <c r="A21" s="13">
        <v>37012</v>
      </c>
      <c r="B21" s="14">
        <f t="shared" si="0"/>
        <v>2001</v>
      </c>
      <c r="C21" s="14">
        <f t="shared" si="1"/>
        <v>5</v>
      </c>
      <c r="D21" s="15">
        <v>2343.6160869565215</v>
      </c>
      <c r="E21" s="15">
        <v>0.9996600000000001</v>
      </c>
      <c r="F21" s="15">
        <v>2.2934782608695654</v>
      </c>
      <c r="G21" s="15">
        <v>604.95434782608709</v>
      </c>
      <c r="H21" s="15">
        <v>3.6001086956521742</v>
      </c>
      <c r="I21" s="15">
        <v>9.1409565217391293</v>
      </c>
      <c r="J21" s="15">
        <v>116.81565217391301</v>
      </c>
    </row>
    <row r="22" spans="1:10">
      <c r="A22" s="13">
        <v>37043</v>
      </c>
      <c r="B22" s="14">
        <f t="shared" si="0"/>
        <v>2001</v>
      </c>
      <c r="C22" s="14">
        <f t="shared" si="1"/>
        <v>6</v>
      </c>
      <c r="D22" s="15">
        <v>2301.1714285714284</v>
      </c>
      <c r="E22" s="15">
        <v>0.99972619047619016</v>
      </c>
      <c r="F22" s="15">
        <v>2.3768095238095239</v>
      </c>
      <c r="G22" s="15">
        <v>616.62380952380954</v>
      </c>
      <c r="H22" s="15">
        <v>3.5262380952380958</v>
      </c>
      <c r="I22" s="15">
        <v>9.0746190476190449</v>
      </c>
      <c r="J22" s="15">
        <v>118.95000000000002</v>
      </c>
    </row>
    <row r="23" spans="1:10">
      <c r="A23" s="13">
        <v>37073</v>
      </c>
      <c r="B23" s="14">
        <f t="shared" si="0"/>
        <v>2001</v>
      </c>
      <c r="C23" s="14">
        <f t="shared" si="1"/>
        <v>7</v>
      </c>
      <c r="D23" s="15">
        <v>2303.0045454545452</v>
      </c>
      <c r="E23" s="15">
        <v>0.99938227272727287</v>
      </c>
      <c r="F23" s="15">
        <v>2.469727272727273</v>
      </c>
      <c r="G23" s="15">
        <v>657.1954545454546</v>
      </c>
      <c r="H23" s="15">
        <v>3.5012954545454549</v>
      </c>
      <c r="I23" s="15">
        <v>9.1611363636363663</v>
      </c>
      <c r="J23" s="15">
        <v>118.44772727272722</v>
      </c>
    </row>
    <row r="24" spans="1:10">
      <c r="A24" s="13">
        <v>37104</v>
      </c>
      <c r="B24" s="14">
        <f t="shared" si="0"/>
        <v>2001</v>
      </c>
      <c r="C24" s="14">
        <f t="shared" si="1"/>
        <v>8</v>
      </c>
      <c r="D24" s="15">
        <v>2288.3152173913045</v>
      </c>
      <c r="E24" s="15">
        <v>0.99929695652173922</v>
      </c>
      <c r="F24" s="15">
        <v>2.5116956521739131</v>
      </c>
      <c r="G24" s="15">
        <v>674.3608695652174</v>
      </c>
      <c r="H24" s="15">
        <v>3.4908695652173911</v>
      </c>
      <c r="I24" s="15">
        <v>9.1281304347826069</v>
      </c>
      <c r="J24" s="15">
        <v>114.38999999999999</v>
      </c>
    </row>
    <row r="25" spans="1:10">
      <c r="A25" s="13">
        <v>37135</v>
      </c>
      <c r="B25" s="14">
        <f t="shared" si="0"/>
        <v>2001</v>
      </c>
      <c r="C25" s="14">
        <f t="shared" si="1"/>
        <v>9</v>
      </c>
      <c r="D25" s="15">
        <v>2329.23</v>
      </c>
      <c r="E25" s="15">
        <v>0.99963350000000006</v>
      </c>
      <c r="F25" s="15">
        <v>2.6645500000000002</v>
      </c>
      <c r="G25" s="15">
        <v>682.78</v>
      </c>
      <c r="H25" s="15">
        <v>3.4893500000000008</v>
      </c>
      <c r="I25" s="15">
        <v>9.4145000000000003</v>
      </c>
      <c r="J25" s="15">
        <v>113.55699999999997</v>
      </c>
    </row>
    <row r="26" spans="1:10">
      <c r="A26" s="13">
        <v>37165</v>
      </c>
      <c r="B26" s="14">
        <f t="shared" si="0"/>
        <v>2001</v>
      </c>
      <c r="C26" s="14">
        <f t="shared" si="1"/>
        <v>10</v>
      </c>
      <c r="D26" s="15">
        <v>2316.9608695652173</v>
      </c>
      <c r="E26" s="15">
        <v>0.99947478260869571</v>
      </c>
      <c r="F26" s="15">
        <v>2.7384782608695648</v>
      </c>
      <c r="G26" s="15">
        <v>709.06521739130437</v>
      </c>
      <c r="H26" s="15">
        <v>3.4585108695652171</v>
      </c>
      <c r="I26" s="15">
        <v>9.335456521739129</v>
      </c>
      <c r="J26" s="15">
        <v>114.21000000000002</v>
      </c>
    </row>
    <row r="27" spans="1:10">
      <c r="A27" s="13">
        <v>37196</v>
      </c>
      <c r="B27" s="14">
        <f t="shared" si="0"/>
        <v>2001</v>
      </c>
      <c r="C27" s="14">
        <f t="shared" si="1"/>
        <v>11</v>
      </c>
      <c r="D27" s="15">
        <v>2308.1795454545454</v>
      </c>
      <c r="E27" s="15">
        <v>0.99762499999999998</v>
      </c>
      <c r="F27" s="15">
        <v>2.5426363636363636</v>
      </c>
      <c r="G27" s="15">
        <v>688.86136363636365</v>
      </c>
      <c r="H27" s="15">
        <v>3.4385227272727268</v>
      </c>
      <c r="I27" s="15">
        <v>9.2139772727272735</v>
      </c>
      <c r="J27" s="15">
        <v>116.00772727272729</v>
      </c>
    </row>
    <row r="28" spans="1:10">
      <c r="A28" s="13">
        <v>37226</v>
      </c>
      <c r="B28" s="14">
        <f t="shared" si="0"/>
        <v>2001</v>
      </c>
      <c r="C28" s="14">
        <f t="shared" si="1"/>
        <v>12</v>
      </c>
      <c r="D28" s="15">
        <v>2302.3380952380953</v>
      </c>
      <c r="E28" s="15">
        <v>1.0324571428571425</v>
      </c>
      <c r="F28" s="15">
        <v>2.3588571428571434</v>
      </c>
      <c r="G28" s="15">
        <v>666.41904761904755</v>
      </c>
      <c r="H28" s="15">
        <v>3.4352857142857145</v>
      </c>
      <c r="I28" s="15">
        <v>9.1497619047619025</v>
      </c>
      <c r="J28" s="15">
        <v>116.28761904761909</v>
      </c>
    </row>
    <row r="29" spans="1:10">
      <c r="A29" s="13">
        <v>37257</v>
      </c>
      <c r="B29" s="14">
        <f t="shared" si="0"/>
        <v>2002</v>
      </c>
      <c r="C29" s="14">
        <f t="shared" si="1"/>
        <v>1</v>
      </c>
      <c r="D29" s="15">
        <v>2275.1347826086958</v>
      </c>
      <c r="E29" s="15">
        <v>1.5273913043478262</v>
      </c>
      <c r="F29" s="15">
        <v>2.3755652173913044</v>
      </c>
      <c r="G29" s="15">
        <v>668.11086956521751</v>
      </c>
      <c r="H29" s="15">
        <v>3.459434782608696</v>
      </c>
      <c r="I29" s="15">
        <v>9.1599782608695683</v>
      </c>
      <c r="J29" s="15">
        <v>117.71956521739129</v>
      </c>
    </row>
    <row r="30" spans="1:10">
      <c r="A30" s="13">
        <v>37288</v>
      </c>
      <c r="B30" s="14">
        <f t="shared" si="0"/>
        <v>2002</v>
      </c>
      <c r="C30" s="14">
        <f t="shared" si="1"/>
        <v>2</v>
      </c>
      <c r="D30" s="15">
        <v>2290.1</v>
      </c>
      <c r="E30" s="15">
        <v>1.9959999999999998</v>
      </c>
      <c r="F30" s="15">
        <v>2.4200999999999993</v>
      </c>
      <c r="G30" s="15">
        <v>678.29499999999985</v>
      </c>
      <c r="H30" s="15">
        <v>3.4766150000000002</v>
      </c>
      <c r="I30" s="15">
        <v>9.0933650000000021</v>
      </c>
      <c r="J30" s="15">
        <v>118.96650000000002</v>
      </c>
    </row>
    <row r="31" spans="1:10">
      <c r="A31" s="13">
        <v>37316</v>
      </c>
      <c r="B31" s="14">
        <f t="shared" si="0"/>
        <v>2002</v>
      </c>
      <c r="C31" s="14">
        <f t="shared" si="1"/>
        <v>3</v>
      </c>
      <c r="D31" s="15">
        <v>2277.1761904761902</v>
      </c>
      <c r="E31" s="15">
        <v>2.4519047619047609</v>
      </c>
      <c r="F31" s="15">
        <v>2.3433809523809517</v>
      </c>
      <c r="G31" s="15">
        <v>661.60952380952369</v>
      </c>
      <c r="H31" s="15">
        <v>3.4530000000000003</v>
      </c>
      <c r="I31" s="15">
        <v>9.0564285714285724</v>
      </c>
      <c r="J31" s="15">
        <v>117.96857142857141</v>
      </c>
    </row>
    <row r="32" spans="1:10">
      <c r="A32" s="13">
        <v>37347</v>
      </c>
      <c r="B32" s="14">
        <f t="shared" si="0"/>
        <v>2002</v>
      </c>
      <c r="C32" s="14">
        <f t="shared" si="1"/>
        <v>4</v>
      </c>
      <c r="D32" s="15">
        <v>2263.4136363636358</v>
      </c>
      <c r="E32" s="15">
        <v>2.9149999999999991</v>
      </c>
      <c r="F32" s="15">
        <v>2.3192272727272725</v>
      </c>
      <c r="G32" s="15">
        <v>649.9818181818182</v>
      </c>
      <c r="H32" s="15">
        <v>3.4374772727272727</v>
      </c>
      <c r="I32" s="15">
        <v>9.1665090909090914</v>
      </c>
      <c r="J32" s="15">
        <v>116.88272727272725</v>
      </c>
    </row>
    <row r="33" spans="1:10">
      <c r="A33" s="13">
        <v>37377</v>
      </c>
      <c r="B33" s="14">
        <f t="shared" si="0"/>
        <v>2002</v>
      </c>
      <c r="C33" s="14">
        <f t="shared" si="1"/>
        <v>5</v>
      </c>
      <c r="D33" s="15">
        <v>2310.9391304347823</v>
      </c>
      <c r="E33" s="15">
        <v>3.3004347826086957</v>
      </c>
      <c r="F33" s="15">
        <v>2.4769130434782611</v>
      </c>
      <c r="G33" s="15">
        <v>653.95217391304345</v>
      </c>
      <c r="H33" s="15">
        <v>3.4506217391304346</v>
      </c>
      <c r="I33" s="15">
        <v>9.5149130434782609</v>
      </c>
      <c r="J33" s="15">
        <v>113.37217391304345</v>
      </c>
    </row>
    <row r="34" spans="1:10">
      <c r="A34" s="13">
        <v>37408</v>
      </c>
      <c r="B34" s="14">
        <f t="shared" si="0"/>
        <v>2002</v>
      </c>
      <c r="C34" s="14">
        <f t="shared" si="1"/>
        <v>6</v>
      </c>
      <c r="D34" s="15">
        <v>2365.29</v>
      </c>
      <c r="E34" s="15">
        <v>3.6175000000000006</v>
      </c>
      <c r="F34" s="15">
        <v>2.7176000000000005</v>
      </c>
      <c r="G34" s="15">
        <v>675.74499999999989</v>
      </c>
      <c r="H34" s="15">
        <v>3.48089</v>
      </c>
      <c r="I34" s="15">
        <v>9.7679000000000009</v>
      </c>
      <c r="J34" s="15">
        <v>109.65050000000001</v>
      </c>
    </row>
    <row r="35" spans="1:10">
      <c r="A35" s="13">
        <v>37438</v>
      </c>
      <c r="B35" s="14">
        <f t="shared" si="0"/>
        <v>2002</v>
      </c>
      <c r="C35" s="14">
        <f t="shared" si="1"/>
        <v>7</v>
      </c>
      <c r="D35" s="15">
        <v>2515.4695652173909</v>
      </c>
      <c r="E35" s="15">
        <v>3.6051913043478252</v>
      </c>
      <c r="F35" s="15">
        <v>2.9431739130434789</v>
      </c>
      <c r="G35" s="15">
        <v>696.60434782608706</v>
      </c>
      <c r="H35" s="15">
        <v>3.5335260869565226</v>
      </c>
      <c r="I35" s="15">
        <v>9.7795869565217384</v>
      </c>
      <c r="J35" s="15">
        <v>105.95739130434785</v>
      </c>
    </row>
    <row r="36" spans="1:10">
      <c r="A36" s="13">
        <v>37469</v>
      </c>
      <c r="B36" s="14">
        <f t="shared" si="0"/>
        <v>2002</v>
      </c>
      <c r="C36" s="14">
        <f t="shared" si="1"/>
        <v>8</v>
      </c>
      <c r="D36" s="15">
        <v>2650.7363636363634</v>
      </c>
      <c r="E36" s="15">
        <v>3.6163636363636367</v>
      </c>
      <c r="F36" s="15">
        <v>3.0915909090909093</v>
      </c>
      <c r="G36" s="15">
        <v>702.92954545454552</v>
      </c>
      <c r="H36" s="15">
        <v>3.5747999999999993</v>
      </c>
      <c r="I36" s="15">
        <v>9.8370454545454571</v>
      </c>
      <c r="J36" s="15">
        <v>107.39</v>
      </c>
    </row>
    <row r="37" spans="1:10">
      <c r="A37" s="13">
        <v>37500</v>
      </c>
      <c r="B37" s="14">
        <f t="shared" si="0"/>
        <v>2002</v>
      </c>
      <c r="C37" s="14">
        <f t="shared" si="1"/>
        <v>9</v>
      </c>
      <c r="D37" s="15">
        <v>2758.9428571428575</v>
      </c>
      <c r="E37" s="15">
        <v>3.6395238095238098</v>
      </c>
      <c r="F37" s="15">
        <v>3.3451904761904765</v>
      </c>
      <c r="G37" s="15">
        <v>728.57142857142844</v>
      </c>
      <c r="H37" s="15">
        <v>3.6182857142857139</v>
      </c>
      <c r="I37" s="15">
        <v>10.066285714285712</v>
      </c>
      <c r="J37" s="15">
        <v>107.28761904761905</v>
      </c>
    </row>
    <row r="38" spans="1:10">
      <c r="A38" s="13">
        <v>37530</v>
      </c>
      <c r="B38" s="14">
        <f t="shared" si="0"/>
        <v>2002</v>
      </c>
      <c r="C38" s="14">
        <f t="shared" si="1"/>
        <v>10</v>
      </c>
      <c r="D38" s="15">
        <v>2821.3956521739128</v>
      </c>
      <c r="E38" s="15">
        <v>3.6452173913043473</v>
      </c>
      <c r="F38" s="15">
        <v>3.7895217391304343</v>
      </c>
      <c r="G38" s="15">
        <v>741.31739130434778</v>
      </c>
      <c r="H38" s="15">
        <v>3.6134826086956515</v>
      </c>
      <c r="I38" s="15">
        <v>10.088847826086957</v>
      </c>
      <c r="J38" s="15">
        <v>107.53043478260871</v>
      </c>
    </row>
    <row r="39" spans="1:10">
      <c r="A39" s="13">
        <v>37561</v>
      </c>
      <c r="B39" s="14">
        <f t="shared" si="0"/>
        <v>2002</v>
      </c>
      <c r="C39" s="14">
        <f t="shared" si="1"/>
        <v>11</v>
      </c>
      <c r="D39" s="15">
        <v>2730.8142857142861</v>
      </c>
      <c r="E39" s="15">
        <v>3.5228571428571422</v>
      </c>
      <c r="F39" s="15">
        <v>3.5853333333333333</v>
      </c>
      <c r="G39" s="15">
        <v>708.96428571428567</v>
      </c>
      <c r="H39" s="15">
        <v>3.5810238095238085</v>
      </c>
      <c r="I39" s="15">
        <v>10.18842857142857</v>
      </c>
      <c r="J39" s="15">
        <v>105.67523809523809</v>
      </c>
    </row>
    <row r="40" spans="1:10">
      <c r="A40" s="13">
        <v>37591</v>
      </c>
      <c r="B40" s="14">
        <f t="shared" si="0"/>
        <v>2002</v>
      </c>
      <c r="C40" s="14">
        <f t="shared" si="1"/>
        <v>12</v>
      </c>
      <c r="D40" s="15">
        <v>2817.159090909091</v>
      </c>
      <c r="E40" s="15">
        <v>3.475454545454546</v>
      </c>
      <c r="F40" s="15">
        <v>3.623590909090908</v>
      </c>
      <c r="G40" s="15">
        <v>703.90909090909088</v>
      </c>
      <c r="H40" s="15">
        <v>3.5127954545454547</v>
      </c>
      <c r="I40" s="15">
        <v>10.223159090909091</v>
      </c>
      <c r="J40" s="15">
        <v>104.18818181818182</v>
      </c>
    </row>
    <row r="41" spans="1:10">
      <c r="A41" s="13">
        <v>37622</v>
      </c>
      <c r="B41" s="14">
        <f t="shared" si="0"/>
        <v>2003</v>
      </c>
      <c r="C41" s="14">
        <f t="shared" si="1"/>
        <v>1</v>
      </c>
      <c r="D41" s="15">
        <v>2910.1130434782613</v>
      </c>
      <c r="E41" s="15">
        <v>3.2547826086956522</v>
      </c>
      <c r="F41" s="15">
        <v>3.4377826086956524</v>
      </c>
      <c r="G41" s="15">
        <v>722.93913043478256</v>
      </c>
      <c r="H41" s="15">
        <v>3.4929999999999999</v>
      </c>
      <c r="I41" s="15">
        <v>10.623934782608695</v>
      </c>
      <c r="J41" s="15">
        <v>100.85999999999999</v>
      </c>
    </row>
    <row r="42" spans="1:10">
      <c r="A42" s="13">
        <v>37653</v>
      </c>
      <c r="B42" s="14">
        <f t="shared" si="0"/>
        <v>2003</v>
      </c>
      <c r="C42" s="14">
        <f t="shared" si="1"/>
        <v>2</v>
      </c>
      <c r="D42" s="15">
        <v>2950.105</v>
      </c>
      <c r="E42" s="15">
        <v>3.1575000000000006</v>
      </c>
      <c r="F42" s="15">
        <v>3.5905999999999998</v>
      </c>
      <c r="G42" s="15">
        <v>745.96</v>
      </c>
      <c r="H42" s="15">
        <v>3.4835000000000003</v>
      </c>
      <c r="I42" s="15">
        <v>10.930275</v>
      </c>
      <c r="J42" s="15">
        <v>99.867999999999981</v>
      </c>
    </row>
    <row r="43" spans="1:10">
      <c r="A43" s="13">
        <v>37681</v>
      </c>
      <c r="B43" s="14">
        <f t="shared" si="0"/>
        <v>2003</v>
      </c>
      <c r="C43" s="14">
        <f t="shared" si="1"/>
        <v>3</v>
      </c>
      <c r="D43" s="15">
        <v>2958.0666666666666</v>
      </c>
      <c r="E43" s="15">
        <v>3.0583333333333336</v>
      </c>
      <c r="F43" s="15">
        <v>3.4465714285714291</v>
      </c>
      <c r="G43" s="15">
        <v>741.06190476190488</v>
      </c>
      <c r="H43" s="15">
        <v>3.4790666666666668</v>
      </c>
      <c r="I43" s="15">
        <v>10.890357142857145</v>
      </c>
      <c r="J43" s="15">
        <v>99.750952380952384</v>
      </c>
    </row>
    <row r="44" spans="1:10">
      <c r="A44" s="13">
        <v>37712</v>
      </c>
      <c r="B44" s="14">
        <f t="shared" si="0"/>
        <v>2003</v>
      </c>
      <c r="C44" s="14">
        <f t="shared" si="1"/>
        <v>4</v>
      </c>
      <c r="D44" s="15">
        <v>2918.6818181818185</v>
      </c>
      <c r="E44" s="15">
        <v>2.8913636363636361</v>
      </c>
      <c r="F44" s="15">
        <v>3.0979090909090914</v>
      </c>
      <c r="G44" s="15">
        <v>716.31363636363631</v>
      </c>
      <c r="H44" s="15">
        <v>3.4635272727272723</v>
      </c>
      <c r="I44" s="15">
        <v>10.568409090909093</v>
      </c>
      <c r="J44" s="15">
        <v>99.399999999999991</v>
      </c>
    </row>
    <row r="45" spans="1:10">
      <c r="A45" s="13">
        <v>37742</v>
      </c>
      <c r="B45" s="14">
        <f t="shared" si="0"/>
        <v>2003</v>
      </c>
      <c r="C45" s="14">
        <f t="shared" si="1"/>
        <v>5</v>
      </c>
      <c r="D45" s="15">
        <v>2856.0136363636361</v>
      </c>
      <c r="E45" s="15">
        <v>2.8304545454545451</v>
      </c>
      <c r="F45" s="15">
        <v>2.9601363636363631</v>
      </c>
      <c r="G45" s="15">
        <v>704.20909090909095</v>
      </c>
      <c r="H45" s="15">
        <v>3.4807863636363634</v>
      </c>
      <c r="I45" s="15">
        <v>10.254581818181817</v>
      </c>
      <c r="J45" s="15">
        <v>94.372727272727261</v>
      </c>
    </row>
    <row r="46" spans="1:10">
      <c r="A46" s="13">
        <v>37773</v>
      </c>
      <c r="B46" s="14">
        <f t="shared" si="0"/>
        <v>2003</v>
      </c>
      <c r="C46" s="14">
        <f t="shared" si="1"/>
        <v>6</v>
      </c>
      <c r="D46" s="15">
        <v>2823.0380952380956</v>
      </c>
      <c r="E46" s="15">
        <v>2.8069047619047618</v>
      </c>
      <c r="F46" s="15">
        <v>2.8767619047619051</v>
      </c>
      <c r="G46" s="15">
        <v>707.85714285714278</v>
      </c>
      <c r="H46" s="15">
        <v>3.477580952380952</v>
      </c>
      <c r="I46" s="15">
        <v>10.509233333333334</v>
      </c>
      <c r="J46" s="15">
        <v>93.541428571428582</v>
      </c>
    </row>
    <row r="47" spans="1:10">
      <c r="A47" s="13">
        <v>37803</v>
      </c>
      <c r="B47" s="14">
        <f t="shared" si="0"/>
        <v>2003</v>
      </c>
      <c r="C47" s="14">
        <f t="shared" si="1"/>
        <v>7</v>
      </c>
      <c r="D47" s="15">
        <v>2863.3130434782615</v>
      </c>
      <c r="E47" s="15">
        <v>2.7981521739130431</v>
      </c>
      <c r="F47" s="15">
        <v>2.8790869565217387</v>
      </c>
      <c r="G47" s="15">
        <v>701.39347826086964</v>
      </c>
      <c r="H47" s="15">
        <v>3.4712782608695658</v>
      </c>
      <c r="I47" s="15">
        <v>10.458239130434782</v>
      </c>
      <c r="J47" s="15">
        <v>95.636956521739094</v>
      </c>
    </row>
    <row r="48" spans="1:10">
      <c r="A48" s="13">
        <v>37834</v>
      </c>
      <c r="B48" s="14">
        <f t="shared" si="0"/>
        <v>2003</v>
      </c>
      <c r="C48" s="14">
        <f t="shared" si="1"/>
        <v>8</v>
      </c>
      <c r="D48" s="15">
        <v>2863.4428571428571</v>
      </c>
      <c r="E48" s="15">
        <v>2.9205714285714288</v>
      </c>
      <c r="F48" s="15">
        <v>2.9990952380952378</v>
      </c>
      <c r="G48" s="15">
        <v>703.1</v>
      </c>
      <c r="H48" s="15">
        <v>3.4803952380952374</v>
      </c>
      <c r="I48" s="15">
        <v>10.792742857142859</v>
      </c>
      <c r="J48" s="15">
        <v>97.228571428571399</v>
      </c>
    </row>
    <row r="49" spans="1:10">
      <c r="A49" s="13">
        <v>37865</v>
      </c>
      <c r="B49" s="14">
        <f t="shared" si="0"/>
        <v>2003</v>
      </c>
      <c r="C49" s="14">
        <f t="shared" si="1"/>
        <v>9</v>
      </c>
      <c r="D49" s="15">
        <v>2843.7068181818177</v>
      </c>
      <c r="E49" s="15">
        <v>2.9169090909090909</v>
      </c>
      <c r="F49" s="15">
        <v>2.9197500000000001</v>
      </c>
      <c r="G49" s="15">
        <v>672.48863636363637</v>
      </c>
      <c r="H49" s="15">
        <v>3.4807999999999995</v>
      </c>
      <c r="I49" s="15">
        <v>10.920663636363635</v>
      </c>
      <c r="J49" s="15">
        <v>95.819090909090903</v>
      </c>
    </row>
    <row r="50" spans="1:10">
      <c r="A50" s="13">
        <v>37895</v>
      </c>
      <c r="B50" s="14">
        <f t="shared" si="0"/>
        <v>2003</v>
      </c>
      <c r="C50" s="14">
        <f t="shared" si="1"/>
        <v>10</v>
      </c>
      <c r="D50" s="15">
        <v>2874.0065217391302</v>
      </c>
      <c r="E50" s="15">
        <v>2.8519565217391309</v>
      </c>
      <c r="F50" s="15">
        <v>2.8547391304347829</v>
      </c>
      <c r="G50" s="15">
        <v>643.64130434782612</v>
      </c>
      <c r="H50" s="15">
        <v>3.478373913043479</v>
      </c>
      <c r="I50" s="15">
        <v>11.167669565217391</v>
      </c>
      <c r="J50" s="15">
        <v>92.076086956521721</v>
      </c>
    </row>
    <row r="51" spans="1:10">
      <c r="A51" s="13">
        <v>37926</v>
      </c>
      <c r="B51" s="14">
        <f t="shared" si="0"/>
        <v>2003</v>
      </c>
      <c r="C51" s="14">
        <f t="shared" si="1"/>
        <v>11</v>
      </c>
      <c r="D51" s="15">
        <v>2842.6424999999999</v>
      </c>
      <c r="E51" s="15">
        <v>2.8805750000000003</v>
      </c>
      <c r="F51" s="15">
        <v>2.9123500000000004</v>
      </c>
      <c r="G51" s="15">
        <v>624.51999999999987</v>
      </c>
      <c r="H51" s="15">
        <v>3.4775499999999999</v>
      </c>
      <c r="I51" s="15">
        <v>11.140525</v>
      </c>
      <c r="J51" s="15">
        <v>91.870999999999981</v>
      </c>
    </row>
    <row r="52" spans="1:10">
      <c r="A52" s="13">
        <v>37956</v>
      </c>
      <c r="B52" s="14">
        <f t="shared" si="0"/>
        <v>2003</v>
      </c>
      <c r="C52" s="14">
        <f t="shared" si="1"/>
        <v>12</v>
      </c>
      <c r="D52" s="15">
        <v>2801.7499999999991</v>
      </c>
      <c r="E52" s="15">
        <v>2.9548043478260868</v>
      </c>
      <c r="F52" s="15">
        <v>2.9211304347826084</v>
      </c>
      <c r="G52" s="15">
        <v>600.38260869565215</v>
      </c>
      <c r="H52" s="15">
        <v>3.4715565217391311</v>
      </c>
      <c r="I52" s="15">
        <v>11.243373913043476</v>
      </c>
      <c r="J52" s="15">
        <v>88.366956521739127</v>
      </c>
    </row>
    <row r="53" spans="1:10">
      <c r="A53" s="13">
        <v>37987</v>
      </c>
      <c r="B53" s="14">
        <f t="shared" si="0"/>
        <v>2004</v>
      </c>
      <c r="C53" s="14">
        <f t="shared" si="1"/>
        <v>1</v>
      </c>
      <c r="D53" s="15">
        <v>2750.7659090909083</v>
      </c>
      <c r="E53" s="15">
        <v>2.8900909090909086</v>
      </c>
      <c r="F53" s="15">
        <v>2.8516545454545454</v>
      </c>
      <c r="G53" s="15">
        <v>574.06818181818176</v>
      </c>
      <c r="H53" s="15">
        <v>3.4682727272727276</v>
      </c>
      <c r="I53" s="15">
        <v>10.934750000000001</v>
      </c>
      <c r="J53" s="15">
        <v>86.463181818181809</v>
      </c>
    </row>
    <row r="54" spans="1:10">
      <c r="A54" s="13">
        <v>38018</v>
      </c>
      <c r="B54" s="14">
        <f t="shared" si="0"/>
        <v>2004</v>
      </c>
      <c r="C54" s="14">
        <f t="shared" si="1"/>
        <v>2</v>
      </c>
      <c r="D54" s="15">
        <v>2714.2375000000002</v>
      </c>
      <c r="E54" s="15">
        <v>2.9239150000000005</v>
      </c>
      <c r="F54" s="15">
        <v>2.9279999999999999</v>
      </c>
      <c r="G54" s="15">
        <v>583.65250000000003</v>
      </c>
      <c r="H54" s="15">
        <v>3.4825749999999998</v>
      </c>
      <c r="I54" s="15">
        <v>11.036185</v>
      </c>
      <c r="J54" s="15">
        <v>86.347500000000011</v>
      </c>
    </row>
    <row r="55" spans="1:10">
      <c r="A55" s="13">
        <v>38047</v>
      </c>
      <c r="B55" s="14">
        <f t="shared" si="0"/>
        <v>2004</v>
      </c>
      <c r="C55" s="14">
        <f t="shared" si="1"/>
        <v>3</v>
      </c>
      <c r="D55" s="15">
        <v>2670.3347826086956</v>
      </c>
      <c r="E55" s="15">
        <v>2.8949565217391307</v>
      </c>
      <c r="F55" s="15">
        <v>2.9025652173913037</v>
      </c>
      <c r="G55" s="15">
        <v>605.07826086956527</v>
      </c>
      <c r="H55" s="15">
        <v>3.4643217391304346</v>
      </c>
      <c r="I55" s="15">
        <v>11.011021739130438</v>
      </c>
      <c r="J55" s="15">
        <v>88.45782608695653</v>
      </c>
    </row>
    <row r="56" spans="1:10">
      <c r="A56" s="13">
        <v>38078</v>
      </c>
      <c r="B56" s="14">
        <f t="shared" si="0"/>
        <v>2004</v>
      </c>
      <c r="C56" s="14">
        <f t="shared" si="1"/>
        <v>4</v>
      </c>
      <c r="D56" s="15">
        <v>2640.2136363636364</v>
      </c>
      <c r="E56" s="15">
        <v>2.8314545454545454</v>
      </c>
      <c r="F56" s="15">
        <v>2.9045909090909086</v>
      </c>
      <c r="G56" s="15">
        <v>607.7045454545455</v>
      </c>
      <c r="H56" s="15">
        <v>3.4691136363636357</v>
      </c>
      <c r="I56" s="15">
        <v>11.267694363636362</v>
      </c>
      <c r="J56" s="15">
        <v>89.799090909090921</v>
      </c>
    </row>
    <row r="57" spans="1:10">
      <c r="A57" s="13">
        <v>38108</v>
      </c>
      <c r="B57" s="14">
        <f t="shared" si="0"/>
        <v>2004</v>
      </c>
      <c r="C57" s="14">
        <f t="shared" si="1"/>
        <v>5</v>
      </c>
      <c r="D57" s="15">
        <v>2726.75</v>
      </c>
      <c r="E57" s="15">
        <v>2.9101190476190482</v>
      </c>
      <c r="F57" s="15">
        <v>3.1040952380952378</v>
      </c>
      <c r="G57" s="15">
        <v>636.74523809523805</v>
      </c>
      <c r="H57" s="15">
        <v>3.4865952380952376</v>
      </c>
      <c r="I57" s="15">
        <v>11.50852380952381</v>
      </c>
      <c r="J57" s="15">
        <v>90.472857142857151</v>
      </c>
    </row>
    <row r="58" spans="1:10">
      <c r="A58" s="13">
        <v>38139</v>
      </c>
      <c r="B58" s="14">
        <f t="shared" si="0"/>
        <v>2004</v>
      </c>
      <c r="C58" s="14">
        <f t="shared" si="1"/>
        <v>6</v>
      </c>
      <c r="D58" s="15">
        <v>2713.4068181818179</v>
      </c>
      <c r="E58" s="15">
        <v>2.9587727272727276</v>
      </c>
      <c r="F58" s="15">
        <v>3.1255818181818182</v>
      </c>
      <c r="G58" s="15">
        <v>642.20681818181811</v>
      </c>
      <c r="H58" s="15">
        <v>3.4755909090909087</v>
      </c>
      <c r="I58" s="15">
        <v>11.385477272727274</v>
      </c>
      <c r="J58" s="15">
        <v>89.155000000000001</v>
      </c>
    </row>
    <row r="59" spans="1:10">
      <c r="A59" s="13">
        <v>38169</v>
      </c>
      <c r="B59" s="14">
        <f t="shared" si="0"/>
        <v>2004</v>
      </c>
      <c r="C59" s="14">
        <f t="shared" si="1"/>
        <v>7</v>
      </c>
      <c r="D59" s="15">
        <v>2647.3977272727275</v>
      </c>
      <c r="E59" s="15">
        <v>2.9536818181818187</v>
      </c>
      <c r="F59" s="15">
        <v>3.0374318181818181</v>
      </c>
      <c r="G59" s="15">
        <v>632.49772727272727</v>
      </c>
      <c r="H59" s="15">
        <v>3.4375181818181826</v>
      </c>
      <c r="I59" s="15">
        <v>11.454613636363637</v>
      </c>
      <c r="J59" s="15">
        <v>88.336363636363629</v>
      </c>
    </row>
    <row r="60" spans="1:10">
      <c r="A60" s="13">
        <v>38200</v>
      </c>
      <c r="B60" s="14">
        <f t="shared" si="0"/>
        <v>2004</v>
      </c>
      <c r="C60" s="14">
        <f t="shared" si="1"/>
        <v>8</v>
      </c>
      <c r="D60" s="15">
        <v>2592.9068181818179</v>
      </c>
      <c r="E60" s="15">
        <v>3.0062272727272727</v>
      </c>
      <c r="F60" s="15">
        <v>2.9994045454545457</v>
      </c>
      <c r="G60" s="15">
        <v>634.90909090909088</v>
      </c>
      <c r="H60" s="15">
        <v>3.3927954545454551</v>
      </c>
      <c r="I60" s="15">
        <v>11.384659090909091</v>
      </c>
      <c r="J60" s="15">
        <v>88.875909090909104</v>
      </c>
    </row>
    <row r="61" spans="1:10">
      <c r="A61" s="13">
        <v>38231</v>
      </c>
      <c r="B61" s="14">
        <f t="shared" si="0"/>
        <v>2004</v>
      </c>
      <c r="C61" s="14">
        <f t="shared" si="1"/>
        <v>9</v>
      </c>
      <c r="D61" s="15">
        <v>2556.1954545454541</v>
      </c>
      <c r="E61" s="15">
        <v>2.9928636363636367</v>
      </c>
      <c r="F61" s="15">
        <v>2.889886363636363</v>
      </c>
      <c r="G61" s="15">
        <v>614.86363636363637</v>
      </c>
      <c r="H61" s="15">
        <v>3.3567818181818181</v>
      </c>
      <c r="I61" s="15">
        <v>11.48075</v>
      </c>
      <c r="J61" s="15">
        <v>88.655454545454532</v>
      </c>
    </row>
    <row r="62" spans="1:10">
      <c r="A62" s="13">
        <v>38261</v>
      </c>
      <c r="B62" s="14">
        <f t="shared" si="0"/>
        <v>2004</v>
      </c>
      <c r="C62" s="14">
        <f t="shared" si="1"/>
        <v>10</v>
      </c>
      <c r="D62" s="15">
        <v>2573.042857142857</v>
      </c>
      <c r="E62" s="15">
        <v>2.9684285714285714</v>
      </c>
      <c r="F62" s="15">
        <v>2.8506071428571436</v>
      </c>
      <c r="G62" s="15">
        <v>606.60714285714289</v>
      </c>
      <c r="H62" s="15">
        <v>3.3217619047619049</v>
      </c>
      <c r="I62" s="15">
        <v>11.390595238095241</v>
      </c>
      <c r="J62" s="15">
        <v>86.878095238095227</v>
      </c>
    </row>
    <row r="63" spans="1:10">
      <c r="A63" s="13">
        <v>38292</v>
      </c>
      <c r="B63" s="14">
        <f t="shared" si="0"/>
        <v>2004</v>
      </c>
      <c r="C63" s="14">
        <f t="shared" si="1"/>
        <v>11</v>
      </c>
      <c r="D63" s="15">
        <v>2525.1136363636365</v>
      </c>
      <c r="E63" s="15">
        <v>2.9532045454545441</v>
      </c>
      <c r="F63" s="15">
        <v>2.7888636363636365</v>
      </c>
      <c r="G63" s="15">
        <v>595.89090909090908</v>
      </c>
      <c r="H63" s="15">
        <v>3.3092272727272727</v>
      </c>
      <c r="I63" s="15">
        <v>11.361227272727271</v>
      </c>
      <c r="J63" s="15">
        <v>83.598181818181828</v>
      </c>
    </row>
    <row r="64" spans="1:10">
      <c r="A64" s="13">
        <v>38322</v>
      </c>
      <c r="B64" s="14">
        <f t="shared" si="0"/>
        <v>2004</v>
      </c>
      <c r="C64" s="14">
        <f t="shared" si="1"/>
        <v>12</v>
      </c>
      <c r="D64" s="15">
        <v>2400.8608695652174</v>
      </c>
      <c r="E64" s="15">
        <v>2.9686086956521742</v>
      </c>
      <c r="F64" s="15">
        <v>2.7147673913043473</v>
      </c>
      <c r="G64" s="15">
        <v>573.35652173913036</v>
      </c>
      <c r="H64" s="15">
        <v>3.2813478260869569</v>
      </c>
      <c r="I64" s="15">
        <v>11.191539130434785</v>
      </c>
      <c r="J64" s="15">
        <v>81.569130434782608</v>
      </c>
    </row>
    <row r="65" spans="1:10">
      <c r="A65" s="13">
        <v>38353</v>
      </c>
      <c r="B65" s="14">
        <f t="shared" si="0"/>
        <v>2005</v>
      </c>
      <c r="C65" s="14">
        <f t="shared" si="1"/>
        <v>1</v>
      </c>
      <c r="D65" s="15">
        <v>2362.9166666666665</v>
      </c>
      <c r="E65" s="15">
        <v>2.942738095238095</v>
      </c>
      <c r="F65" s="15">
        <v>2.6922952380952379</v>
      </c>
      <c r="G65" s="15">
        <v>575.88571428571436</v>
      </c>
      <c r="H65" s="15">
        <v>3.2678190476190476</v>
      </c>
      <c r="I65" s="15">
        <v>11.255976190476192</v>
      </c>
      <c r="J65" s="15">
        <v>83.111904761904754</v>
      </c>
    </row>
    <row r="66" spans="1:10">
      <c r="A66" s="13">
        <v>38384</v>
      </c>
      <c r="B66" s="14">
        <f t="shared" si="0"/>
        <v>2005</v>
      </c>
      <c r="C66" s="14">
        <f t="shared" si="1"/>
        <v>2</v>
      </c>
      <c r="D66" s="15">
        <v>2336.4049999999997</v>
      </c>
      <c r="E66" s="15">
        <v>2.9157600000000001</v>
      </c>
      <c r="F66" s="15">
        <v>2.5983800000000001</v>
      </c>
      <c r="G66" s="15">
        <v>572.81000000000017</v>
      </c>
      <c r="H66" s="15">
        <v>3.2580999999999998</v>
      </c>
      <c r="I66" s="15">
        <v>11.130224999999999</v>
      </c>
      <c r="J66" s="15">
        <v>83.723500000000016</v>
      </c>
    </row>
    <row r="67" spans="1:10">
      <c r="A67" s="13">
        <v>38412</v>
      </c>
      <c r="B67" s="14">
        <f t="shared" si="0"/>
        <v>2005</v>
      </c>
      <c r="C67" s="14">
        <f t="shared" si="1"/>
        <v>3</v>
      </c>
      <c r="D67" s="15">
        <v>2359.1960869565214</v>
      </c>
      <c r="E67" s="15">
        <v>2.9231608695652178</v>
      </c>
      <c r="F67" s="15">
        <v>2.7082217391304355</v>
      </c>
      <c r="G67" s="15">
        <v>587.43478260869563</v>
      </c>
      <c r="H67" s="15">
        <v>3.258413043478261</v>
      </c>
      <c r="I67" s="15">
        <v>11.157513043478263</v>
      </c>
      <c r="J67" s="15">
        <v>82.892608695652171</v>
      </c>
    </row>
    <row r="68" spans="1:10">
      <c r="A68" s="13">
        <v>38443</v>
      </c>
      <c r="B68" s="14">
        <f t="shared" si="0"/>
        <v>2005</v>
      </c>
      <c r="C68" s="14">
        <f t="shared" si="1"/>
        <v>4</v>
      </c>
      <c r="D68" s="15">
        <v>2348.6285714285714</v>
      </c>
      <c r="E68" s="15">
        <v>2.8987619047619044</v>
      </c>
      <c r="F68" s="15">
        <v>2.5753285714285719</v>
      </c>
      <c r="G68" s="15">
        <v>580.29047619047617</v>
      </c>
      <c r="H68" s="15">
        <v>3.2574047619047621</v>
      </c>
      <c r="I68" s="15">
        <v>11.111995238095236</v>
      </c>
      <c r="J68" s="15">
        <v>84.267142857142858</v>
      </c>
    </row>
    <row r="69" spans="1:10">
      <c r="A69" s="13">
        <v>38473</v>
      </c>
      <c r="B69" s="14">
        <f t="shared" ref="B69:B132" si="2">+YEAR(A69)</f>
        <v>2005</v>
      </c>
      <c r="C69" s="14">
        <f t="shared" ref="C69:C132" si="3">+MONTH(A69)</f>
        <v>5</v>
      </c>
      <c r="D69" s="15">
        <v>2337.2004545454542</v>
      </c>
      <c r="E69" s="15">
        <v>2.8882272727272724</v>
      </c>
      <c r="F69" s="15">
        <v>2.4458863636363635</v>
      </c>
      <c r="G69" s="15">
        <v>578.42727272727257</v>
      </c>
      <c r="H69" s="15">
        <v>3.2543590909090909</v>
      </c>
      <c r="I69" s="15">
        <v>10.960272727272731</v>
      </c>
      <c r="J69" s="15">
        <v>85.664090909090902</v>
      </c>
    </row>
    <row r="70" spans="1:10">
      <c r="A70" s="13">
        <v>38504</v>
      </c>
      <c r="B70" s="14">
        <f t="shared" si="2"/>
        <v>2005</v>
      </c>
      <c r="C70" s="14">
        <f t="shared" si="3"/>
        <v>6</v>
      </c>
      <c r="D70" s="15">
        <v>2330</v>
      </c>
      <c r="E70" s="15">
        <v>2.8812499999999996</v>
      </c>
      <c r="F70" s="15">
        <v>2.4111090909090906</v>
      </c>
      <c r="G70" s="15">
        <v>584.87272727272727</v>
      </c>
      <c r="H70" s="15">
        <v>3.2522500000000005</v>
      </c>
      <c r="I70" s="15">
        <v>10.810477272727274</v>
      </c>
      <c r="J70" s="15">
        <v>88.442272727272723</v>
      </c>
    </row>
    <row r="71" spans="1:10">
      <c r="A71" s="13">
        <v>38534</v>
      </c>
      <c r="B71" s="14">
        <f t="shared" si="2"/>
        <v>2005</v>
      </c>
      <c r="C71" s="14">
        <f t="shared" si="3"/>
        <v>7</v>
      </c>
      <c r="D71" s="15">
        <v>2321.4428571428571</v>
      </c>
      <c r="E71" s="15">
        <v>2.8673809523809521</v>
      </c>
      <c r="F71" s="15">
        <v>2.3736428571428569</v>
      </c>
      <c r="G71" s="15">
        <v>574.59999999999991</v>
      </c>
      <c r="H71" s="15">
        <v>3.2516666666666674</v>
      </c>
      <c r="I71" s="15">
        <v>10.676514285714287</v>
      </c>
      <c r="J71" s="15">
        <v>89.696666666666644</v>
      </c>
    </row>
    <row r="72" spans="1:10">
      <c r="A72" s="13">
        <v>38565</v>
      </c>
      <c r="B72" s="14">
        <f t="shared" si="2"/>
        <v>2005</v>
      </c>
      <c r="C72" s="14">
        <f t="shared" si="3"/>
        <v>8</v>
      </c>
      <c r="D72" s="15">
        <v>2304.6239130434783</v>
      </c>
      <c r="E72" s="15">
        <v>2.8862608695652168</v>
      </c>
      <c r="F72" s="15">
        <v>2.3598978260869563</v>
      </c>
      <c r="G72" s="15">
        <v>545.15</v>
      </c>
      <c r="H72" s="15">
        <v>3.2574130434782602</v>
      </c>
      <c r="I72" s="15">
        <v>10.688939130434784</v>
      </c>
      <c r="J72" s="15">
        <v>87.940869565217383</v>
      </c>
    </row>
    <row r="73" spans="1:10">
      <c r="A73" s="13">
        <v>38596</v>
      </c>
      <c r="B73" s="14">
        <f t="shared" si="2"/>
        <v>2005</v>
      </c>
      <c r="C73" s="14">
        <f t="shared" si="3"/>
        <v>9</v>
      </c>
      <c r="D73" s="15">
        <v>2292.75</v>
      </c>
      <c r="E73" s="15">
        <v>2.9099999999999997</v>
      </c>
      <c r="F73" s="15">
        <v>2.2914272727272724</v>
      </c>
      <c r="G73" s="15">
        <v>535.5886363636364</v>
      </c>
      <c r="H73" s="15">
        <v>3.3057045454545446</v>
      </c>
      <c r="I73" s="15">
        <v>10.779068181818182</v>
      </c>
      <c r="J73" s="15">
        <v>87.999090909090896</v>
      </c>
    </row>
    <row r="74" spans="1:10">
      <c r="A74" s="13">
        <v>38626</v>
      </c>
      <c r="B74" s="14">
        <f t="shared" si="2"/>
        <v>2005</v>
      </c>
      <c r="C74" s="14">
        <f t="shared" si="3"/>
        <v>10</v>
      </c>
      <c r="D74" s="15">
        <v>2291.5238095238096</v>
      </c>
      <c r="E74" s="15">
        <v>2.9649999999999999</v>
      </c>
      <c r="F74" s="15">
        <v>2.2553666666666672</v>
      </c>
      <c r="G74" s="15">
        <v>535.98809523809518</v>
      </c>
      <c r="H74" s="15">
        <v>3.3798333333333326</v>
      </c>
      <c r="I74" s="15">
        <v>10.834433333333333</v>
      </c>
      <c r="J74" s="15">
        <v>89.721904761904753</v>
      </c>
    </row>
    <row r="75" spans="1:10">
      <c r="A75" s="13">
        <v>38657</v>
      </c>
      <c r="B75" s="14">
        <f t="shared" si="2"/>
        <v>2005</v>
      </c>
      <c r="C75" s="14">
        <f t="shared" si="3"/>
        <v>11</v>
      </c>
      <c r="D75" s="15">
        <v>2279.5454545454545</v>
      </c>
      <c r="E75" s="15">
        <v>2.962718181818182</v>
      </c>
      <c r="F75" s="15">
        <v>2.2087045454545451</v>
      </c>
      <c r="G75" s="15">
        <v>528.94090909090892</v>
      </c>
      <c r="H75" s="15">
        <v>3.3760681818181824</v>
      </c>
      <c r="I75" s="15">
        <v>10.660299999999999</v>
      </c>
      <c r="J75" s="15">
        <v>91.492727272727265</v>
      </c>
    </row>
    <row r="76" spans="1:10">
      <c r="A76" s="13">
        <v>38687</v>
      </c>
      <c r="B76" s="14">
        <f t="shared" si="2"/>
        <v>2005</v>
      </c>
      <c r="C76" s="14">
        <f t="shared" si="3"/>
        <v>12</v>
      </c>
      <c r="D76" s="15">
        <v>2278.9690909090914</v>
      </c>
      <c r="E76" s="15">
        <v>3.0123681818181822</v>
      </c>
      <c r="F76" s="15">
        <v>2.2837818181818181</v>
      </c>
      <c r="G76" s="15">
        <v>513.72727272727252</v>
      </c>
      <c r="H76" s="15">
        <v>3.4208409090909098</v>
      </c>
      <c r="I76" s="15">
        <v>10.626513636363637</v>
      </c>
      <c r="J76" s="15">
        <v>90.912727272727281</v>
      </c>
    </row>
    <row r="77" spans="1:10">
      <c r="A77" s="13">
        <v>38718</v>
      </c>
      <c r="B77" s="14">
        <f t="shared" si="2"/>
        <v>2006</v>
      </c>
      <c r="C77" s="14">
        <f t="shared" si="3"/>
        <v>1</v>
      </c>
      <c r="D77" s="15">
        <v>2271.9709090909096</v>
      </c>
      <c r="E77" s="15">
        <v>3.0461045454545457</v>
      </c>
      <c r="F77" s="15">
        <v>2.2675999999999998</v>
      </c>
      <c r="G77" s="15">
        <v>525.14090909090908</v>
      </c>
      <c r="H77" s="15">
        <v>3.390345454545455</v>
      </c>
      <c r="I77" s="15">
        <v>10.548331818181817</v>
      </c>
      <c r="J77" s="15">
        <v>89.121818181818185</v>
      </c>
    </row>
    <row r="78" spans="1:10">
      <c r="A78" s="13">
        <v>38749</v>
      </c>
      <c r="B78" s="14">
        <f t="shared" si="2"/>
        <v>2006</v>
      </c>
      <c r="C78" s="14">
        <f t="shared" si="3"/>
        <v>2</v>
      </c>
      <c r="D78" s="15">
        <v>2253.87</v>
      </c>
      <c r="E78" s="15">
        <v>3.0685999999999991</v>
      </c>
      <c r="F78" s="15">
        <v>2.1576149999999998</v>
      </c>
      <c r="G78" s="15">
        <v>525.01400000000001</v>
      </c>
      <c r="H78" s="15">
        <v>3.2875249999999987</v>
      </c>
      <c r="I78" s="15">
        <v>10.486909999999998</v>
      </c>
      <c r="J78" s="15">
        <v>90.36699999999999</v>
      </c>
    </row>
    <row r="79" spans="1:10">
      <c r="A79" s="13">
        <v>38777</v>
      </c>
      <c r="B79" s="14">
        <f t="shared" si="2"/>
        <v>2006</v>
      </c>
      <c r="C79" s="14">
        <f t="shared" si="3"/>
        <v>3</v>
      </c>
      <c r="D79" s="15">
        <v>2264.2999999999997</v>
      </c>
      <c r="E79" s="15">
        <v>3.0755999999999992</v>
      </c>
      <c r="F79" s="15">
        <v>2.1512043478260869</v>
      </c>
      <c r="G79" s="15">
        <v>529.17478260869564</v>
      </c>
      <c r="H79" s="15">
        <v>3.3390652173913051</v>
      </c>
      <c r="I79" s="15">
        <v>10.755234782608696</v>
      </c>
      <c r="J79" s="15">
        <v>89.966956521739135</v>
      </c>
    </row>
    <row r="80" spans="1:10">
      <c r="A80" s="13">
        <v>38808</v>
      </c>
      <c r="B80" s="14">
        <f t="shared" si="2"/>
        <v>2006</v>
      </c>
      <c r="C80" s="14">
        <f t="shared" si="3"/>
        <v>4</v>
      </c>
      <c r="D80" s="15">
        <v>2338.6850000000004</v>
      </c>
      <c r="E80" s="15">
        <v>3.0656650000000001</v>
      </c>
      <c r="F80" s="15">
        <v>2.1264550000000004</v>
      </c>
      <c r="G80" s="15">
        <v>516.51599999999996</v>
      </c>
      <c r="H80" s="15">
        <v>3.3283249999999995</v>
      </c>
      <c r="I80" s="15">
        <v>11.04705</v>
      </c>
      <c r="J80" s="15">
        <v>88.47</v>
      </c>
    </row>
    <row r="81" spans="1:10">
      <c r="A81" s="13">
        <v>38838</v>
      </c>
      <c r="B81" s="14">
        <f t="shared" si="2"/>
        <v>2006</v>
      </c>
      <c r="C81" s="14">
        <f t="shared" si="3"/>
        <v>5</v>
      </c>
      <c r="D81" s="15">
        <v>2424.239130434783</v>
      </c>
      <c r="E81" s="15">
        <v>3.0553217391304357</v>
      </c>
      <c r="F81" s="15">
        <v>2.175017391304348</v>
      </c>
      <c r="G81" s="15">
        <v>521.32608695652164</v>
      </c>
      <c r="H81" s="15">
        <v>3.2778913043478259</v>
      </c>
      <c r="I81" s="15">
        <v>11.095000000000001</v>
      </c>
      <c r="J81" s="15">
        <v>84.874782608695654</v>
      </c>
    </row>
    <row r="82" spans="1:10">
      <c r="A82" s="13">
        <v>38869</v>
      </c>
      <c r="B82" s="14">
        <f t="shared" si="2"/>
        <v>2006</v>
      </c>
      <c r="C82" s="14">
        <f t="shared" si="3"/>
        <v>6</v>
      </c>
      <c r="D82" s="15">
        <v>2550.7909090909093</v>
      </c>
      <c r="E82" s="15">
        <v>3.0798318181818178</v>
      </c>
      <c r="F82" s="15">
        <v>2.2450954545454547</v>
      </c>
      <c r="G82" s="15">
        <v>543.38545454545454</v>
      </c>
      <c r="H82" s="15">
        <v>3.2624999999999997</v>
      </c>
      <c r="I82" s="15">
        <v>11.388704545454546</v>
      </c>
      <c r="J82" s="15">
        <v>85.765909090909091</v>
      </c>
    </row>
    <row r="83" spans="1:10">
      <c r="A83" s="13">
        <v>38899</v>
      </c>
      <c r="B83" s="14">
        <f t="shared" si="2"/>
        <v>2006</v>
      </c>
      <c r="C83" s="14">
        <f t="shared" si="3"/>
        <v>7</v>
      </c>
      <c r="D83" s="15">
        <v>2507.9714285714285</v>
      </c>
      <c r="E83" s="15">
        <v>3.0799285714285722</v>
      </c>
      <c r="F83" s="15">
        <v>2.1889142857142856</v>
      </c>
      <c r="G83" s="15">
        <v>540.45714285714291</v>
      </c>
      <c r="H83" s="15">
        <v>3.2428809523809528</v>
      </c>
      <c r="I83" s="15">
        <v>10.977180952380953</v>
      </c>
      <c r="J83" s="15">
        <v>85.859047619047629</v>
      </c>
    </row>
    <row r="84" spans="1:10">
      <c r="A84" s="13">
        <v>38930</v>
      </c>
      <c r="B84" s="14">
        <f t="shared" si="2"/>
        <v>2006</v>
      </c>
      <c r="C84" s="14">
        <f t="shared" si="3"/>
        <v>8</v>
      </c>
      <c r="D84" s="15">
        <v>2386.04347826087</v>
      </c>
      <c r="E84" s="15">
        <v>3.078369565217391</v>
      </c>
      <c r="F84" s="15">
        <v>2.1550434782608696</v>
      </c>
      <c r="G84" s="15">
        <v>538.45652173913049</v>
      </c>
      <c r="H84" s="15">
        <v>3.2342608695652157</v>
      </c>
      <c r="I84" s="15">
        <v>10.870830434782608</v>
      </c>
      <c r="J84" s="15">
        <v>85.045217391304334</v>
      </c>
    </row>
    <row r="85" spans="1:10">
      <c r="A85" s="13">
        <v>38961</v>
      </c>
      <c r="B85" s="14">
        <f t="shared" si="2"/>
        <v>2006</v>
      </c>
      <c r="C85" s="14">
        <f t="shared" si="3"/>
        <v>9</v>
      </c>
      <c r="D85" s="15">
        <v>2397.3071428571429</v>
      </c>
      <c r="E85" s="15">
        <v>3.0989714285714278</v>
      </c>
      <c r="F85" s="15">
        <v>2.1661190476190475</v>
      </c>
      <c r="G85" s="15">
        <v>537.78000000000009</v>
      </c>
      <c r="H85" s="15">
        <v>3.247404761904761</v>
      </c>
      <c r="I85" s="15">
        <v>10.976842857142856</v>
      </c>
      <c r="J85" s="15">
        <v>85.572857142857146</v>
      </c>
    </row>
    <row r="86" spans="1:10">
      <c r="A86" s="13">
        <v>38991</v>
      </c>
      <c r="B86" s="14">
        <f t="shared" si="2"/>
        <v>2006</v>
      </c>
      <c r="C86" s="14">
        <f t="shared" si="3"/>
        <v>10</v>
      </c>
      <c r="D86" s="15">
        <v>2357.8272727272724</v>
      </c>
      <c r="E86" s="15">
        <v>3.0964136363636356</v>
      </c>
      <c r="F86" s="15">
        <v>2.1476272727272727</v>
      </c>
      <c r="G86" s="15">
        <v>530.0977272727273</v>
      </c>
      <c r="H86" s="15">
        <v>3.2357954545454537</v>
      </c>
      <c r="I86" s="15">
        <v>10.888704545454546</v>
      </c>
      <c r="J86" s="15">
        <v>86.342727272727259</v>
      </c>
    </row>
    <row r="87" spans="1:10">
      <c r="A87" s="13">
        <v>39022</v>
      </c>
      <c r="B87" s="14">
        <f t="shared" si="2"/>
        <v>2006</v>
      </c>
      <c r="C87" s="14">
        <f t="shared" si="3"/>
        <v>11</v>
      </c>
      <c r="D87" s="15">
        <v>2289.9818181818177</v>
      </c>
      <c r="E87" s="15">
        <v>3.0742090909090907</v>
      </c>
      <c r="F87" s="15">
        <v>2.1558999999999999</v>
      </c>
      <c r="G87" s="15">
        <v>527.28409090909088</v>
      </c>
      <c r="H87" s="15">
        <v>3.2214318181818173</v>
      </c>
      <c r="I87" s="15">
        <v>10.916618181818182</v>
      </c>
      <c r="J87" s="15">
        <v>84.844545454545468</v>
      </c>
    </row>
    <row r="88" spans="1:10">
      <c r="A88" s="13">
        <v>39052</v>
      </c>
      <c r="B88" s="14">
        <f t="shared" si="2"/>
        <v>2006</v>
      </c>
      <c r="C88" s="14">
        <f t="shared" si="3"/>
        <v>12</v>
      </c>
      <c r="D88" s="15">
        <v>2256.8785714285714</v>
      </c>
      <c r="E88" s="15">
        <v>3.0570142857142848</v>
      </c>
      <c r="F88" s="15">
        <v>2.147561904761905</v>
      </c>
      <c r="G88" s="15">
        <v>527.86904761904771</v>
      </c>
      <c r="H88" s="15">
        <v>3.2039095238095237</v>
      </c>
      <c r="I88" s="15">
        <v>10.853523809523809</v>
      </c>
      <c r="J88" s="15">
        <v>83.38333333333334</v>
      </c>
    </row>
    <row r="89" spans="1:10">
      <c r="A89" s="13">
        <v>39083</v>
      </c>
      <c r="B89" s="14">
        <f t="shared" si="2"/>
        <v>2007</v>
      </c>
      <c r="C89" s="14">
        <f t="shared" si="3"/>
        <v>1</v>
      </c>
      <c r="D89" s="15">
        <v>2235.8260869565215</v>
      </c>
      <c r="E89" s="15">
        <v>3.083686956521738</v>
      </c>
      <c r="F89" s="15">
        <v>2.1374</v>
      </c>
      <c r="G89" s="15">
        <v>540.6460869565218</v>
      </c>
      <c r="H89" s="15">
        <v>3.1916130434782604</v>
      </c>
      <c r="I89" s="15">
        <v>10.948239130434784</v>
      </c>
      <c r="J89" s="15">
        <v>84.745217391304337</v>
      </c>
    </row>
    <row r="90" spans="1:10">
      <c r="A90" s="13">
        <v>39114</v>
      </c>
      <c r="B90" s="14">
        <f t="shared" si="2"/>
        <v>2007</v>
      </c>
      <c r="C90" s="14">
        <f t="shared" si="3"/>
        <v>2</v>
      </c>
      <c r="D90" s="15">
        <v>2224.3249999999998</v>
      </c>
      <c r="E90" s="15">
        <v>3.1011899999999999</v>
      </c>
      <c r="F90" s="15">
        <v>2.0955900000000005</v>
      </c>
      <c r="G90" s="15">
        <v>541.96800000000007</v>
      </c>
      <c r="H90" s="15">
        <v>3.1894150000000003</v>
      </c>
      <c r="I90" s="15">
        <v>10.998945000000003</v>
      </c>
      <c r="J90" s="15">
        <v>84.390500000000003</v>
      </c>
    </row>
    <row r="91" spans="1:10">
      <c r="A91" s="13">
        <v>39142</v>
      </c>
      <c r="B91" s="14">
        <f t="shared" si="2"/>
        <v>2007</v>
      </c>
      <c r="C91" s="14">
        <f t="shared" si="3"/>
        <v>3</v>
      </c>
      <c r="D91" s="15">
        <v>2197.3204545454546</v>
      </c>
      <c r="E91" s="15">
        <v>3.099781818181818</v>
      </c>
      <c r="F91" s="15">
        <v>2.0874590909090909</v>
      </c>
      <c r="G91" s="15">
        <v>538.15909090909088</v>
      </c>
      <c r="H91" s="15">
        <v>3.1849090909090907</v>
      </c>
      <c r="I91" s="15">
        <v>11.110409090909091</v>
      </c>
      <c r="J91" s="15">
        <v>83.484090909090909</v>
      </c>
    </row>
    <row r="92" spans="1:10">
      <c r="A92" s="13">
        <v>39173</v>
      </c>
      <c r="B92" s="14">
        <f t="shared" si="2"/>
        <v>2007</v>
      </c>
      <c r="C92" s="14">
        <f t="shared" si="3"/>
        <v>4</v>
      </c>
      <c r="D92" s="15">
        <v>2141.0999999999995</v>
      </c>
      <c r="E92" s="15">
        <v>3.0893142857142855</v>
      </c>
      <c r="F92" s="15">
        <v>2.0307952380952381</v>
      </c>
      <c r="G92" s="15">
        <v>531.39666666666653</v>
      </c>
      <c r="H92" s="15">
        <v>3.1780380952380951</v>
      </c>
      <c r="I92" s="15">
        <v>10.978985714285713</v>
      </c>
      <c r="J92" s="15">
        <v>82.190142857142874</v>
      </c>
    </row>
    <row r="93" spans="1:10">
      <c r="A93" s="13">
        <v>39203</v>
      </c>
      <c r="B93" s="14">
        <f t="shared" si="2"/>
        <v>2007</v>
      </c>
      <c r="C93" s="14">
        <f t="shared" si="3"/>
        <v>5</v>
      </c>
      <c r="D93" s="15">
        <v>1998.4130434782605</v>
      </c>
      <c r="E93" s="15">
        <v>3.0789086956521743</v>
      </c>
      <c r="F93" s="15">
        <v>1.9806521739130434</v>
      </c>
      <c r="G93" s="15">
        <v>521.94782608695652</v>
      </c>
      <c r="H93" s="15">
        <v>3.16724347826087</v>
      </c>
      <c r="I93" s="15">
        <v>10.814639130434783</v>
      </c>
      <c r="J93" s="15">
        <v>82.118913043478244</v>
      </c>
    </row>
    <row r="94" spans="1:10">
      <c r="A94" s="13">
        <v>39234</v>
      </c>
      <c r="B94" s="14">
        <f t="shared" si="2"/>
        <v>2007</v>
      </c>
      <c r="C94" s="14">
        <f t="shared" si="3"/>
        <v>6</v>
      </c>
      <c r="D94" s="15">
        <v>1926.1666666666663</v>
      </c>
      <c r="E94" s="15">
        <v>3.0775428571428569</v>
      </c>
      <c r="F94" s="15">
        <v>1.9337714285714283</v>
      </c>
      <c r="G94" s="15">
        <v>526.61428571428564</v>
      </c>
      <c r="H94" s="15">
        <v>3.1691190476190476</v>
      </c>
      <c r="I94" s="15">
        <v>10.8392</v>
      </c>
      <c r="J94" s="15">
        <v>82.466761904761924</v>
      </c>
    </row>
    <row r="95" spans="1:10">
      <c r="A95" s="13">
        <v>39264</v>
      </c>
      <c r="B95" s="14">
        <f t="shared" si="2"/>
        <v>2007</v>
      </c>
      <c r="C95" s="14">
        <f t="shared" si="3"/>
        <v>7</v>
      </c>
      <c r="D95" s="15">
        <v>1949.9363636363635</v>
      </c>
      <c r="E95" s="15">
        <v>3.1122727272727273</v>
      </c>
      <c r="F95" s="15">
        <v>1.8815909090909089</v>
      </c>
      <c r="G95" s="15">
        <v>519.4636363636364</v>
      </c>
      <c r="H95" s="15">
        <v>3.1605909090909083</v>
      </c>
      <c r="I95" s="15">
        <v>10.813004545454543</v>
      </c>
      <c r="J95" s="15">
        <v>80.808909090909097</v>
      </c>
    </row>
    <row r="96" spans="1:10">
      <c r="A96" s="13">
        <v>39295</v>
      </c>
      <c r="B96" s="14">
        <f t="shared" si="2"/>
        <v>2007</v>
      </c>
      <c r="C96" s="14">
        <f t="shared" si="3"/>
        <v>8</v>
      </c>
      <c r="D96" s="15">
        <v>2065.1434782608699</v>
      </c>
      <c r="E96" s="15">
        <v>3.1514869565217394</v>
      </c>
      <c r="F96" s="15">
        <v>1.9633304347826086</v>
      </c>
      <c r="G96" s="15">
        <v>522.86739130434773</v>
      </c>
      <c r="H96" s="15">
        <v>3.1563173913043481</v>
      </c>
      <c r="I96" s="15">
        <v>11.044282608695653</v>
      </c>
      <c r="J96" s="15">
        <v>80.935173913043485</v>
      </c>
    </row>
    <row r="97" spans="1:10">
      <c r="A97" s="13">
        <v>39326</v>
      </c>
      <c r="B97" s="14">
        <f t="shared" si="2"/>
        <v>2007</v>
      </c>
      <c r="C97" s="14">
        <f t="shared" si="3"/>
        <v>9</v>
      </c>
      <c r="D97" s="15">
        <v>2108.5994999999998</v>
      </c>
      <c r="E97" s="15">
        <v>3.1458300000000001</v>
      </c>
      <c r="F97" s="15">
        <v>1.9011450000000001</v>
      </c>
      <c r="G97" s="15">
        <v>515.49700000000007</v>
      </c>
      <c r="H97" s="15">
        <v>3.1341999999999994</v>
      </c>
      <c r="I97" s="15">
        <v>11.024849999999999</v>
      </c>
      <c r="J97" s="15">
        <v>79.37684999999999</v>
      </c>
    </row>
    <row r="98" spans="1:10">
      <c r="A98" s="13">
        <v>39356</v>
      </c>
      <c r="B98" s="14">
        <f t="shared" si="2"/>
        <v>2007</v>
      </c>
      <c r="C98" s="14">
        <f t="shared" si="3"/>
        <v>10</v>
      </c>
      <c r="D98" s="15">
        <v>1997.806086956522</v>
      </c>
      <c r="E98" s="15">
        <v>3.1571913043478257</v>
      </c>
      <c r="F98" s="15">
        <v>1.797547826086956</v>
      </c>
      <c r="G98" s="15">
        <v>500.05347826086955</v>
      </c>
      <c r="H98" s="15">
        <v>3.0185913043478267</v>
      </c>
      <c r="I98" s="15">
        <v>10.808652173913043</v>
      </c>
      <c r="J98" s="15">
        <v>77.847347826086946</v>
      </c>
    </row>
    <row r="99" spans="1:10">
      <c r="A99" s="13">
        <v>39387</v>
      </c>
      <c r="B99" s="14">
        <f t="shared" si="2"/>
        <v>2007</v>
      </c>
      <c r="C99" s="14">
        <f t="shared" si="3"/>
        <v>11</v>
      </c>
      <c r="D99" s="15">
        <v>2047.2840909090905</v>
      </c>
      <c r="E99" s="15">
        <v>3.1345454545454547</v>
      </c>
      <c r="F99" s="15">
        <v>1.7709363636363633</v>
      </c>
      <c r="G99" s="15">
        <v>506.86181818181831</v>
      </c>
      <c r="H99" s="15">
        <v>2.9984999999999999</v>
      </c>
      <c r="I99" s="15">
        <v>10.884</v>
      </c>
      <c r="J99" s="15">
        <v>75.641227272727264</v>
      </c>
    </row>
    <row r="100" spans="1:10">
      <c r="A100" s="13">
        <v>39417</v>
      </c>
      <c r="B100" s="14">
        <f t="shared" si="2"/>
        <v>2007</v>
      </c>
      <c r="C100" s="14">
        <f t="shared" si="3"/>
        <v>12</v>
      </c>
      <c r="D100" s="15">
        <v>2010.6476190476194</v>
      </c>
      <c r="E100" s="15">
        <v>3.1389761904761904</v>
      </c>
      <c r="F100" s="15">
        <v>1.7859904761904759</v>
      </c>
      <c r="G100" s="15">
        <v>498.42142857142869</v>
      </c>
      <c r="H100" s="15">
        <v>2.9809428571428578</v>
      </c>
      <c r="I100" s="15">
        <v>10.846342857142858</v>
      </c>
      <c r="J100" s="15">
        <v>76.803238095238115</v>
      </c>
    </row>
    <row r="101" spans="1:10">
      <c r="A101" s="13">
        <v>39448</v>
      </c>
      <c r="B101" s="14">
        <f t="shared" si="2"/>
        <v>2008</v>
      </c>
      <c r="C101" s="14">
        <f t="shared" si="3"/>
        <v>1</v>
      </c>
      <c r="D101" s="15">
        <v>1979.4086956521739</v>
      </c>
      <c r="E101" s="15">
        <v>3.1446086956521735</v>
      </c>
      <c r="F101" s="15">
        <v>1.774117391304348</v>
      </c>
      <c r="G101" s="15">
        <v>479.44130434782608</v>
      </c>
      <c r="H101" s="15">
        <v>2.9493347826086955</v>
      </c>
      <c r="I101" s="15">
        <v>10.907660869565218</v>
      </c>
      <c r="J101" s="15">
        <v>75.981695652173897</v>
      </c>
    </row>
    <row r="102" spans="1:10">
      <c r="A102" s="13">
        <v>39479</v>
      </c>
      <c r="B102" s="14">
        <f t="shared" si="2"/>
        <v>2008</v>
      </c>
      <c r="C102" s="14">
        <f t="shared" si="3"/>
        <v>2</v>
      </c>
      <c r="D102" s="15">
        <v>1896.5857142857142</v>
      </c>
      <c r="E102" s="15">
        <v>3.1577619047619043</v>
      </c>
      <c r="F102" s="15">
        <v>1.7281714285714287</v>
      </c>
      <c r="G102" s="15">
        <v>466.4619047619048</v>
      </c>
      <c r="H102" s="15">
        <v>2.9048238095238097</v>
      </c>
      <c r="I102" s="15">
        <v>10.758728571428572</v>
      </c>
      <c r="J102" s="15">
        <v>75.698380952380944</v>
      </c>
    </row>
    <row r="103" spans="1:10">
      <c r="A103" s="13">
        <v>39508</v>
      </c>
      <c r="B103" s="14">
        <f t="shared" si="2"/>
        <v>2008</v>
      </c>
      <c r="C103" s="14">
        <f t="shared" si="3"/>
        <v>3</v>
      </c>
      <c r="D103" s="15">
        <v>1841.8309523809519</v>
      </c>
      <c r="E103" s="15">
        <v>3.1550619047619044</v>
      </c>
      <c r="F103" s="15">
        <v>1.7090904761904764</v>
      </c>
      <c r="G103" s="15">
        <v>442.26428571428568</v>
      </c>
      <c r="H103" s="15">
        <v>2.8075761904761904</v>
      </c>
      <c r="I103" s="15">
        <v>10.731066666666667</v>
      </c>
      <c r="J103" s="15">
        <v>72.467476190476205</v>
      </c>
    </row>
    <row r="104" spans="1:10">
      <c r="A104" s="13">
        <v>39539</v>
      </c>
      <c r="B104" s="14">
        <f t="shared" si="2"/>
        <v>2008</v>
      </c>
      <c r="C104" s="14">
        <f t="shared" si="3"/>
        <v>4</v>
      </c>
      <c r="D104" s="15">
        <v>1791.9949999999999</v>
      </c>
      <c r="E104" s="15">
        <v>3.1654999999999998</v>
      </c>
      <c r="F104" s="15">
        <v>1.6852636363636364</v>
      </c>
      <c r="G104" s="15">
        <v>447.24318181818194</v>
      </c>
      <c r="H104" s="15">
        <v>2.7478499999999997</v>
      </c>
      <c r="I104" s="15">
        <v>10.508245454545456</v>
      </c>
      <c r="J104" s="15">
        <v>72.116545454545445</v>
      </c>
    </row>
    <row r="105" spans="1:10">
      <c r="A105" s="13">
        <v>39569</v>
      </c>
      <c r="B105" s="14">
        <f t="shared" si="2"/>
        <v>2008</v>
      </c>
      <c r="C105" s="14">
        <f t="shared" si="3"/>
        <v>5</v>
      </c>
      <c r="D105" s="15">
        <v>1774.125</v>
      </c>
      <c r="E105" s="15">
        <v>3.1494454545454542</v>
      </c>
      <c r="F105" s="15">
        <v>1.6580772727272726</v>
      </c>
      <c r="G105" s="15">
        <v>470.83181818181822</v>
      </c>
      <c r="H105" s="15">
        <v>2.7989818181818182</v>
      </c>
      <c r="I105" s="15">
        <v>10.431486363636365</v>
      </c>
      <c r="J105" s="15">
        <v>72.86572727272727</v>
      </c>
    </row>
    <row r="106" spans="1:10">
      <c r="A106" s="13">
        <v>39600</v>
      </c>
      <c r="B106" s="14">
        <f t="shared" si="2"/>
        <v>2008</v>
      </c>
      <c r="C106" s="14">
        <f t="shared" si="3"/>
        <v>6</v>
      </c>
      <c r="D106" s="15">
        <v>1732.2785714285715</v>
      </c>
      <c r="E106" s="15">
        <v>3.0439904761904764</v>
      </c>
      <c r="F106" s="15">
        <v>1.6179523809523808</v>
      </c>
      <c r="G106" s="15">
        <v>495.9619047619048</v>
      </c>
      <c r="H106" s="15">
        <v>2.8897095238095241</v>
      </c>
      <c r="I106" s="15">
        <v>10.323852380952379</v>
      </c>
      <c r="J106" s="15">
        <v>73.179999999999993</v>
      </c>
    </row>
    <row r="107" spans="1:10">
      <c r="A107" s="13">
        <v>39630</v>
      </c>
      <c r="B107" s="14">
        <f t="shared" si="2"/>
        <v>2008</v>
      </c>
      <c r="C107" s="14">
        <f t="shared" si="3"/>
        <v>7</v>
      </c>
      <c r="D107" s="15">
        <v>1774.8352173913042</v>
      </c>
      <c r="E107" s="15">
        <v>3.0213173913043478</v>
      </c>
      <c r="F107" s="15">
        <v>1.5904260869565217</v>
      </c>
      <c r="G107" s="15">
        <v>500.36304347826086</v>
      </c>
      <c r="H107" s="15">
        <v>2.843521739130435</v>
      </c>
      <c r="I107" s="15">
        <v>10.200273913043482</v>
      </c>
      <c r="J107" s="15">
        <v>72.545695652173876</v>
      </c>
    </row>
    <row r="108" spans="1:10">
      <c r="A108" s="13">
        <v>39661</v>
      </c>
      <c r="B108" s="14">
        <f t="shared" si="2"/>
        <v>2008</v>
      </c>
      <c r="C108" s="14">
        <f t="shared" si="3"/>
        <v>8</v>
      </c>
      <c r="D108" s="15">
        <v>1847.807619047619</v>
      </c>
      <c r="E108" s="15">
        <v>3.0313428571428567</v>
      </c>
      <c r="F108" s="15">
        <v>1.6119809523809525</v>
      </c>
      <c r="G108" s="15">
        <v>516.55952380952363</v>
      </c>
      <c r="H108" s="15">
        <v>2.8955333333333328</v>
      </c>
      <c r="I108" s="15">
        <v>10.104595238095239</v>
      </c>
      <c r="J108" s="15">
        <v>76.060904761904766</v>
      </c>
    </row>
    <row r="109" spans="1:10">
      <c r="A109" s="13">
        <v>39692</v>
      </c>
      <c r="B109" s="14">
        <f t="shared" si="2"/>
        <v>2008</v>
      </c>
      <c r="C109" s="14">
        <f t="shared" si="3"/>
        <v>9</v>
      </c>
      <c r="D109" s="15">
        <v>2077.2322727272726</v>
      </c>
      <c r="E109" s="15">
        <v>3.0813909090909091</v>
      </c>
      <c r="F109" s="15">
        <v>1.7988954545454547</v>
      </c>
      <c r="G109" s="15">
        <v>533.875</v>
      </c>
      <c r="H109" s="15">
        <v>2.9644272727272734</v>
      </c>
      <c r="I109" s="15">
        <v>10.646345454545454</v>
      </c>
      <c r="J109" s="15">
        <v>78.223090909090914</v>
      </c>
    </row>
    <row r="110" spans="1:10">
      <c r="A110" s="13">
        <v>39722</v>
      </c>
      <c r="B110" s="14">
        <f t="shared" si="2"/>
        <v>2008</v>
      </c>
      <c r="C110" s="14">
        <f t="shared" si="3"/>
        <v>10</v>
      </c>
      <c r="D110" s="15">
        <v>2297.4595652173916</v>
      </c>
      <c r="E110" s="15">
        <v>3.2380434782608698</v>
      </c>
      <c r="F110" s="15">
        <v>2.1805739130434785</v>
      </c>
      <c r="G110" s="15">
        <v>626.054347826087</v>
      </c>
      <c r="H110" s="15">
        <v>3.0579695652173915</v>
      </c>
      <c r="I110" s="15">
        <v>12.671304347826087</v>
      </c>
      <c r="J110" s="15">
        <v>83.111956521739117</v>
      </c>
    </row>
    <row r="111" spans="1:10">
      <c r="A111" s="13">
        <v>39753</v>
      </c>
      <c r="B111" s="14">
        <f t="shared" si="2"/>
        <v>2008</v>
      </c>
      <c r="C111" s="14">
        <f t="shared" si="3"/>
        <v>11</v>
      </c>
      <c r="D111" s="15">
        <v>2324.6624999999999</v>
      </c>
      <c r="E111" s="15">
        <v>3.3249499999999999</v>
      </c>
      <c r="F111" s="15">
        <v>2.2674849999999998</v>
      </c>
      <c r="G111" s="15">
        <v>649.96499999999992</v>
      </c>
      <c r="H111" s="15">
        <v>3.0950500000000001</v>
      </c>
      <c r="I111" s="15">
        <v>13.116555</v>
      </c>
      <c r="J111" s="15">
        <v>86.391449999999992</v>
      </c>
    </row>
    <row r="112" spans="1:10">
      <c r="A112" s="13">
        <v>39783</v>
      </c>
      <c r="B112" s="14">
        <f t="shared" si="2"/>
        <v>2008</v>
      </c>
      <c r="C112" s="14">
        <f t="shared" si="3"/>
        <v>12</v>
      </c>
      <c r="D112" s="15">
        <v>2250.6047826086956</v>
      </c>
      <c r="E112" s="15">
        <v>3.4267956521739129</v>
      </c>
      <c r="F112" s="15">
        <v>2.3975000000000004</v>
      </c>
      <c r="G112" s="15">
        <v>647.61521739130421</v>
      </c>
      <c r="H112" s="15">
        <v>3.1130000000000009</v>
      </c>
      <c r="I112" s="15">
        <v>13.397891304347823</v>
      </c>
      <c r="J112" s="15">
        <v>82.973434782608706</v>
      </c>
    </row>
    <row r="113" spans="1:10">
      <c r="A113" s="13">
        <v>39814</v>
      </c>
      <c r="B113" s="14">
        <f t="shared" si="2"/>
        <v>2009</v>
      </c>
      <c r="C113" s="14">
        <f t="shared" si="3"/>
        <v>1</v>
      </c>
      <c r="D113" s="15">
        <v>2263.420454545455</v>
      </c>
      <c r="E113" s="15">
        <v>3.4607090909090914</v>
      </c>
      <c r="F113" s="15">
        <v>2.3092000000000001</v>
      </c>
      <c r="G113" s="15">
        <v>622.5272727272727</v>
      </c>
      <c r="H113" s="15">
        <v>3.1475454545454542</v>
      </c>
      <c r="I113" s="15">
        <v>13.86925909090909</v>
      </c>
      <c r="J113" s="15">
        <v>83.964500000000001</v>
      </c>
    </row>
    <row r="114" spans="1:10">
      <c r="A114" s="13">
        <v>39845</v>
      </c>
      <c r="B114" s="14">
        <f t="shared" si="2"/>
        <v>2009</v>
      </c>
      <c r="C114" s="14">
        <f t="shared" si="3"/>
        <v>2</v>
      </c>
      <c r="D114" s="15">
        <v>2514.4345000000003</v>
      </c>
      <c r="E114" s="15">
        <v>3.507674999999999</v>
      </c>
      <c r="F114" s="15">
        <v>2.3211500000000003</v>
      </c>
      <c r="G114" s="15">
        <v>605.33249999999998</v>
      </c>
      <c r="H114" s="15">
        <v>3.2351549999999998</v>
      </c>
      <c r="I114" s="15">
        <v>14.624065000000002</v>
      </c>
      <c r="J114" s="15">
        <v>86.540400000000005</v>
      </c>
    </row>
    <row r="115" spans="1:10">
      <c r="A115" s="13">
        <v>39873</v>
      </c>
      <c r="B115" s="14">
        <f t="shared" si="2"/>
        <v>2009</v>
      </c>
      <c r="C115" s="14">
        <f t="shared" si="3"/>
        <v>3</v>
      </c>
      <c r="D115" s="15">
        <v>2471.3559090909093</v>
      </c>
      <c r="E115" s="15">
        <v>3.6541590909090913</v>
      </c>
      <c r="F115" s="15">
        <v>2.3134409090909087</v>
      </c>
      <c r="G115" s="15">
        <v>591.98636363636376</v>
      </c>
      <c r="H115" s="15">
        <v>3.1671000000000005</v>
      </c>
      <c r="I115" s="15">
        <v>14.644863636363636</v>
      </c>
      <c r="J115" s="15">
        <v>86.410636363636343</v>
      </c>
    </row>
    <row r="116" spans="1:10">
      <c r="A116" s="13">
        <v>39904</v>
      </c>
      <c r="B116" s="14">
        <f t="shared" si="2"/>
        <v>2009</v>
      </c>
      <c r="C116" s="14">
        <f t="shared" si="3"/>
        <v>4</v>
      </c>
      <c r="D116" s="15">
        <v>2367.8595454545452</v>
      </c>
      <c r="E116" s="15">
        <v>3.6883272727272729</v>
      </c>
      <c r="F116" s="15">
        <v>2.2031545454545456</v>
      </c>
      <c r="G116" s="15">
        <v>582.43863636363631</v>
      </c>
      <c r="H116" s="15">
        <v>3.0806727272727268</v>
      </c>
      <c r="I116" s="15">
        <v>13.410386363636364</v>
      </c>
      <c r="J116" s="15">
        <v>85.254909090909095</v>
      </c>
    </row>
    <row r="117" spans="1:10">
      <c r="A117" s="13">
        <v>39934</v>
      </c>
      <c r="B117" s="14">
        <f t="shared" si="2"/>
        <v>2009</v>
      </c>
      <c r="C117" s="14">
        <f t="shared" si="3"/>
        <v>5</v>
      </c>
      <c r="D117" s="15">
        <v>2224.59</v>
      </c>
      <c r="E117" s="15">
        <v>3.7229047619047613</v>
      </c>
      <c r="F117" s="15">
        <v>2.0664380952380954</v>
      </c>
      <c r="G117" s="15">
        <v>565.50238095238103</v>
      </c>
      <c r="H117" s="15">
        <v>2.9956952380952377</v>
      </c>
      <c r="I117" s="15">
        <v>13.18869523809524</v>
      </c>
      <c r="J117" s="15">
        <v>82.035428571428582</v>
      </c>
    </row>
    <row r="118" spans="1:10">
      <c r="A118" s="13">
        <v>39965</v>
      </c>
      <c r="B118" s="14">
        <f t="shared" si="2"/>
        <v>2009</v>
      </c>
      <c r="C118" s="14">
        <f t="shared" si="3"/>
        <v>6</v>
      </c>
      <c r="D118" s="15">
        <v>2087.2627272727277</v>
      </c>
      <c r="E118" s="15">
        <v>3.764863636363637</v>
      </c>
      <c r="F118" s="15">
        <v>1.9572363636363632</v>
      </c>
      <c r="G118" s="15">
        <v>550.27272727272737</v>
      </c>
      <c r="H118" s="15">
        <v>2.9897000000000005</v>
      </c>
      <c r="I118" s="15">
        <v>13.33679090909091</v>
      </c>
      <c r="J118" s="15">
        <v>80.116636363636374</v>
      </c>
    </row>
    <row r="119" spans="1:10">
      <c r="A119" s="13">
        <v>39995</v>
      </c>
      <c r="B119" s="14">
        <f t="shared" si="2"/>
        <v>2009</v>
      </c>
      <c r="C119" s="14">
        <f t="shared" si="3"/>
        <v>7</v>
      </c>
      <c r="D119" s="15">
        <v>2042.3195652173915</v>
      </c>
      <c r="E119" s="15">
        <v>3.8060347826086942</v>
      </c>
      <c r="F119" s="15">
        <v>1.9294304347826086</v>
      </c>
      <c r="G119" s="15">
        <v>540.12608695652159</v>
      </c>
      <c r="H119" s="15">
        <v>3.0080173913043478</v>
      </c>
      <c r="I119" s="15">
        <v>13.357508695652175</v>
      </c>
      <c r="J119" s="15">
        <v>79.526347826086948</v>
      </c>
    </row>
    <row r="120" spans="1:10">
      <c r="A120" s="13">
        <v>40026</v>
      </c>
      <c r="B120" s="14">
        <f t="shared" si="2"/>
        <v>2009</v>
      </c>
      <c r="C120" s="14">
        <f t="shared" si="3"/>
        <v>8</v>
      </c>
      <c r="D120" s="15">
        <v>2016.2261904761904</v>
      </c>
      <c r="E120" s="15">
        <v>3.8371333333333335</v>
      </c>
      <c r="F120" s="15">
        <v>1.8442380952380952</v>
      </c>
      <c r="G120" s="15">
        <v>547.20476190476199</v>
      </c>
      <c r="H120" s="15">
        <v>2.9475476190476195</v>
      </c>
      <c r="I120" s="15">
        <v>13.012314285714286</v>
      </c>
      <c r="J120" s="15">
        <v>78.447857142857146</v>
      </c>
    </row>
    <row r="121" spans="1:10">
      <c r="A121" s="13">
        <v>40057</v>
      </c>
      <c r="B121" s="14">
        <f t="shared" si="2"/>
        <v>2009</v>
      </c>
      <c r="C121" s="14">
        <f t="shared" si="3"/>
        <v>9</v>
      </c>
      <c r="D121" s="15">
        <v>1972.8550000000002</v>
      </c>
      <c r="E121" s="15">
        <v>3.8410681818181813</v>
      </c>
      <c r="F121" s="15">
        <v>1.818431818181818</v>
      </c>
      <c r="G121" s="15">
        <v>548.51136363636363</v>
      </c>
      <c r="H121" s="15">
        <v>2.9075227272727275</v>
      </c>
      <c r="I121" s="15">
        <v>13.41519090909091</v>
      </c>
      <c r="J121" s="15">
        <v>77.053090909090898</v>
      </c>
    </row>
    <row r="122" spans="1:10">
      <c r="A122" s="13">
        <v>40087</v>
      </c>
      <c r="B122" s="14">
        <f t="shared" si="2"/>
        <v>2009</v>
      </c>
      <c r="C122" s="14">
        <f t="shared" si="3"/>
        <v>10</v>
      </c>
      <c r="D122" s="15">
        <v>1902.075</v>
      </c>
      <c r="E122" s="15">
        <v>3.8239727272727269</v>
      </c>
      <c r="F122" s="15">
        <v>1.7387045454545456</v>
      </c>
      <c r="G122" s="15">
        <v>544.98409090909092</v>
      </c>
      <c r="H122" s="15">
        <v>2.8704045454545448</v>
      </c>
      <c r="I122" s="15">
        <v>13.220263636363637</v>
      </c>
      <c r="J122" s="15">
        <v>76.010772727272723</v>
      </c>
    </row>
    <row r="123" spans="1:10">
      <c r="A123" s="13">
        <v>40118</v>
      </c>
      <c r="B123" s="14">
        <f t="shared" si="2"/>
        <v>2009</v>
      </c>
      <c r="C123" s="14">
        <f t="shared" si="3"/>
        <v>11</v>
      </c>
      <c r="D123" s="15">
        <v>1970.0690476190478</v>
      </c>
      <c r="E123" s="15">
        <v>3.807633333333333</v>
      </c>
      <c r="F123" s="15">
        <v>1.7276666666666669</v>
      </c>
      <c r="G123" s="15">
        <v>505.49047619047616</v>
      </c>
      <c r="H123" s="15">
        <v>2.8837952380952379</v>
      </c>
      <c r="I123" s="15">
        <v>13.092614285714287</v>
      </c>
      <c r="J123" s="15">
        <v>75.307619047619056</v>
      </c>
    </row>
    <row r="124" spans="1:10">
      <c r="A124" s="13">
        <v>40148</v>
      </c>
      <c r="B124" s="14">
        <f t="shared" si="2"/>
        <v>2009</v>
      </c>
      <c r="C124" s="14">
        <f t="shared" si="3"/>
        <v>12</v>
      </c>
      <c r="D124" s="15">
        <v>2016.0695652173908</v>
      </c>
      <c r="E124" s="15">
        <v>3.8021869565217399</v>
      </c>
      <c r="F124" s="15">
        <v>1.7511956521739129</v>
      </c>
      <c r="G124" s="15">
        <v>502.55869565217387</v>
      </c>
      <c r="H124" s="15">
        <v>2.876534782608696</v>
      </c>
      <c r="I124" s="15">
        <v>12.848891304347829</v>
      </c>
      <c r="J124" s="15">
        <v>76.827739130434765</v>
      </c>
    </row>
    <row r="125" spans="1:10">
      <c r="A125" s="13">
        <v>40179</v>
      </c>
      <c r="B125" s="14">
        <f t="shared" si="2"/>
        <v>2010</v>
      </c>
      <c r="C125" s="14">
        <f t="shared" si="3"/>
        <v>1</v>
      </c>
      <c r="D125" s="15">
        <v>1975.2785714285717</v>
      </c>
      <c r="E125" s="15">
        <v>3.7994904761904755</v>
      </c>
      <c r="F125" s="15">
        <v>1.7791571428571427</v>
      </c>
      <c r="G125" s="15">
        <v>501.51666666666677</v>
      </c>
      <c r="H125" s="15">
        <v>2.8568809523809522</v>
      </c>
      <c r="I125" s="15">
        <v>12.828261904761906</v>
      </c>
      <c r="J125" s="15">
        <v>77.804904761904751</v>
      </c>
    </row>
    <row r="126" spans="1:10">
      <c r="A126" s="13">
        <v>40210</v>
      </c>
      <c r="B126" s="14">
        <f t="shared" si="2"/>
        <v>2010</v>
      </c>
      <c r="C126" s="14">
        <f t="shared" si="3"/>
        <v>2</v>
      </c>
      <c r="D126" s="15">
        <v>1947.5275000000006</v>
      </c>
      <c r="E126" s="15">
        <v>3.8447749999999994</v>
      </c>
      <c r="F126" s="15">
        <v>1.8403649999999998</v>
      </c>
      <c r="G126" s="15">
        <v>531.64650000000006</v>
      </c>
      <c r="H126" s="15">
        <v>2.8527250000000004</v>
      </c>
      <c r="I126" s="15">
        <v>12.928135000000001</v>
      </c>
      <c r="J126" s="15">
        <v>80.164600000000007</v>
      </c>
    </row>
    <row r="127" spans="1:10">
      <c r="A127" s="13">
        <v>40238</v>
      </c>
      <c r="B127" s="14">
        <f t="shared" si="2"/>
        <v>2010</v>
      </c>
      <c r="C127" s="14">
        <f t="shared" si="3"/>
        <v>3</v>
      </c>
      <c r="D127" s="15">
        <v>1905.9391304347828</v>
      </c>
      <c r="E127" s="15">
        <v>3.8581304347826086</v>
      </c>
      <c r="F127" s="15">
        <v>1.7847</v>
      </c>
      <c r="G127" s="15">
        <v>522.60217391304343</v>
      </c>
      <c r="H127" s="15">
        <v>2.8386304347826092</v>
      </c>
      <c r="I127" s="15">
        <v>12.563230434782605</v>
      </c>
      <c r="J127" s="15">
        <v>80.671608695652168</v>
      </c>
    </row>
    <row r="128" spans="1:10">
      <c r="A128" s="13">
        <v>40269</v>
      </c>
      <c r="B128" s="14">
        <f t="shared" si="2"/>
        <v>2010</v>
      </c>
      <c r="C128" s="14">
        <f t="shared" si="3"/>
        <v>4</v>
      </c>
      <c r="D128" s="15">
        <v>1937.4590909090912</v>
      </c>
      <c r="E128" s="15">
        <v>3.8712500000000003</v>
      </c>
      <c r="F128" s="15">
        <v>1.755663636363636</v>
      </c>
      <c r="G128" s="15">
        <v>519.89772727272725</v>
      </c>
      <c r="H128" s="15">
        <v>2.8391590909090918</v>
      </c>
      <c r="I128" s="15">
        <v>12.22782727272727</v>
      </c>
      <c r="J128" s="15">
        <v>81.235954545454547</v>
      </c>
    </row>
    <row r="129" spans="1:10">
      <c r="A129" s="13">
        <v>40299</v>
      </c>
      <c r="B129" s="14">
        <f t="shared" si="2"/>
        <v>2010</v>
      </c>
      <c r="C129" s="14">
        <f t="shared" si="3"/>
        <v>5</v>
      </c>
      <c r="D129" s="15">
        <v>1982.5928571428574</v>
      </c>
      <c r="E129" s="15">
        <v>3.8955857142857142</v>
      </c>
      <c r="F129" s="15">
        <v>1.8137619047619047</v>
      </c>
      <c r="G129" s="15">
        <v>533.82142857142856</v>
      </c>
      <c r="H129" s="15">
        <v>2.8443095238095233</v>
      </c>
      <c r="I129" s="15">
        <v>12.754776190476191</v>
      </c>
      <c r="J129" s="15">
        <v>85.419095238095252</v>
      </c>
    </row>
    <row r="130" spans="1:10">
      <c r="A130" s="13">
        <v>40330</v>
      </c>
      <c r="B130" s="14">
        <f t="shared" si="2"/>
        <v>2010</v>
      </c>
      <c r="C130" s="14">
        <f t="shared" si="3"/>
        <v>6</v>
      </c>
      <c r="D130" s="15">
        <v>1923.4772727272727</v>
      </c>
      <c r="E130" s="15">
        <v>3.9216045454545454</v>
      </c>
      <c r="F130" s="15">
        <v>1.8078409090909091</v>
      </c>
      <c r="G130" s="15">
        <v>537.4</v>
      </c>
      <c r="H130" s="15">
        <v>2.8363681818181821</v>
      </c>
      <c r="I130" s="15">
        <v>12.735918181818182</v>
      </c>
      <c r="J130" s="15">
        <v>86.575454545454576</v>
      </c>
    </row>
    <row r="131" spans="1:10">
      <c r="A131" s="13">
        <v>40360</v>
      </c>
      <c r="B131" s="14">
        <f t="shared" si="2"/>
        <v>2010</v>
      </c>
      <c r="C131" s="14">
        <f t="shared" si="3"/>
        <v>7</v>
      </c>
      <c r="D131" s="15">
        <v>1870.9340909090906</v>
      </c>
      <c r="E131" s="15">
        <v>3.9305272727272724</v>
      </c>
      <c r="F131" s="15">
        <v>1.768440909090909</v>
      </c>
      <c r="G131" s="15">
        <v>529.93181818181813</v>
      </c>
      <c r="H131" s="15">
        <v>2.8229090909090915</v>
      </c>
      <c r="I131" s="15">
        <v>12.810354545454544</v>
      </c>
      <c r="J131" s="15">
        <v>83.140045454545458</v>
      </c>
    </row>
    <row r="132" spans="1:10">
      <c r="A132" s="13">
        <v>40391</v>
      </c>
      <c r="B132" s="14">
        <f t="shared" si="2"/>
        <v>2010</v>
      </c>
      <c r="C132" s="14">
        <f t="shared" si="3"/>
        <v>8</v>
      </c>
      <c r="D132" s="15">
        <v>1817.4772727272727</v>
      </c>
      <c r="E132" s="15">
        <v>3.9337272727272734</v>
      </c>
      <c r="F132" s="15">
        <v>1.7582181818181821</v>
      </c>
      <c r="G132" s="15">
        <v>507.90681818181821</v>
      </c>
      <c r="H132" s="15">
        <v>2.8004090909090906</v>
      </c>
      <c r="I132" s="15">
        <v>12.769222727272728</v>
      </c>
      <c r="J132" s="15">
        <v>82.148863636363615</v>
      </c>
    </row>
    <row r="133" spans="1:10">
      <c r="A133" s="13">
        <v>40422</v>
      </c>
      <c r="B133" s="14">
        <f t="shared" ref="B133:B196" si="4">+YEAR(A133)</f>
        <v>2010</v>
      </c>
      <c r="C133" s="14">
        <f t="shared" ref="C133:C196" si="5">+MONTH(A133)</f>
        <v>9</v>
      </c>
      <c r="D133" s="15">
        <v>1802.8136363636365</v>
      </c>
      <c r="E133" s="15">
        <v>3.9494772727272722</v>
      </c>
      <c r="F133" s="15">
        <v>1.7181363636363636</v>
      </c>
      <c r="G133" s="15">
        <v>493.2863636363636</v>
      </c>
      <c r="H133" s="15">
        <v>2.7904863636363633</v>
      </c>
      <c r="I133" s="15">
        <v>12.794195454545456</v>
      </c>
      <c r="J133" s="15">
        <v>81.081818181818178</v>
      </c>
    </row>
    <row r="134" spans="1:10">
      <c r="A134" s="13">
        <v>40452</v>
      </c>
      <c r="B134" s="14">
        <f t="shared" si="4"/>
        <v>2010</v>
      </c>
      <c r="C134" s="14">
        <f t="shared" si="5"/>
        <v>10</v>
      </c>
      <c r="D134" s="15">
        <v>1809.5666666666668</v>
      </c>
      <c r="E134" s="15">
        <v>3.9535238095238094</v>
      </c>
      <c r="F134" s="15">
        <v>1.6829714285714286</v>
      </c>
      <c r="G134" s="15">
        <v>484.24047619047622</v>
      </c>
      <c r="H134" s="15">
        <v>2.7909761904761901</v>
      </c>
      <c r="I134" s="15">
        <v>12.429785714285712</v>
      </c>
      <c r="J134" s="15">
        <v>77.459952380952387</v>
      </c>
    </row>
    <row r="135" spans="1:10">
      <c r="A135" s="13">
        <v>40483</v>
      </c>
      <c r="B135" s="14">
        <f t="shared" si="4"/>
        <v>2010</v>
      </c>
      <c r="C135" s="14">
        <f t="shared" si="5"/>
        <v>11</v>
      </c>
      <c r="D135" s="15">
        <v>1867.5318181818184</v>
      </c>
      <c r="E135" s="15">
        <v>3.9644090909090917</v>
      </c>
      <c r="F135" s="15">
        <v>1.7117090909090906</v>
      </c>
      <c r="G135" s="15">
        <v>482.57499999999999</v>
      </c>
      <c r="H135" s="15">
        <v>2.8050909090909091</v>
      </c>
      <c r="I135" s="15">
        <v>12.329095454545454</v>
      </c>
      <c r="J135" s="15">
        <v>78.443136363636356</v>
      </c>
    </row>
    <row r="136" spans="1:10">
      <c r="A136" s="13">
        <v>40513</v>
      </c>
      <c r="B136" s="14">
        <f t="shared" si="4"/>
        <v>2010</v>
      </c>
      <c r="C136" s="14">
        <f t="shared" si="5"/>
        <v>12</v>
      </c>
      <c r="D136" s="15">
        <v>1917.386956521739</v>
      </c>
      <c r="E136" s="15">
        <v>3.9717173913043475</v>
      </c>
      <c r="F136" s="15">
        <v>1.6919304347826085</v>
      </c>
      <c r="G136" s="15">
        <v>473.60652173913053</v>
      </c>
      <c r="H136" s="15">
        <v>2.8123608695652185</v>
      </c>
      <c r="I136" s="15">
        <v>12.389230434782606</v>
      </c>
      <c r="J136" s="15">
        <v>80.067999999999998</v>
      </c>
    </row>
    <row r="137" spans="1:10">
      <c r="A137" s="13">
        <v>40544</v>
      </c>
      <c r="B137" s="14">
        <f t="shared" si="4"/>
        <v>2011</v>
      </c>
      <c r="C137" s="14">
        <f t="shared" si="5"/>
        <v>1</v>
      </c>
      <c r="D137" s="15">
        <v>1864.0095238095241</v>
      </c>
      <c r="E137" s="15">
        <v>3.9778095238095235</v>
      </c>
      <c r="F137" s="15">
        <v>1.6740714285714287</v>
      </c>
      <c r="G137" s="15">
        <v>489.99523809523805</v>
      </c>
      <c r="H137" s="15">
        <v>2.7847142857142861</v>
      </c>
      <c r="I137" s="15">
        <v>12.114695238095239</v>
      </c>
      <c r="J137" s="15">
        <v>79.155380952380966</v>
      </c>
    </row>
    <row r="138" spans="1:10">
      <c r="A138" s="13">
        <v>40575</v>
      </c>
      <c r="B138" s="14">
        <f t="shared" si="4"/>
        <v>2011</v>
      </c>
      <c r="C138" s="14">
        <f t="shared" si="5"/>
        <v>2</v>
      </c>
      <c r="D138" s="15">
        <v>1884.7400000000002</v>
      </c>
      <c r="E138" s="15">
        <v>4.0173499999999995</v>
      </c>
      <c r="F138" s="15">
        <v>1.6665350000000001</v>
      </c>
      <c r="G138" s="15">
        <v>474.77250000000004</v>
      </c>
      <c r="H138" s="15">
        <v>2.7699000000000003</v>
      </c>
      <c r="I138" s="15">
        <v>12.06419</v>
      </c>
      <c r="J138" s="15">
        <v>77.777600000000007</v>
      </c>
    </row>
    <row r="139" spans="1:10">
      <c r="A139" s="13">
        <v>40603</v>
      </c>
      <c r="B139" s="14">
        <f t="shared" si="4"/>
        <v>2011</v>
      </c>
      <c r="C139" s="14">
        <f t="shared" si="5"/>
        <v>3</v>
      </c>
      <c r="D139" s="15">
        <v>1881.1869565217391</v>
      </c>
      <c r="E139" s="15">
        <v>4.0336304347826095</v>
      </c>
      <c r="F139" s="15">
        <v>1.6575086956521736</v>
      </c>
      <c r="G139" s="15">
        <v>479.41086956521752</v>
      </c>
      <c r="H139" s="15">
        <v>2.7789869565217393</v>
      </c>
      <c r="I139" s="15">
        <v>11.998304347826085</v>
      </c>
      <c r="J139" s="15">
        <v>76.28765217391306</v>
      </c>
    </row>
    <row r="140" spans="1:10">
      <c r="A140" s="13">
        <v>40634</v>
      </c>
      <c r="B140" s="14">
        <f t="shared" si="4"/>
        <v>2011</v>
      </c>
      <c r="C140" s="14">
        <f t="shared" si="5"/>
        <v>4</v>
      </c>
      <c r="D140" s="15">
        <v>1803.3428571428569</v>
      </c>
      <c r="E140" s="15">
        <v>4.0634047619047609</v>
      </c>
      <c r="F140" s="15">
        <v>1.5826476190476189</v>
      </c>
      <c r="G140" s="15">
        <v>469.70476190476188</v>
      </c>
      <c r="H140" s="15">
        <v>2.8157857142857146</v>
      </c>
      <c r="I140" s="15">
        <v>11.692633333333333</v>
      </c>
      <c r="J140" s="15">
        <v>74.689761904761909</v>
      </c>
    </row>
    <row r="141" spans="1:10">
      <c r="A141" s="13">
        <v>40664</v>
      </c>
      <c r="B141" s="14">
        <f t="shared" si="4"/>
        <v>2011</v>
      </c>
      <c r="C141" s="14">
        <f t="shared" si="5"/>
        <v>5</v>
      </c>
      <c r="D141" s="15">
        <v>1802.6613636363638</v>
      </c>
      <c r="E141" s="15">
        <v>4.0796181818181827</v>
      </c>
      <c r="F141" s="15">
        <v>1.6125409090909093</v>
      </c>
      <c r="G141" s="15">
        <v>467.81818181818193</v>
      </c>
      <c r="H141" s="15">
        <v>2.7743772727272726</v>
      </c>
      <c r="I141" s="15">
        <v>11.650918181818183</v>
      </c>
      <c r="J141" s="15">
        <v>74.943090909090913</v>
      </c>
    </row>
    <row r="142" spans="1:10">
      <c r="A142" s="13">
        <v>40695</v>
      </c>
      <c r="B142" s="14">
        <f t="shared" si="4"/>
        <v>2011</v>
      </c>
      <c r="C142" s="14">
        <f t="shared" si="5"/>
        <v>6</v>
      </c>
      <c r="D142" s="15">
        <v>1780.6772727272728</v>
      </c>
      <c r="E142" s="15">
        <v>4.0920227272727265</v>
      </c>
      <c r="F142" s="15">
        <v>1.5861318181818183</v>
      </c>
      <c r="G142" s="15">
        <v>469.53409090909082</v>
      </c>
      <c r="H142" s="15">
        <v>2.7620454545454547</v>
      </c>
      <c r="I142" s="15">
        <v>11.811018181818184</v>
      </c>
      <c r="J142" s="15">
        <v>74.694636363636349</v>
      </c>
    </row>
    <row r="143" spans="1:10">
      <c r="A143" s="13">
        <v>40725</v>
      </c>
      <c r="B143" s="14">
        <f t="shared" si="4"/>
        <v>2011</v>
      </c>
      <c r="C143" s="14">
        <f t="shared" si="5"/>
        <v>7</v>
      </c>
      <c r="D143" s="15">
        <v>1761.0285714285715</v>
      </c>
      <c r="E143" s="15">
        <v>4.1185714285714292</v>
      </c>
      <c r="F143" s="15">
        <v>1.561952380952381</v>
      </c>
      <c r="G143" s="15">
        <v>462.00714285714292</v>
      </c>
      <c r="H143" s="15">
        <v>2.7406285714285712</v>
      </c>
      <c r="I143" s="15">
        <v>11.662904761904763</v>
      </c>
      <c r="J143" s="15">
        <v>74.733999999999995</v>
      </c>
    </row>
    <row r="144" spans="1:10">
      <c r="A144" s="13">
        <v>40756</v>
      </c>
      <c r="B144" s="14">
        <f t="shared" si="4"/>
        <v>2011</v>
      </c>
      <c r="C144" s="14">
        <f t="shared" si="5"/>
        <v>8</v>
      </c>
      <c r="D144" s="15">
        <v>1783.9826086956521</v>
      </c>
      <c r="E144" s="15">
        <v>4.1641782608695648</v>
      </c>
      <c r="F144" s="15">
        <v>1.5954173913043477</v>
      </c>
      <c r="G144" s="15">
        <v>466.82826086956527</v>
      </c>
      <c r="H144" s="15">
        <v>2.7379086956521737</v>
      </c>
      <c r="I144" s="15">
        <v>12.241769565217394</v>
      </c>
      <c r="J144" s="15">
        <v>74.238565217391297</v>
      </c>
    </row>
    <row r="145" spans="1:10">
      <c r="A145" s="13">
        <v>40787</v>
      </c>
      <c r="B145" s="14">
        <f t="shared" si="4"/>
        <v>2011</v>
      </c>
      <c r="C145" s="14">
        <f t="shared" si="5"/>
        <v>9</v>
      </c>
      <c r="D145" s="15">
        <v>1842.8290909090908</v>
      </c>
      <c r="E145" s="15">
        <v>4.1989363636363617</v>
      </c>
      <c r="F145" s="15">
        <v>1.7496636363636362</v>
      </c>
      <c r="G145" s="15">
        <v>486.43409090909086</v>
      </c>
      <c r="H145" s="15">
        <v>2.7438181818181824</v>
      </c>
      <c r="I145" s="15">
        <v>13.079627272727276</v>
      </c>
      <c r="J145" s="15">
        <v>76.915454545454566</v>
      </c>
    </row>
    <row r="146" spans="1:10">
      <c r="A146" s="13">
        <v>40817</v>
      </c>
      <c r="B146" s="14">
        <f t="shared" si="4"/>
        <v>2011</v>
      </c>
      <c r="C146" s="14">
        <f t="shared" si="5"/>
        <v>10</v>
      </c>
      <c r="D146" s="15">
        <v>1905.685238095238</v>
      </c>
      <c r="E146" s="15">
        <v>4.2195333333333336</v>
      </c>
      <c r="F146" s="15">
        <v>1.7689761904761907</v>
      </c>
      <c r="G146" s="15">
        <v>509.22857142857146</v>
      </c>
      <c r="H146" s="15">
        <v>2.728966666666667</v>
      </c>
      <c r="I146" s="15">
        <v>13.442195238095238</v>
      </c>
      <c r="J146" s="15">
        <v>77.155904761904765</v>
      </c>
    </row>
    <row r="147" spans="1:10">
      <c r="A147" s="13">
        <v>40848</v>
      </c>
      <c r="B147" s="14">
        <f t="shared" si="4"/>
        <v>2011</v>
      </c>
      <c r="C147" s="14">
        <f t="shared" si="5"/>
        <v>11</v>
      </c>
      <c r="D147" s="15">
        <v>1922.585</v>
      </c>
      <c r="E147" s="15">
        <v>4.2576636363636373</v>
      </c>
      <c r="F147" s="15">
        <v>1.7902136363636367</v>
      </c>
      <c r="G147" s="15">
        <v>508.82272727272726</v>
      </c>
      <c r="H147" s="15">
        <v>2.7044545454545452</v>
      </c>
      <c r="I147" s="15">
        <v>13.710481818181817</v>
      </c>
      <c r="J147" s="15">
        <v>77.957499999999996</v>
      </c>
    </row>
    <row r="148" spans="1:10">
      <c r="A148" s="13">
        <v>40878</v>
      </c>
      <c r="B148" s="14">
        <f t="shared" si="4"/>
        <v>2011</v>
      </c>
      <c r="C148" s="14">
        <f t="shared" si="5"/>
        <v>12</v>
      </c>
      <c r="D148" s="15">
        <v>1932.1099999999997</v>
      </c>
      <c r="E148" s="15">
        <v>4.2842500000000001</v>
      </c>
      <c r="F148" s="15">
        <v>1.8402227272727274</v>
      </c>
      <c r="G148" s="15">
        <v>516.92727272727268</v>
      </c>
      <c r="H148" s="15">
        <v>2.6952272727272732</v>
      </c>
      <c r="I148" s="15">
        <v>13.78472272727273</v>
      </c>
      <c r="J148" s="15">
        <v>79.629500000000007</v>
      </c>
    </row>
    <row r="149" spans="1:10">
      <c r="A149" s="13">
        <v>40909</v>
      </c>
      <c r="B149" s="14">
        <f t="shared" si="4"/>
        <v>2012</v>
      </c>
      <c r="C149" s="14">
        <f t="shared" si="5"/>
        <v>1</v>
      </c>
      <c r="D149" s="15">
        <v>1844.6136363636363</v>
      </c>
      <c r="E149" s="15">
        <v>4.3159318181818183</v>
      </c>
      <c r="F149" s="15">
        <v>1.7882818181818185</v>
      </c>
      <c r="G149" s="15">
        <v>499.75454545454545</v>
      </c>
      <c r="H149" s="15">
        <v>2.691568181818182</v>
      </c>
      <c r="I149" s="15">
        <v>13.394554545454547</v>
      </c>
      <c r="J149" s="15">
        <v>80.333045454545427</v>
      </c>
    </row>
    <row r="150" spans="1:10">
      <c r="A150" s="13">
        <v>40940</v>
      </c>
      <c r="B150" s="14">
        <f t="shared" si="4"/>
        <v>2012</v>
      </c>
      <c r="C150" s="14">
        <f t="shared" si="5"/>
        <v>2</v>
      </c>
      <c r="D150" s="15">
        <v>1780.4985714285708</v>
      </c>
      <c r="E150" s="15">
        <v>4.3432285714285719</v>
      </c>
      <c r="F150" s="15">
        <v>1.7169571428571426</v>
      </c>
      <c r="G150" s="15">
        <v>480.76190476190476</v>
      </c>
      <c r="H150" s="15">
        <v>2.6821666666666664</v>
      </c>
      <c r="I150" s="15">
        <v>12.781557142857142</v>
      </c>
      <c r="J150" s="15">
        <v>78.953000000000003</v>
      </c>
    </row>
    <row r="151" spans="1:10">
      <c r="A151" s="13">
        <v>40969</v>
      </c>
      <c r="B151" s="14">
        <f t="shared" si="4"/>
        <v>2012</v>
      </c>
      <c r="C151" s="14">
        <f t="shared" si="5"/>
        <v>3</v>
      </c>
      <c r="D151" s="15">
        <v>1766.5804545454544</v>
      </c>
      <c r="E151" s="15">
        <v>4.3523500000000013</v>
      </c>
      <c r="F151" s="15">
        <v>1.7928454545454544</v>
      </c>
      <c r="G151" s="15">
        <v>485.31045454545455</v>
      </c>
      <c r="H151" s="15">
        <v>2.6703409090909092</v>
      </c>
      <c r="I151" s="15">
        <v>12.730763636363635</v>
      </c>
      <c r="J151" s="15">
        <v>79.558909090909083</v>
      </c>
    </row>
    <row r="152" spans="1:10">
      <c r="A152" s="13">
        <v>41000</v>
      </c>
      <c r="B152" s="14">
        <f t="shared" si="4"/>
        <v>2012</v>
      </c>
      <c r="C152" s="14">
        <f t="shared" si="5"/>
        <v>4</v>
      </c>
      <c r="D152" s="15">
        <v>1772.9876190476189</v>
      </c>
      <c r="E152" s="15">
        <v>4.3928095238095226</v>
      </c>
      <c r="F152" s="15">
        <v>1.8536333333333335</v>
      </c>
      <c r="G152" s="15">
        <v>485.17142857142858</v>
      </c>
      <c r="H152" s="15">
        <v>2.6559761904761903</v>
      </c>
      <c r="I152" s="15">
        <v>13.051166666666667</v>
      </c>
      <c r="J152" s="15">
        <v>79.429523809523815</v>
      </c>
    </row>
    <row r="153" spans="1:10">
      <c r="A153" s="13">
        <v>41030</v>
      </c>
      <c r="B153" s="14">
        <f t="shared" si="4"/>
        <v>2012</v>
      </c>
      <c r="C153" s="14">
        <f t="shared" si="5"/>
        <v>5</v>
      </c>
      <c r="D153" s="15">
        <v>1794.9313043478264</v>
      </c>
      <c r="E153" s="15">
        <v>4.446395652173913</v>
      </c>
      <c r="F153" s="15">
        <v>1.9834478260869566</v>
      </c>
      <c r="G153" s="15">
        <v>498.15434782608691</v>
      </c>
      <c r="H153" s="15">
        <v>2.6682173913043474</v>
      </c>
      <c r="I153" s="15">
        <v>13.654534782608696</v>
      </c>
      <c r="J153" s="15">
        <v>80.989086956521746</v>
      </c>
    </row>
    <row r="154" spans="1:10">
      <c r="A154" s="13">
        <v>41061</v>
      </c>
      <c r="B154" s="14">
        <f t="shared" si="4"/>
        <v>2012</v>
      </c>
      <c r="C154" s="14">
        <f t="shared" si="5"/>
        <v>6</v>
      </c>
      <c r="D154" s="15">
        <v>1788.2552380952382</v>
      </c>
      <c r="E154" s="15">
        <v>4.4932857142857143</v>
      </c>
      <c r="F154" s="15">
        <v>2.050095238095238</v>
      </c>
      <c r="G154" s="15">
        <v>504.29523809523812</v>
      </c>
      <c r="H154" s="15">
        <v>2.6687857142857139</v>
      </c>
      <c r="I154" s="15">
        <v>13.892490476190476</v>
      </c>
      <c r="J154" s="15">
        <v>82.244904761904778</v>
      </c>
    </row>
    <row r="155" spans="1:10">
      <c r="A155" s="13">
        <v>41091</v>
      </c>
      <c r="B155" s="14">
        <f t="shared" si="4"/>
        <v>2012</v>
      </c>
      <c r="C155" s="14">
        <f t="shared" si="5"/>
        <v>7</v>
      </c>
      <c r="D155" s="15">
        <v>1783.51</v>
      </c>
      <c r="E155" s="15">
        <v>4.5486636363636368</v>
      </c>
      <c r="F155" s="15">
        <v>2.0278272727272726</v>
      </c>
      <c r="G155" s="15">
        <v>490.75045454545437</v>
      </c>
      <c r="H155" s="15">
        <v>2.6321590909090911</v>
      </c>
      <c r="I155" s="15">
        <v>13.351877272727274</v>
      </c>
      <c r="J155" s="15">
        <v>83.022772727272724</v>
      </c>
    </row>
    <row r="156" spans="1:10">
      <c r="A156" s="13">
        <v>41122</v>
      </c>
      <c r="B156" s="14">
        <f t="shared" si="4"/>
        <v>2012</v>
      </c>
      <c r="C156" s="14">
        <f t="shared" si="5"/>
        <v>8</v>
      </c>
      <c r="D156" s="15">
        <v>1806.6704347826089</v>
      </c>
      <c r="E156" s="15">
        <v>4.6077956521739116</v>
      </c>
      <c r="F156" s="15">
        <v>2.0270608695652172</v>
      </c>
      <c r="G156" s="15">
        <v>480.54478260869575</v>
      </c>
      <c r="H156" s="15">
        <v>2.6145869565217397</v>
      </c>
      <c r="I156" s="15">
        <v>13.180460869565218</v>
      </c>
      <c r="J156" s="15">
        <v>82.158608695652177</v>
      </c>
    </row>
    <row r="157" spans="1:10">
      <c r="A157" s="13">
        <v>41153</v>
      </c>
      <c r="B157" s="14">
        <f t="shared" si="4"/>
        <v>2012</v>
      </c>
      <c r="C157" s="14">
        <f t="shared" si="5"/>
        <v>9</v>
      </c>
      <c r="D157" s="15">
        <v>1800.5545000000002</v>
      </c>
      <c r="E157" s="15">
        <v>4.6691799999999999</v>
      </c>
      <c r="F157" s="15">
        <v>2.0265149999999998</v>
      </c>
      <c r="G157" s="15">
        <v>473.36750000000012</v>
      </c>
      <c r="H157" s="15">
        <v>2.6019199999999998</v>
      </c>
      <c r="I157" s="15">
        <v>12.925519999999997</v>
      </c>
      <c r="J157" s="15">
        <v>79.874650000000003</v>
      </c>
    </row>
    <row r="158" spans="1:10">
      <c r="A158" s="13">
        <v>41183</v>
      </c>
      <c r="B158" s="14">
        <f t="shared" si="4"/>
        <v>2012</v>
      </c>
      <c r="C158" s="14">
        <f t="shared" si="5"/>
        <v>10</v>
      </c>
      <c r="D158" s="15">
        <v>1806.201304347826</v>
      </c>
      <c r="E158" s="15">
        <v>4.7271739130434796</v>
      </c>
      <c r="F158" s="15">
        <v>2.0296913043478262</v>
      </c>
      <c r="G158" s="15">
        <v>475.27739130434787</v>
      </c>
      <c r="H158" s="15">
        <v>2.5882565217391305</v>
      </c>
      <c r="I158" s="15">
        <v>12.897478260869562</v>
      </c>
      <c r="J158" s="15">
        <v>79.737391304347824</v>
      </c>
    </row>
    <row r="159" spans="1:10">
      <c r="A159" s="13">
        <v>41214</v>
      </c>
      <c r="B159" s="14">
        <f t="shared" si="4"/>
        <v>2012</v>
      </c>
      <c r="C159" s="14">
        <f t="shared" si="5"/>
        <v>11</v>
      </c>
      <c r="D159" s="15">
        <v>1818.5636363636361</v>
      </c>
      <c r="E159" s="15">
        <v>4.796204545454545</v>
      </c>
      <c r="F159" s="15">
        <v>2.0682227272727269</v>
      </c>
      <c r="G159" s="15">
        <v>479.94045454545466</v>
      </c>
      <c r="H159" s="15">
        <v>2.5949090909090917</v>
      </c>
      <c r="I159" s="15">
        <v>13.068768181818184</v>
      </c>
      <c r="J159" s="15">
        <v>80.6965</v>
      </c>
    </row>
    <row r="160" spans="1:10">
      <c r="A160" s="13">
        <v>41244</v>
      </c>
      <c r="B160" s="14">
        <f t="shared" si="4"/>
        <v>2012</v>
      </c>
      <c r="C160" s="14">
        <f t="shared" si="5"/>
        <v>12</v>
      </c>
      <c r="D160" s="15">
        <v>1789.695238095238</v>
      </c>
      <c r="E160" s="15">
        <v>4.8813571428571425</v>
      </c>
      <c r="F160" s="15">
        <v>2.0769285714285712</v>
      </c>
      <c r="G160" s="15">
        <v>476.62666666666672</v>
      </c>
      <c r="H160" s="15">
        <v>2.5640476190476185</v>
      </c>
      <c r="I160" s="15">
        <v>12.860142857142856</v>
      </c>
      <c r="J160" s="15">
        <v>79.748857142857162</v>
      </c>
    </row>
    <row r="161" spans="1:10">
      <c r="A161" s="13">
        <v>41275</v>
      </c>
      <c r="B161" s="14">
        <f t="shared" si="4"/>
        <v>2013</v>
      </c>
      <c r="C161" s="14">
        <f t="shared" si="5"/>
        <v>1</v>
      </c>
      <c r="D161" s="15">
        <v>1770.2560869565218</v>
      </c>
      <c r="E161" s="15">
        <v>4.9467391304347839</v>
      </c>
      <c r="F161" s="15">
        <v>2.0288695652173909</v>
      </c>
      <c r="G161" s="15">
        <v>471.94652173913045</v>
      </c>
      <c r="H161" s="15">
        <v>2.5504347826086948</v>
      </c>
      <c r="I161" s="15">
        <v>12.694886956521739</v>
      </c>
      <c r="J161" s="15">
        <v>79.871173913043492</v>
      </c>
    </row>
    <row r="162" spans="1:10">
      <c r="A162" s="13">
        <v>41306</v>
      </c>
      <c r="B162" s="14">
        <f t="shared" si="4"/>
        <v>2013</v>
      </c>
      <c r="C162" s="14">
        <f t="shared" si="5"/>
        <v>2</v>
      </c>
      <c r="D162" s="15">
        <v>1792.6029999999998</v>
      </c>
      <c r="E162" s="15">
        <v>5.0094700000000003</v>
      </c>
      <c r="F162" s="15">
        <v>1.9731449999999999</v>
      </c>
      <c r="G162" s="15">
        <v>471.93250000000006</v>
      </c>
      <c r="H162" s="15">
        <v>2.5774399999999997</v>
      </c>
      <c r="I162" s="15">
        <v>12.709564999999998</v>
      </c>
      <c r="J162" s="15">
        <v>80.602400000000017</v>
      </c>
    </row>
    <row r="163" spans="1:10">
      <c r="A163" s="13">
        <v>41334</v>
      </c>
      <c r="B163" s="14">
        <f t="shared" si="4"/>
        <v>2013</v>
      </c>
      <c r="C163" s="14">
        <f t="shared" si="5"/>
        <v>3</v>
      </c>
      <c r="D163" s="15">
        <v>1812.1242857142856</v>
      </c>
      <c r="E163" s="15">
        <v>5.0865095238095233</v>
      </c>
      <c r="F163" s="15">
        <v>1.9850476190476194</v>
      </c>
      <c r="G163" s="15">
        <v>471.84761904761899</v>
      </c>
      <c r="H163" s="15">
        <v>2.5933285714285708</v>
      </c>
      <c r="I163" s="15">
        <v>12.488776190476191</v>
      </c>
      <c r="J163" s="15">
        <v>82.641190476190488</v>
      </c>
    </row>
    <row r="164" spans="1:10">
      <c r="A164" s="13">
        <v>41365</v>
      </c>
      <c r="B164" s="14">
        <f t="shared" si="4"/>
        <v>2013</v>
      </c>
      <c r="C164" s="14">
        <f t="shared" si="5"/>
        <v>4</v>
      </c>
      <c r="D164" s="15">
        <v>1828.0763636363633</v>
      </c>
      <c r="E164" s="15">
        <v>5.1508090909090907</v>
      </c>
      <c r="F164" s="15">
        <v>2.0012636363636362</v>
      </c>
      <c r="G164" s="15">
        <v>471.65181818181821</v>
      </c>
      <c r="H164" s="15">
        <v>2.5973681818181817</v>
      </c>
      <c r="I164" s="15">
        <v>12.203713636363638</v>
      </c>
      <c r="J164" s="15">
        <v>82.523454545454541</v>
      </c>
    </row>
    <row r="165" spans="1:10">
      <c r="A165" s="13">
        <v>41395</v>
      </c>
      <c r="B165" s="14">
        <f t="shared" si="4"/>
        <v>2013</v>
      </c>
      <c r="C165" s="14">
        <f t="shared" si="5"/>
        <v>5</v>
      </c>
      <c r="D165" s="15">
        <v>1852.0852173913042</v>
      </c>
      <c r="E165" s="15">
        <v>5.2367217391304353</v>
      </c>
      <c r="F165" s="15">
        <v>2.0390043478260873</v>
      </c>
      <c r="G165" s="15">
        <v>480.75652173913039</v>
      </c>
      <c r="H165" s="15">
        <v>2.6457826086956522</v>
      </c>
      <c r="I165" s="15">
        <v>12.307591304347827</v>
      </c>
      <c r="J165" s="15">
        <v>83.21582608695654</v>
      </c>
    </row>
    <row r="166" spans="1:10">
      <c r="A166" s="13">
        <v>41426</v>
      </c>
      <c r="B166" s="14">
        <f t="shared" si="4"/>
        <v>2013</v>
      </c>
      <c r="C166" s="14">
        <f t="shared" si="5"/>
        <v>6</v>
      </c>
      <c r="D166" s="15">
        <v>1908.1589999999997</v>
      </c>
      <c r="E166" s="15">
        <v>5.3303649999999996</v>
      </c>
      <c r="F166" s="15">
        <v>2.1736350000000004</v>
      </c>
      <c r="G166" s="15">
        <v>502.6825</v>
      </c>
      <c r="H166" s="15">
        <v>2.7512749999999997</v>
      </c>
      <c r="I166" s="15">
        <v>12.954004999999999</v>
      </c>
      <c r="J166" s="15">
        <v>81.873699999999999</v>
      </c>
    </row>
    <row r="167" spans="1:10">
      <c r="A167" s="13">
        <v>41456</v>
      </c>
      <c r="B167" s="14">
        <f t="shared" si="4"/>
        <v>2013</v>
      </c>
      <c r="C167" s="14">
        <f t="shared" si="5"/>
        <v>7</v>
      </c>
      <c r="D167" s="15">
        <v>1899.3752173913047</v>
      </c>
      <c r="E167" s="15">
        <v>5.4375913043478263</v>
      </c>
      <c r="F167" s="15">
        <v>2.2497000000000003</v>
      </c>
      <c r="G167" s="15">
        <v>505.20913043478259</v>
      </c>
      <c r="H167" s="15">
        <v>2.7765565217391304</v>
      </c>
      <c r="I167" s="15">
        <v>12.743565217391305</v>
      </c>
      <c r="J167" s="15">
        <v>82.816173913043471</v>
      </c>
    </row>
    <row r="168" spans="1:10">
      <c r="A168" s="13">
        <v>41487</v>
      </c>
      <c r="B168" s="14">
        <f t="shared" si="4"/>
        <v>2013</v>
      </c>
      <c r="C168" s="14">
        <f t="shared" si="5"/>
        <v>8</v>
      </c>
      <c r="D168" s="15">
        <v>1905.310909090909</v>
      </c>
      <c r="E168" s="15">
        <v>5.5808318181818173</v>
      </c>
      <c r="F168" s="15">
        <v>2.3453272727272729</v>
      </c>
      <c r="G168" s="15">
        <v>512.34136363636355</v>
      </c>
      <c r="H168" s="15">
        <v>2.800340909090909</v>
      </c>
      <c r="I168" s="15">
        <v>12.9224</v>
      </c>
      <c r="J168" s="15">
        <v>81.481590909090926</v>
      </c>
    </row>
    <row r="169" spans="1:10">
      <c r="A169" s="13">
        <v>41518</v>
      </c>
      <c r="B169" s="14">
        <f t="shared" si="4"/>
        <v>2013</v>
      </c>
      <c r="C169" s="14">
        <f t="shared" si="5"/>
        <v>9</v>
      </c>
      <c r="D169" s="15">
        <v>1918.1476190476194</v>
      </c>
      <c r="E169" s="15">
        <v>5.7352952380952376</v>
      </c>
      <c r="F169" s="15">
        <v>2.2663904761904763</v>
      </c>
      <c r="G169" s="15">
        <v>503.35047619047612</v>
      </c>
      <c r="H169" s="15">
        <v>2.7769809523809519</v>
      </c>
      <c r="I169" s="15">
        <v>13.044999999999996</v>
      </c>
      <c r="J169" s="15">
        <v>81.206095238095259</v>
      </c>
    </row>
    <row r="170" spans="1:10">
      <c r="A170" s="13">
        <v>41548</v>
      </c>
      <c r="B170" s="14">
        <f t="shared" si="4"/>
        <v>2013</v>
      </c>
      <c r="C170" s="14">
        <f t="shared" si="5"/>
        <v>10</v>
      </c>
      <c r="D170" s="15">
        <v>1884.6308695652178</v>
      </c>
      <c r="E170" s="15">
        <v>5.8453434782608689</v>
      </c>
      <c r="F170" s="15">
        <v>2.1897739130434779</v>
      </c>
      <c r="G170" s="15">
        <v>501.34869565217394</v>
      </c>
      <c r="H170" s="15">
        <v>2.7676869565217395</v>
      </c>
      <c r="I170" s="15">
        <v>12.996817391304345</v>
      </c>
      <c r="J170" s="15">
        <v>79.871217391304342</v>
      </c>
    </row>
    <row r="171" spans="1:10">
      <c r="A171" s="13">
        <v>41579</v>
      </c>
      <c r="B171" s="14">
        <f t="shared" si="4"/>
        <v>2013</v>
      </c>
      <c r="C171" s="14">
        <f t="shared" si="5"/>
        <v>11</v>
      </c>
      <c r="D171" s="15">
        <v>1923.1042857142854</v>
      </c>
      <c r="E171" s="15">
        <v>6.015761904761904</v>
      </c>
      <c r="F171" s="15">
        <v>2.2982333333333336</v>
      </c>
      <c r="G171" s="15">
        <v>520.06142857142856</v>
      </c>
      <c r="H171" s="15">
        <v>2.7960476190476182</v>
      </c>
      <c r="I171" s="15">
        <v>13.064352380952382</v>
      </c>
      <c r="J171" s="15">
        <v>80.846190476190515</v>
      </c>
    </row>
    <row r="172" spans="1:10">
      <c r="A172" s="13">
        <v>41609</v>
      </c>
      <c r="B172" s="14">
        <f t="shared" si="4"/>
        <v>2013</v>
      </c>
      <c r="C172" s="14">
        <f t="shared" si="5"/>
        <v>12</v>
      </c>
      <c r="D172" s="15">
        <v>1932.6204545454545</v>
      </c>
      <c r="E172" s="15">
        <v>6.3402818181818184</v>
      </c>
      <c r="F172" s="15">
        <v>2.3470909090909093</v>
      </c>
      <c r="G172" s="15">
        <v>528.70909090909083</v>
      </c>
      <c r="H172" s="15">
        <v>2.7848818181818178</v>
      </c>
      <c r="I172" s="15">
        <v>12.992645454545453</v>
      </c>
      <c r="J172" s="15">
        <v>80.324090909090913</v>
      </c>
    </row>
    <row r="173" spans="1:10">
      <c r="A173" s="13">
        <v>41640</v>
      </c>
      <c r="B173" s="14">
        <f t="shared" si="4"/>
        <v>2014</v>
      </c>
      <c r="C173" s="14">
        <f t="shared" si="5"/>
        <v>1</v>
      </c>
      <c r="D173" s="15">
        <v>1962.8291304347829</v>
      </c>
      <c r="E173" s="15">
        <v>7.0834391304347823</v>
      </c>
      <c r="F173" s="15">
        <v>2.3810782608695651</v>
      </c>
      <c r="G173" s="15">
        <v>537.93565217391301</v>
      </c>
      <c r="H173" s="15">
        <v>2.8076217391304348</v>
      </c>
      <c r="I173" s="15">
        <v>13.206978260869567</v>
      </c>
      <c r="J173" s="15">
        <v>80.797478260869553</v>
      </c>
    </row>
    <row r="174" spans="1:10">
      <c r="A174" s="13">
        <v>41671</v>
      </c>
      <c r="B174" s="14">
        <f t="shared" si="4"/>
        <v>2014</v>
      </c>
      <c r="C174" s="14">
        <f t="shared" si="5"/>
        <v>2</v>
      </c>
      <c r="D174" s="15">
        <v>2039.4960000000003</v>
      </c>
      <c r="E174" s="15">
        <v>7.8500500000000004</v>
      </c>
      <c r="F174" s="15">
        <v>2.3801049999999995</v>
      </c>
      <c r="G174" s="15">
        <v>554.37949999999978</v>
      </c>
      <c r="H174" s="15">
        <v>2.8121</v>
      </c>
      <c r="I174" s="15">
        <v>13.285210000000001</v>
      </c>
      <c r="J174" s="15">
        <v>80.437300000000022</v>
      </c>
    </row>
    <row r="175" spans="1:10">
      <c r="A175" s="13">
        <v>41699</v>
      </c>
      <c r="B175" s="14">
        <f t="shared" si="4"/>
        <v>2014</v>
      </c>
      <c r="C175" s="14">
        <f t="shared" si="5"/>
        <v>3</v>
      </c>
      <c r="D175" s="15">
        <v>2015.8780952380953</v>
      </c>
      <c r="E175" s="15">
        <v>7.9266952380952365</v>
      </c>
      <c r="F175" s="15">
        <v>2.3260666666666667</v>
      </c>
      <c r="G175" s="15">
        <v>563.44666666666649</v>
      </c>
      <c r="H175" s="15">
        <v>2.8055523809523799</v>
      </c>
      <c r="I175" s="15">
        <v>13.193585714285716</v>
      </c>
      <c r="J175" s="15">
        <v>79.871523809523808</v>
      </c>
    </row>
    <row r="176" spans="1:10">
      <c r="A176" s="13">
        <v>41730</v>
      </c>
      <c r="B176" s="14">
        <f t="shared" si="4"/>
        <v>2014</v>
      </c>
      <c r="C176" s="14">
        <f t="shared" si="5"/>
        <v>4</v>
      </c>
      <c r="D176" s="15">
        <v>1936.332727272727</v>
      </c>
      <c r="E176" s="15">
        <v>7.9997772727272691</v>
      </c>
      <c r="F176" s="15">
        <v>2.2306545454545454</v>
      </c>
      <c r="G176" s="15">
        <v>555.26227272727272</v>
      </c>
      <c r="H176" s="15">
        <v>2.7893090909090916</v>
      </c>
      <c r="I176" s="15">
        <v>13.057018181818181</v>
      </c>
      <c r="J176" s="15">
        <v>79.850863636363627</v>
      </c>
    </row>
    <row r="177" spans="1:10">
      <c r="A177" s="13">
        <v>41760</v>
      </c>
      <c r="B177" s="14">
        <f t="shared" si="4"/>
        <v>2014</v>
      </c>
      <c r="C177" s="14">
        <f t="shared" si="5"/>
        <v>5</v>
      </c>
      <c r="D177" s="15">
        <v>1914.5972727272726</v>
      </c>
      <c r="E177" s="15">
        <v>8.0369090909090897</v>
      </c>
      <c r="F177" s="15">
        <v>2.2205636363636363</v>
      </c>
      <c r="G177" s="15">
        <v>554.79499999999996</v>
      </c>
      <c r="H177" s="15">
        <v>2.7868772727272724</v>
      </c>
      <c r="I177" s="15">
        <v>12.923322727272728</v>
      </c>
      <c r="J177" s="15">
        <v>79.96390909090907</v>
      </c>
    </row>
    <row r="178" spans="1:10">
      <c r="A178" s="13">
        <v>41791</v>
      </c>
      <c r="B178" s="14">
        <f t="shared" si="4"/>
        <v>2014</v>
      </c>
      <c r="C178" s="14">
        <f t="shared" si="5"/>
        <v>6</v>
      </c>
      <c r="D178" s="15">
        <v>1886.4104761904759</v>
      </c>
      <c r="E178" s="15">
        <v>8.123995238095242</v>
      </c>
      <c r="F178" s="15">
        <v>2.2333904761904764</v>
      </c>
      <c r="G178" s="15">
        <v>552.75999999999988</v>
      </c>
      <c r="H178" s="15">
        <v>2.7933809523809523</v>
      </c>
      <c r="I178" s="15">
        <v>12.989180952380954</v>
      </c>
      <c r="J178" s="15">
        <v>80.440238095238101</v>
      </c>
    </row>
    <row r="179" spans="1:10">
      <c r="A179" s="13">
        <v>41821</v>
      </c>
      <c r="B179" s="14">
        <f t="shared" si="4"/>
        <v>2014</v>
      </c>
      <c r="C179" s="14">
        <f t="shared" si="5"/>
        <v>7</v>
      </c>
      <c r="D179" s="15">
        <v>1857.8339130434783</v>
      </c>
      <c r="E179" s="15">
        <v>8.1547521739130442</v>
      </c>
      <c r="F179" s="15">
        <v>2.2231434782608694</v>
      </c>
      <c r="G179" s="15">
        <v>558.86739130434773</v>
      </c>
      <c r="H179" s="15">
        <v>2.7844999999999991</v>
      </c>
      <c r="I179" s="15">
        <v>12.989486956521739</v>
      </c>
      <c r="J179" s="15">
        <v>80.535391304347826</v>
      </c>
    </row>
    <row r="180" spans="1:10">
      <c r="A180" s="13">
        <v>41852</v>
      </c>
      <c r="B180" s="14">
        <f t="shared" si="4"/>
        <v>2014</v>
      </c>
      <c r="C180" s="14">
        <f t="shared" si="5"/>
        <v>8</v>
      </c>
      <c r="D180" s="15">
        <v>1900.3142857142859</v>
      </c>
      <c r="E180" s="15">
        <v>8.3110095238095223</v>
      </c>
      <c r="F180" s="15">
        <v>2.2658571428571426</v>
      </c>
      <c r="G180" s="15">
        <v>579.66285714285721</v>
      </c>
      <c r="H180" s="15">
        <v>2.8150714285714287</v>
      </c>
      <c r="I180" s="15">
        <v>13.14202380952381</v>
      </c>
      <c r="J180" s="15">
        <v>81.856238095238112</v>
      </c>
    </row>
    <row r="181" spans="1:10">
      <c r="A181" s="13">
        <v>41883</v>
      </c>
      <c r="B181" s="14">
        <f t="shared" si="4"/>
        <v>2014</v>
      </c>
      <c r="C181" s="14">
        <f t="shared" si="5"/>
        <v>9</v>
      </c>
      <c r="D181" s="15">
        <v>1976.1404545454548</v>
      </c>
      <c r="E181" s="15">
        <v>8.413181818181819</v>
      </c>
      <c r="F181" s="15">
        <v>2.3354909090909093</v>
      </c>
      <c r="G181" s="15">
        <v>593.95954545454549</v>
      </c>
      <c r="H181" s="15">
        <v>2.8630454545454542</v>
      </c>
      <c r="I181" s="15">
        <v>13.235422727272727</v>
      </c>
      <c r="J181" s="15">
        <v>84.365681818181798</v>
      </c>
    </row>
    <row r="182" spans="1:10">
      <c r="A182" s="13">
        <v>41913</v>
      </c>
      <c r="B182" s="14">
        <f t="shared" si="4"/>
        <v>2014</v>
      </c>
      <c r="C182" s="14">
        <f t="shared" si="5"/>
        <v>10</v>
      </c>
      <c r="D182" s="15">
        <v>2048.5726086956529</v>
      </c>
      <c r="E182" s="15">
        <v>8.4755869565217399</v>
      </c>
      <c r="F182" s="15">
        <v>2.4495521739130437</v>
      </c>
      <c r="G182" s="15">
        <v>587.6965217391305</v>
      </c>
      <c r="H182" s="15">
        <v>2.9058043478260864</v>
      </c>
      <c r="I182" s="15">
        <v>13.479560869565217</v>
      </c>
      <c r="J182" s="15">
        <v>85.680652173913046</v>
      </c>
    </row>
    <row r="183" spans="1:10">
      <c r="A183" s="13">
        <v>41944</v>
      </c>
      <c r="B183" s="14">
        <f t="shared" si="4"/>
        <v>2014</v>
      </c>
      <c r="C183" s="14">
        <f t="shared" si="5"/>
        <v>11</v>
      </c>
      <c r="D183" s="15">
        <v>2134.5254999999997</v>
      </c>
      <c r="E183" s="15">
        <v>8.5116150000000008</v>
      </c>
      <c r="F183" s="15">
        <v>2.5502800000000003</v>
      </c>
      <c r="G183" s="15">
        <v>594.18650000000002</v>
      </c>
      <c r="H183" s="15">
        <v>2.9234250000000004</v>
      </c>
      <c r="I183" s="15">
        <v>13.627620000000002</v>
      </c>
      <c r="J183" s="15">
        <v>87.722149999999985</v>
      </c>
    </row>
    <row r="184" spans="1:10">
      <c r="A184" s="13">
        <v>41974</v>
      </c>
      <c r="B184" s="14">
        <f t="shared" si="4"/>
        <v>2014</v>
      </c>
      <c r="C184" s="14">
        <f t="shared" si="5"/>
        <v>12</v>
      </c>
      <c r="D184" s="15">
        <v>2350.4343478260871</v>
      </c>
      <c r="E184" s="15">
        <v>8.546639130434782</v>
      </c>
      <c r="F184" s="15">
        <v>2.646473913043478</v>
      </c>
      <c r="G184" s="15">
        <v>612.01173913043488</v>
      </c>
      <c r="H184" s="15">
        <v>2.9623913043478258</v>
      </c>
      <c r="I184" s="15">
        <v>14.548034782608694</v>
      </c>
      <c r="J184" s="15">
        <v>89.191913043478266</v>
      </c>
    </row>
    <row r="185" spans="1:10">
      <c r="A185" s="13">
        <v>42005</v>
      </c>
      <c r="B185" s="14">
        <f t="shared" si="4"/>
        <v>2015</v>
      </c>
      <c r="C185" s="14">
        <f t="shared" si="5"/>
        <v>1</v>
      </c>
      <c r="D185" s="15">
        <v>2399.3881818181817</v>
      </c>
      <c r="E185" s="15">
        <v>8.595486363636363</v>
      </c>
      <c r="F185" s="15">
        <v>2.6343272727272731</v>
      </c>
      <c r="G185" s="15">
        <v>621.2268181818182</v>
      </c>
      <c r="H185" s="15">
        <v>3.0029272727272729</v>
      </c>
      <c r="I185" s="15">
        <v>14.6983</v>
      </c>
      <c r="J185" s="15">
        <v>92.815045454545441</v>
      </c>
    </row>
    <row r="186" spans="1:10">
      <c r="A186" s="13">
        <v>42036</v>
      </c>
      <c r="B186" s="14">
        <f t="shared" si="4"/>
        <v>2015</v>
      </c>
      <c r="C186" s="14">
        <f t="shared" si="5"/>
        <v>2</v>
      </c>
      <c r="D186" s="15">
        <v>2422.4230000000002</v>
      </c>
      <c r="E186" s="15">
        <v>8.6814750000000007</v>
      </c>
      <c r="F186" s="15">
        <v>2.81881</v>
      </c>
      <c r="G186" s="15">
        <v>622.1105</v>
      </c>
      <c r="H186" s="15">
        <v>3.0776750000000002</v>
      </c>
      <c r="I186" s="15">
        <v>14.912690000000001</v>
      </c>
      <c r="J186" s="15">
        <v>94.454599999999985</v>
      </c>
    </row>
    <row r="187" spans="1:10">
      <c r="A187" s="13">
        <v>42064</v>
      </c>
      <c r="B187" s="14">
        <f t="shared" si="4"/>
        <v>2015</v>
      </c>
      <c r="C187" s="14">
        <f t="shared" si="5"/>
        <v>3</v>
      </c>
      <c r="D187" s="15">
        <v>2590.5640909090912</v>
      </c>
      <c r="E187" s="15">
        <v>8.7767999999999979</v>
      </c>
      <c r="F187" s="15">
        <v>3.1439727272727271</v>
      </c>
      <c r="G187" s="15">
        <v>628.04454545454553</v>
      </c>
      <c r="H187" s="15">
        <v>3.0834045454545458</v>
      </c>
      <c r="I187" s="15">
        <v>15.232886363636368</v>
      </c>
      <c r="J187" s="15">
        <v>97.897318181818179</v>
      </c>
    </row>
    <row r="188" spans="1:10">
      <c r="A188" s="13">
        <v>42095</v>
      </c>
      <c r="B188" s="14">
        <f t="shared" si="4"/>
        <v>2015</v>
      </c>
      <c r="C188" s="14">
        <f t="shared" si="5"/>
        <v>4</v>
      </c>
      <c r="D188" s="15">
        <v>2490.0422727272726</v>
      </c>
      <c r="E188" s="15">
        <v>8.8658318181818192</v>
      </c>
      <c r="F188" s="15">
        <v>3.0424681818181813</v>
      </c>
      <c r="G188" s="15">
        <v>613.16272727272724</v>
      </c>
      <c r="H188" s="15">
        <v>3.1065318181818182</v>
      </c>
      <c r="I188" s="15">
        <v>15.20865</v>
      </c>
      <c r="J188" s="15">
        <v>97.519363636363636</v>
      </c>
    </row>
    <row r="189" spans="1:10">
      <c r="A189" s="13">
        <v>42125</v>
      </c>
      <c r="B189" s="14">
        <f t="shared" si="4"/>
        <v>2015</v>
      </c>
      <c r="C189" s="14">
        <f t="shared" si="5"/>
        <v>5</v>
      </c>
      <c r="D189" s="15">
        <v>2439.7857142857142</v>
      </c>
      <c r="E189" s="15">
        <v>8.9511428571428571</v>
      </c>
      <c r="F189" s="15">
        <v>3.0568380952380956</v>
      </c>
      <c r="G189" s="15">
        <v>607.45761904761912</v>
      </c>
      <c r="H189" s="15">
        <v>3.1373809523809526</v>
      </c>
      <c r="I189" s="15">
        <v>15.270361904761904</v>
      </c>
      <c r="J189" s="15">
        <v>95.237142857142842</v>
      </c>
    </row>
    <row r="190" spans="1:10">
      <c r="A190" s="13">
        <v>42156</v>
      </c>
      <c r="B190" s="14">
        <f t="shared" si="4"/>
        <v>2015</v>
      </c>
      <c r="C190" s="14">
        <f t="shared" si="5"/>
        <v>6</v>
      </c>
      <c r="D190" s="15">
        <v>2561.2227272727273</v>
      </c>
      <c r="E190" s="15">
        <v>9.0484454545454547</v>
      </c>
      <c r="F190" s="15">
        <v>3.1093090909090919</v>
      </c>
      <c r="G190" s="15">
        <v>631.32136363636346</v>
      </c>
      <c r="H190" s="15">
        <v>3.1524636363636365</v>
      </c>
      <c r="I190" s="15">
        <v>15.476181818181818</v>
      </c>
      <c r="J190" s="15">
        <v>95.168590909090895</v>
      </c>
    </row>
    <row r="191" spans="1:10">
      <c r="A191" s="13">
        <v>42186</v>
      </c>
      <c r="B191" s="14">
        <f t="shared" si="4"/>
        <v>2015</v>
      </c>
      <c r="C191" s="14">
        <f t="shared" si="5"/>
        <v>7</v>
      </c>
      <c r="D191" s="15">
        <v>2747.3747826086956</v>
      </c>
      <c r="E191" s="15">
        <v>9.1430565217391315</v>
      </c>
      <c r="F191" s="15">
        <v>3.2235565217391313</v>
      </c>
      <c r="G191" s="15">
        <v>651.02391304347816</v>
      </c>
      <c r="H191" s="15">
        <v>3.1715608695652171</v>
      </c>
      <c r="I191" s="15">
        <v>15.944043478260873</v>
      </c>
      <c r="J191" s="15">
        <v>96.925260869565193</v>
      </c>
    </row>
    <row r="192" spans="1:10">
      <c r="A192" s="13">
        <v>42217</v>
      </c>
      <c r="B192" s="14">
        <f t="shared" si="4"/>
        <v>2015</v>
      </c>
      <c r="C192" s="14">
        <f t="shared" si="5"/>
        <v>8</v>
      </c>
      <c r="D192" s="15">
        <v>3028.4904761904754</v>
      </c>
      <c r="E192" s="15">
        <v>9.2462380952380965</v>
      </c>
      <c r="F192" s="15">
        <v>3.5118238095238095</v>
      </c>
      <c r="G192" s="15">
        <v>688.73428571428553</v>
      </c>
      <c r="H192" s="15">
        <v>3.2310142857142856</v>
      </c>
      <c r="I192" s="15">
        <v>16.563547619047618</v>
      </c>
      <c r="J192" s="15">
        <v>96.388095238095232</v>
      </c>
    </row>
    <row r="193" spans="1:10">
      <c r="A193" s="13">
        <v>42248</v>
      </c>
      <c r="B193" s="14">
        <f t="shared" si="4"/>
        <v>2015</v>
      </c>
      <c r="C193" s="14">
        <f t="shared" si="5"/>
        <v>9</v>
      </c>
      <c r="D193" s="15">
        <v>3074.110454545455</v>
      </c>
      <c r="E193" s="15">
        <v>9.3649636363636368</v>
      </c>
      <c r="F193" s="15">
        <v>3.8992045454545448</v>
      </c>
      <c r="G193" s="15">
        <v>690.79227272727303</v>
      </c>
      <c r="H193" s="15">
        <v>3.2095500000000001</v>
      </c>
      <c r="I193" s="15">
        <v>16.840381818181818</v>
      </c>
      <c r="J193" s="15">
        <v>95.814590909090924</v>
      </c>
    </row>
    <row r="194" spans="1:10">
      <c r="A194" s="13">
        <v>42278</v>
      </c>
      <c r="B194" s="14">
        <f t="shared" si="4"/>
        <v>2015</v>
      </c>
      <c r="C194" s="14">
        <f t="shared" si="5"/>
        <v>10</v>
      </c>
      <c r="D194" s="15">
        <v>2922.4627272727271</v>
      </c>
      <c r="E194" s="15">
        <v>9.4748090909090887</v>
      </c>
      <c r="F194" s="15">
        <v>3.8749818181818183</v>
      </c>
      <c r="G194" s="15">
        <v>683.71272727272731</v>
      </c>
      <c r="H194" s="15">
        <v>3.2365681818181824</v>
      </c>
      <c r="I194" s="15">
        <v>16.574259090909091</v>
      </c>
      <c r="J194" s="15">
        <v>95.718363636363634</v>
      </c>
    </row>
    <row r="195" spans="1:10">
      <c r="A195" s="13">
        <v>42309</v>
      </c>
      <c r="B195" s="14">
        <f t="shared" si="4"/>
        <v>2015</v>
      </c>
      <c r="C195" s="14">
        <f t="shared" si="5"/>
        <v>11</v>
      </c>
      <c r="D195" s="15">
        <v>3008.390476190476</v>
      </c>
      <c r="E195" s="15">
        <v>9.6023190476190479</v>
      </c>
      <c r="F195" s="15">
        <v>3.7778285714285706</v>
      </c>
      <c r="G195" s="15">
        <v>705.29809523809547</v>
      </c>
      <c r="H195" s="15">
        <v>3.3270571428571438</v>
      </c>
      <c r="I195" s="15">
        <v>16.625038095238093</v>
      </c>
      <c r="J195" s="15">
        <v>99.069571428571464</v>
      </c>
    </row>
    <row r="196" spans="1:10">
      <c r="A196" s="13">
        <v>42339</v>
      </c>
      <c r="B196" s="14">
        <f t="shared" si="4"/>
        <v>2015</v>
      </c>
      <c r="C196" s="14">
        <f t="shared" si="5"/>
        <v>12</v>
      </c>
      <c r="D196" s="15">
        <v>3245.7926086956518</v>
      </c>
      <c r="E196" s="15">
        <v>11.309034782608698</v>
      </c>
      <c r="F196" s="15">
        <v>3.8764304347826082</v>
      </c>
      <c r="G196" s="15">
        <v>703.89434782608691</v>
      </c>
      <c r="H196" s="15">
        <v>3.372465217391305</v>
      </c>
      <c r="I196" s="15">
        <v>17.06872608695652</v>
      </c>
      <c r="J196" s="15">
        <v>98.314347826086959</v>
      </c>
    </row>
    <row r="197" spans="1:10">
      <c r="A197" s="13">
        <v>42370</v>
      </c>
      <c r="B197" s="14">
        <f t="shared" ref="B197:B260" si="6">+YEAR(A197)</f>
        <v>2016</v>
      </c>
      <c r="C197" s="14">
        <f t="shared" ref="C197:C260" si="7">+MONTH(A197)</f>
        <v>1</v>
      </c>
      <c r="D197" s="15">
        <v>3285.5395238095239</v>
      </c>
      <c r="E197" s="15">
        <v>13.593699999999998</v>
      </c>
      <c r="F197" s="15">
        <v>4.0478380952380952</v>
      </c>
      <c r="G197" s="15">
        <v>721.16190476190479</v>
      </c>
      <c r="H197" s="15">
        <v>3.4309380952380955</v>
      </c>
      <c r="I197" s="15">
        <v>18.050671428571427</v>
      </c>
      <c r="J197" s="15">
        <v>98.996523809523794</v>
      </c>
    </row>
    <row r="198" spans="1:10">
      <c r="A198" s="13">
        <v>42401</v>
      </c>
      <c r="B198" s="14">
        <f t="shared" si="6"/>
        <v>2016</v>
      </c>
      <c r="C198" s="14">
        <f t="shared" si="7"/>
        <v>2</v>
      </c>
      <c r="D198" s="15">
        <v>3354.1861904761899</v>
      </c>
      <c r="E198" s="15">
        <v>14.783157142857146</v>
      </c>
      <c r="F198" s="15">
        <v>3.9647571428571431</v>
      </c>
      <c r="G198" s="15">
        <v>702.71000000000026</v>
      </c>
      <c r="H198" s="15">
        <v>3.5037380952380954</v>
      </c>
      <c r="I198" s="15">
        <v>18.457114285714283</v>
      </c>
      <c r="J198" s="15">
        <v>97.040761904761894</v>
      </c>
    </row>
    <row r="199" spans="1:10">
      <c r="A199" s="13">
        <v>42430</v>
      </c>
      <c r="B199" s="14">
        <f t="shared" si="6"/>
        <v>2016</v>
      </c>
      <c r="C199" s="14">
        <f t="shared" si="7"/>
        <v>3</v>
      </c>
      <c r="D199" s="15">
        <v>3115.8508695652163</v>
      </c>
      <c r="E199" s="15">
        <v>14.89926086956522</v>
      </c>
      <c r="F199" s="15">
        <v>3.6914913043478266</v>
      </c>
      <c r="G199" s="15">
        <v>679.66869565217394</v>
      </c>
      <c r="H199" s="15">
        <v>3.3981826086956524</v>
      </c>
      <c r="I199" s="15">
        <v>17.60728695652174</v>
      </c>
      <c r="J199" s="15">
        <v>96.259913043478264</v>
      </c>
    </row>
    <row r="200" spans="1:10">
      <c r="A200" s="13">
        <v>42461</v>
      </c>
      <c r="B200" s="14">
        <f t="shared" si="6"/>
        <v>2016</v>
      </c>
      <c r="C200" s="14">
        <f t="shared" si="7"/>
        <v>4</v>
      </c>
      <c r="D200" s="15">
        <v>2988.3661904761902</v>
      </c>
      <c r="E200" s="15">
        <v>14.37738095238095</v>
      </c>
      <c r="F200" s="15">
        <v>3.5512523809523806</v>
      </c>
      <c r="G200" s="15">
        <v>668.95999999999992</v>
      </c>
      <c r="H200" s="15">
        <v>3.2960238095238092</v>
      </c>
      <c r="I200" s="15">
        <v>17.472971428571427</v>
      </c>
      <c r="J200" s="15">
        <v>94.40361904761906</v>
      </c>
    </row>
    <row r="201" spans="1:10">
      <c r="A201" s="13">
        <v>42491</v>
      </c>
      <c r="B201" s="14">
        <f t="shared" si="6"/>
        <v>2016</v>
      </c>
      <c r="C201" s="14">
        <f t="shared" si="7"/>
        <v>5</v>
      </c>
      <c r="D201" s="15">
        <v>3000.9809090909093</v>
      </c>
      <c r="E201" s="15">
        <v>14.104954545454547</v>
      </c>
      <c r="F201" s="15">
        <v>3.5378454545454545</v>
      </c>
      <c r="G201" s="15">
        <v>683.78772727272724</v>
      </c>
      <c r="H201" s="15">
        <v>3.3308090909090917</v>
      </c>
      <c r="I201" s="15">
        <v>18.168081818181818</v>
      </c>
      <c r="J201" s="15">
        <v>94.567909090909083</v>
      </c>
    </row>
    <row r="202" spans="1:10">
      <c r="A202" s="13">
        <v>42522</v>
      </c>
      <c r="B202" s="14">
        <f t="shared" si="6"/>
        <v>2016</v>
      </c>
      <c r="C202" s="14">
        <f t="shared" si="7"/>
        <v>6</v>
      </c>
      <c r="D202" s="15">
        <v>2983.0317391304352</v>
      </c>
      <c r="E202" s="15">
        <v>14.130260869565214</v>
      </c>
      <c r="F202" s="15">
        <v>3.4210521739130431</v>
      </c>
      <c r="G202" s="15">
        <v>678.83478260869572</v>
      </c>
      <c r="H202" s="15">
        <v>3.3090347826086948</v>
      </c>
      <c r="I202" s="15">
        <v>18.626873913043482</v>
      </c>
      <c r="J202" s="15">
        <v>94.635565217391317</v>
      </c>
    </row>
    <row r="203" spans="1:10">
      <c r="A203" s="13">
        <v>42552</v>
      </c>
      <c r="B203" s="14">
        <f t="shared" si="6"/>
        <v>2016</v>
      </c>
      <c r="C203" s="14">
        <f t="shared" si="7"/>
        <v>7</v>
      </c>
      <c r="D203" s="15">
        <v>2968.867619047619</v>
      </c>
      <c r="E203" s="15">
        <v>14.872238095238098</v>
      </c>
      <c r="F203" s="15">
        <v>3.27834761904762</v>
      </c>
      <c r="G203" s="15">
        <v>657.14904761904768</v>
      </c>
      <c r="H203" s="15">
        <v>3.3029285714285712</v>
      </c>
      <c r="I203" s="15">
        <v>18.589366666666667</v>
      </c>
      <c r="J203" s="15">
        <v>96.528095238095247</v>
      </c>
    </row>
    <row r="204" spans="1:10">
      <c r="A204" s="13">
        <v>42583</v>
      </c>
      <c r="B204" s="14">
        <f t="shared" si="6"/>
        <v>2016</v>
      </c>
      <c r="C204" s="14">
        <f t="shared" si="7"/>
        <v>8</v>
      </c>
      <c r="D204" s="15">
        <v>2955.5826086956527</v>
      </c>
      <c r="E204" s="15">
        <v>14.817847826086959</v>
      </c>
      <c r="F204" s="15">
        <v>3.2079782608695653</v>
      </c>
      <c r="G204" s="15">
        <v>659.78913043478281</v>
      </c>
      <c r="H204" s="15">
        <v>3.3322478260869559</v>
      </c>
      <c r="I204" s="15">
        <v>18.490704347826089</v>
      </c>
      <c r="J204" s="15">
        <v>95.38039130434781</v>
      </c>
    </row>
    <row r="205" spans="1:10">
      <c r="A205" s="13">
        <v>42614</v>
      </c>
      <c r="B205" s="14">
        <f t="shared" si="6"/>
        <v>2016</v>
      </c>
      <c r="C205" s="14">
        <f t="shared" si="7"/>
        <v>9</v>
      </c>
      <c r="D205" s="15">
        <v>2913.5877272727271</v>
      </c>
      <c r="E205" s="15">
        <v>15.097545454545457</v>
      </c>
      <c r="F205" s="15">
        <v>3.2515727272727264</v>
      </c>
      <c r="G205" s="15">
        <v>667.05363636363643</v>
      </c>
      <c r="H205" s="15">
        <v>3.3770636363636357</v>
      </c>
      <c r="I205" s="15">
        <v>19.19559090909091</v>
      </c>
      <c r="J205" s="15">
        <v>95.479090909090928</v>
      </c>
    </row>
    <row r="206" spans="1:10">
      <c r="A206" s="13">
        <v>42644</v>
      </c>
      <c r="B206" s="14">
        <f t="shared" si="6"/>
        <v>2016</v>
      </c>
      <c r="C206" s="14">
        <f t="shared" si="7"/>
        <v>10</v>
      </c>
      <c r="D206" s="15">
        <v>2934.3047619047616</v>
      </c>
      <c r="E206" s="15">
        <v>15.163452380952382</v>
      </c>
      <c r="F206" s="15">
        <v>3.1856761904761903</v>
      </c>
      <c r="G206" s="15">
        <v>662.77857142857158</v>
      </c>
      <c r="H206" s="15">
        <v>3.381699999999999</v>
      </c>
      <c r="I206" s="15">
        <v>18.882190476190473</v>
      </c>
      <c r="J206" s="15">
        <v>97.714476190476191</v>
      </c>
    </row>
    <row r="207" spans="1:10">
      <c r="A207" s="13">
        <v>42675</v>
      </c>
      <c r="B207" s="14">
        <f t="shared" si="6"/>
        <v>2016</v>
      </c>
      <c r="C207" s="14">
        <f t="shared" si="7"/>
        <v>11</v>
      </c>
      <c r="D207" s="15">
        <v>3106.5040909090908</v>
      </c>
      <c r="E207" s="15">
        <v>15.334159090909088</v>
      </c>
      <c r="F207" s="15">
        <v>3.3393636363636361</v>
      </c>
      <c r="G207" s="15">
        <v>666.22909090909081</v>
      </c>
      <c r="H207" s="15">
        <v>3.3976545454545457</v>
      </c>
      <c r="I207" s="15">
        <v>20.081150000000001</v>
      </c>
      <c r="J207" s="15">
        <v>99.768181818181816</v>
      </c>
    </row>
    <row r="208" spans="1:10">
      <c r="A208" s="13">
        <v>42705</v>
      </c>
      <c r="B208" s="14">
        <f t="shared" si="6"/>
        <v>2016</v>
      </c>
      <c r="C208" s="14">
        <f t="shared" si="7"/>
        <v>12</v>
      </c>
      <c r="D208" s="15">
        <v>3006.3104545454539</v>
      </c>
      <c r="E208" s="15">
        <v>15.837159090909086</v>
      </c>
      <c r="F208" s="15">
        <v>3.3475954545454556</v>
      </c>
      <c r="G208" s="15">
        <v>665.99409090909091</v>
      </c>
      <c r="H208" s="15">
        <v>3.3932227272727271</v>
      </c>
      <c r="I208" s="15">
        <v>20.51404545454545</v>
      </c>
      <c r="J208" s="15">
        <v>102.04136363636363</v>
      </c>
    </row>
    <row r="209" spans="1:10">
      <c r="A209" s="13">
        <v>42736</v>
      </c>
      <c r="B209" s="14">
        <f t="shared" si="6"/>
        <v>2017</v>
      </c>
      <c r="C209" s="14">
        <f t="shared" si="7"/>
        <v>1</v>
      </c>
      <c r="D209" s="15">
        <v>2938.9763636363637</v>
      </c>
      <c r="E209" s="15">
        <v>15.896500000000001</v>
      </c>
      <c r="F209" s="15">
        <v>3.1967772727272727</v>
      </c>
      <c r="G209" s="15">
        <v>659.88227272727283</v>
      </c>
      <c r="H209" s="15">
        <v>3.3360727272727271</v>
      </c>
      <c r="I209" s="15">
        <v>21.389313636363635</v>
      </c>
      <c r="J209" s="15">
        <v>101.20236363636364</v>
      </c>
    </row>
    <row r="210" spans="1:10">
      <c r="A210" s="13">
        <v>42767</v>
      </c>
      <c r="B210" s="14">
        <f t="shared" si="6"/>
        <v>2017</v>
      </c>
      <c r="C210" s="14">
        <f t="shared" si="7"/>
        <v>2</v>
      </c>
      <c r="D210" s="15">
        <v>2876.0610000000001</v>
      </c>
      <c r="E210" s="15">
        <v>15.566900000000004</v>
      </c>
      <c r="F210" s="15">
        <v>3.1020100000000004</v>
      </c>
      <c r="G210" s="15">
        <v>643.02049999999997</v>
      </c>
      <c r="H210" s="15">
        <v>3.25685</v>
      </c>
      <c r="I210" s="15">
        <v>20.270644999999998</v>
      </c>
      <c r="J210" s="15">
        <v>100.6953</v>
      </c>
    </row>
    <row r="211" spans="1:10">
      <c r="A211" s="13">
        <v>42795</v>
      </c>
      <c r="B211" s="14">
        <f t="shared" si="6"/>
        <v>2017</v>
      </c>
      <c r="C211" s="14">
        <f t="shared" si="7"/>
        <v>3</v>
      </c>
      <c r="D211" s="15">
        <v>2936.2934782608695</v>
      </c>
      <c r="E211" s="15">
        <v>15.510695652173911</v>
      </c>
      <c r="F211" s="15">
        <v>3.1256956521739139</v>
      </c>
      <c r="G211" s="15">
        <v>661.38086956521727</v>
      </c>
      <c r="H211" s="15">
        <v>3.2590913043478262</v>
      </c>
      <c r="I211" s="15">
        <v>19.267969565217392</v>
      </c>
      <c r="J211" s="15">
        <v>100.75969565217389</v>
      </c>
    </row>
    <row r="212" spans="1:10">
      <c r="A212" s="13">
        <v>42826</v>
      </c>
      <c r="B212" s="14">
        <f t="shared" si="6"/>
        <v>2017</v>
      </c>
      <c r="C212" s="14">
        <f t="shared" si="7"/>
        <v>4</v>
      </c>
      <c r="D212" s="15">
        <v>2874.2365</v>
      </c>
      <c r="E212" s="15">
        <v>15.320849999999998</v>
      </c>
      <c r="F212" s="15">
        <v>3.1374300000000002</v>
      </c>
      <c r="G212" s="15">
        <v>654.97800000000007</v>
      </c>
      <c r="H212" s="15">
        <v>3.2447249999999999</v>
      </c>
      <c r="I212" s="15">
        <v>18.742995000000001</v>
      </c>
      <c r="J212" s="15">
        <v>100.07250000000002</v>
      </c>
    </row>
    <row r="213" spans="1:10">
      <c r="A213" s="13">
        <v>42856</v>
      </c>
      <c r="B213" s="14">
        <f t="shared" si="6"/>
        <v>2017</v>
      </c>
      <c r="C213" s="14">
        <f t="shared" si="7"/>
        <v>5</v>
      </c>
      <c r="D213" s="15">
        <v>2921.3917391304353</v>
      </c>
      <c r="E213" s="15">
        <v>15.701543478260868</v>
      </c>
      <c r="F213" s="15">
        <v>3.2051260869565219</v>
      </c>
      <c r="G213" s="15">
        <v>671.51434782608692</v>
      </c>
      <c r="H213" s="15">
        <v>3.2694782608695654</v>
      </c>
      <c r="I213" s="15">
        <v>18.763917391304346</v>
      </c>
      <c r="J213" s="15">
        <v>98.238608695652189</v>
      </c>
    </row>
    <row r="214" spans="1:10">
      <c r="A214" s="13">
        <v>42887</v>
      </c>
      <c r="B214" s="14">
        <f t="shared" si="6"/>
        <v>2017</v>
      </c>
      <c r="C214" s="14">
        <f t="shared" si="7"/>
        <v>6</v>
      </c>
      <c r="D214" s="15">
        <v>2967.2563636363634</v>
      </c>
      <c r="E214" s="15">
        <v>16.105499999999999</v>
      </c>
      <c r="F214" s="15">
        <v>3.2952363636363629</v>
      </c>
      <c r="G214" s="15">
        <v>664.58181818181811</v>
      </c>
      <c r="H214" s="15">
        <v>3.2622863636363637</v>
      </c>
      <c r="I214" s="15">
        <v>18.129022727272726</v>
      </c>
      <c r="J214" s="15">
        <v>96.943045454545441</v>
      </c>
    </row>
    <row r="215" spans="1:10">
      <c r="A215" s="13">
        <v>42917</v>
      </c>
      <c r="B215" s="14">
        <f t="shared" si="6"/>
        <v>2017</v>
      </c>
      <c r="C215" s="14">
        <f t="shared" si="7"/>
        <v>7</v>
      </c>
      <c r="D215" s="15">
        <v>3034.3971428571426</v>
      </c>
      <c r="E215" s="15">
        <v>17.170571428571428</v>
      </c>
      <c r="F215" s="15">
        <v>3.1998428571428574</v>
      </c>
      <c r="G215" s="15">
        <v>657.28666666666663</v>
      </c>
      <c r="H215" s="15">
        <v>3.2453761904761897</v>
      </c>
      <c r="I215" s="15">
        <v>17.810319047619046</v>
      </c>
      <c r="J215" s="15">
        <v>94.915857142857149</v>
      </c>
    </row>
    <row r="216" spans="1:10">
      <c r="A216" s="13">
        <v>42948</v>
      </c>
      <c r="B216" s="14">
        <f t="shared" si="6"/>
        <v>2017</v>
      </c>
      <c r="C216" s="14">
        <f t="shared" si="7"/>
        <v>8</v>
      </c>
      <c r="D216" s="15">
        <v>2969.2773913043479</v>
      </c>
      <c r="E216" s="15">
        <v>17.399391304347823</v>
      </c>
      <c r="F216" s="15">
        <v>3.1520739130434792</v>
      </c>
      <c r="G216" s="15">
        <v>642.69478260869573</v>
      </c>
      <c r="H216" s="15">
        <v>3.2374956521739131</v>
      </c>
      <c r="I216" s="15">
        <v>17.795947826086955</v>
      </c>
      <c r="J216" s="15">
        <v>93.175217391304358</v>
      </c>
    </row>
    <row r="217" spans="1:10">
      <c r="A217" s="13">
        <v>42979</v>
      </c>
      <c r="B217" s="14">
        <f t="shared" si="6"/>
        <v>2017</v>
      </c>
      <c r="C217" s="14">
        <f t="shared" si="7"/>
        <v>9</v>
      </c>
      <c r="D217" s="15">
        <v>2914.7018181818185</v>
      </c>
      <c r="E217" s="15">
        <v>17.227772727272722</v>
      </c>
      <c r="F217" s="15">
        <v>3.1344363636363637</v>
      </c>
      <c r="G217" s="15">
        <v>626.18272727272733</v>
      </c>
      <c r="H217" s="15">
        <v>3.2444500000000005</v>
      </c>
      <c r="I217" s="15">
        <v>17.857004545454551</v>
      </c>
      <c r="J217" s="15">
        <v>92.373681818181822</v>
      </c>
    </row>
    <row r="218" spans="1:10">
      <c r="A218" s="13">
        <v>43009</v>
      </c>
      <c r="B218" s="14">
        <f t="shared" si="6"/>
        <v>2017</v>
      </c>
      <c r="C218" s="14">
        <f t="shared" si="7"/>
        <v>10</v>
      </c>
      <c r="D218" s="15">
        <v>2958.4645454545457</v>
      </c>
      <c r="E218" s="15">
        <v>17.438318181818179</v>
      </c>
      <c r="F218" s="15">
        <v>3.1933272727272732</v>
      </c>
      <c r="G218" s="15">
        <v>629.75772727272749</v>
      </c>
      <c r="H218" s="15">
        <v>3.2473590909090904</v>
      </c>
      <c r="I218" s="15">
        <v>18.828486363636362</v>
      </c>
      <c r="J218" s="15">
        <v>93.708227272727285</v>
      </c>
    </row>
    <row r="219" spans="1:10">
      <c r="A219" s="13">
        <v>43040</v>
      </c>
      <c r="B219" s="14">
        <f t="shared" si="6"/>
        <v>2017</v>
      </c>
      <c r="C219" s="14">
        <f t="shared" si="7"/>
        <v>11</v>
      </c>
      <c r="D219" s="15">
        <v>3010.0118181818179</v>
      </c>
      <c r="E219" s="15">
        <v>17.465999999999998</v>
      </c>
      <c r="F219" s="15">
        <v>3.2610863636363634</v>
      </c>
      <c r="G219" s="15">
        <v>633.89863636363634</v>
      </c>
      <c r="H219" s="15">
        <v>3.2382181818181821</v>
      </c>
      <c r="I219" s="15">
        <v>18.909895454545456</v>
      </c>
      <c r="J219" s="15">
        <v>93.962499999999991</v>
      </c>
    </row>
    <row r="220" spans="1:10">
      <c r="A220" s="13">
        <v>43070</v>
      </c>
      <c r="B220" s="14">
        <f t="shared" si="6"/>
        <v>2017</v>
      </c>
      <c r="C220" s="14">
        <f t="shared" si="7"/>
        <v>12</v>
      </c>
      <c r="D220" s="15">
        <v>2986.1019047619052</v>
      </c>
      <c r="E220" s="15">
        <v>17.698238095238096</v>
      </c>
      <c r="F220" s="15">
        <v>3.2967095238095241</v>
      </c>
      <c r="G220" s="15">
        <v>634.76190476190482</v>
      </c>
      <c r="H220" s="15">
        <v>3.2432047619047615</v>
      </c>
      <c r="I220" s="15">
        <v>19.216128571428573</v>
      </c>
      <c r="J220" s="15">
        <v>93.381142857142876</v>
      </c>
    </row>
    <row r="221" spans="1:10">
      <c r="A221" s="13">
        <v>43101</v>
      </c>
      <c r="B221" s="14">
        <f t="shared" si="6"/>
        <v>2018</v>
      </c>
      <c r="C221" s="14">
        <f t="shared" si="7"/>
        <v>1</v>
      </c>
      <c r="D221" s="15">
        <v>2864.8908695652171</v>
      </c>
      <c r="E221" s="15">
        <v>19.001173913043477</v>
      </c>
      <c r="F221" s="15">
        <v>3.2122217391304351</v>
      </c>
      <c r="G221" s="15">
        <v>605.43739130434767</v>
      </c>
      <c r="H221" s="15">
        <v>3.2137869565217398</v>
      </c>
      <c r="I221" s="15">
        <v>18.933152173913044</v>
      </c>
      <c r="J221" s="15">
        <v>90.816173913043471</v>
      </c>
    </row>
    <row r="222" spans="1:10">
      <c r="A222" s="13">
        <v>43132</v>
      </c>
      <c r="B222" s="14">
        <f t="shared" si="6"/>
        <v>2018</v>
      </c>
      <c r="C222" s="14">
        <f t="shared" si="7"/>
        <v>2</v>
      </c>
      <c r="D222" s="15">
        <v>2857.558</v>
      </c>
      <c r="E222" s="15">
        <v>19.830599999999997</v>
      </c>
      <c r="F222" s="15">
        <v>3.2482449999999994</v>
      </c>
      <c r="G222" s="15">
        <v>596.10200000000009</v>
      </c>
      <c r="H222" s="15">
        <v>3.2482349999999998</v>
      </c>
      <c r="I222" s="15">
        <v>18.6538</v>
      </c>
      <c r="J222" s="15">
        <v>89.695599999999985</v>
      </c>
    </row>
    <row r="223" spans="1:10">
      <c r="A223" s="13">
        <v>43160</v>
      </c>
      <c r="B223" s="14">
        <f t="shared" si="6"/>
        <v>2018</v>
      </c>
      <c r="C223" s="14">
        <f t="shared" si="7"/>
        <v>3</v>
      </c>
      <c r="D223" s="15">
        <v>2842.3518181818176</v>
      </c>
      <c r="E223" s="15">
        <v>20.206136363636368</v>
      </c>
      <c r="F223" s="15">
        <v>3.2788136363636369</v>
      </c>
      <c r="G223" s="15">
        <v>603.84954545454525</v>
      </c>
      <c r="H223" s="15">
        <v>3.2457545454545458</v>
      </c>
      <c r="I223" s="15">
        <v>18.57523181818182</v>
      </c>
      <c r="J223" s="15">
        <v>89.877272727272725</v>
      </c>
    </row>
    <row r="224" spans="1:10">
      <c r="A224" s="13">
        <v>43191</v>
      </c>
      <c r="B224" s="14">
        <f t="shared" si="6"/>
        <v>2018</v>
      </c>
      <c r="C224" s="14">
        <f t="shared" si="7"/>
        <v>4</v>
      </c>
      <c r="D224" s="15">
        <v>2767.8052380952381</v>
      </c>
      <c r="E224" s="15">
        <v>20.221380952380947</v>
      </c>
      <c r="F224" s="15">
        <v>3.4085095238095242</v>
      </c>
      <c r="G224" s="15">
        <v>600.78380952380962</v>
      </c>
      <c r="H224" s="15">
        <v>3.2258619047619046</v>
      </c>
      <c r="I224" s="15">
        <v>18.377633333333332</v>
      </c>
      <c r="J224" s="15">
        <v>90.293047619047613</v>
      </c>
    </row>
    <row r="225" spans="1:10">
      <c r="A225" s="13">
        <v>43221</v>
      </c>
      <c r="B225" s="14">
        <f t="shared" si="6"/>
        <v>2018</v>
      </c>
      <c r="C225" s="14">
        <f t="shared" si="7"/>
        <v>5</v>
      </c>
      <c r="D225" s="15">
        <v>2860.143043478261</v>
      </c>
      <c r="E225" s="15">
        <v>23.558347826086962</v>
      </c>
      <c r="F225" s="15">
        <v>3.6308217391304338</v>
      </c>
      <c r="G225" s="15">
        <v>626.65695652173895</v>
      </c>
      <c r="H225" s="15">
        <v>3.2688217391304351</v>
      </c>
      <c r="I225" s="15">
        <v>19.542895652173915</v>
      </c>
      <c r="J225" s="15">
        <v>93.336304347826086</v>
      </c>
    </row>
    <row r="226" spans="1:10">
      <c r="A226" s="13">
        <v>43252</v>
      </c>
      <c r="B226" s="14">
        <f t="shared" si="6"/>
        <v>2018</v>
      </c>
      <c r="C226" s="14">
        <f t="shared" si="7"/>
        <v>6</v>
      </c>
      <c r="D226" s="15">
        <v>2892.5233333333335</v>
      </c>
      <c r="E226" s="15">
        <v>26.635571428571421</v>
      </c>
      <c r="F226" s="15">
        <v>3.7834000000000003</v>
      </c>
      <c r="G226" s="15">
        <v>637.28476190476204</v>
      </c>
      <c r="H226" s="15">
        <v>3.2689238095238098</v>
      </c>
      <c r="I226" s="15">
        <v>20.299871428571436</v>
      </c>
      <c r="J226" s="15">
        <v>94.371190476190492</v>
      </c>
    </row>
    <row r="227" spans="1:10">
      <c r="A227" s="13">
        <v>43282</v>
      </c>
      <c r="B227" s="14">
        <f t="shared" si="6"/>
        <v>2018</v>
      </c>
      <c r="C227" s="14">
        <f t="shared" si="7"/>
        <v>7</v>
      </c>
      <c r="D227" s="15">
        <v>2883.315454545454</v>
      </c>
      <c r="E227" s="15">
        <v>27.563954545454543</v>
      </c>
      <c r="F227" s="15">
        <v>3.8233500000000009</v>
      </c>
      <c r="G227" s="15">
        <v>651.26499999999999</v>
      </c>
      <c r="H227" s="15">
        <v>3.2731909090909088</v>
      </c>
      <c r="I227" s="15">
        <v>18.984063636363643</v>
      </c>
      <c r="J227" s="15">
        <v>94.609590909090912</v>
      </c>
    </row>
    <row r="228" spans="1:10">
      <c r="A228" s="13">
        <v>43313</v>
      </c>
      <c r="B228" s="14">
        <f t="shared" si="6"/>
        <v>2018</v>
      </c>
      <c r="C228" s="14">
        <f t="shared" si="7"/>
        <v>8</v>
      </c>
      <c r="D228" s="15">
        <v>2967.7269565217384</v>
      </c>
      <c r="E228" s="15">
        <v>30.120130434782606</v>
      </c>
      <c r="F228" s="15">
        <v>3.9299347826086959</v>
      </c>
      <c r="G228" s="15">
        <v>659.49217391304342</v>
      </c>
      <c r="H228" s="15">
        <v>3.2859826086956518</v>
      </c>
      <c r="I228" s="15">
        <v>18.839599999999997</v>
      </c>
      <c r="J228" s="15">
        <v>95.48047826086956</v>
      </c>
    </row>
    <row r="229" spans="1:10">
      <c r="A229" s="13">
        <v>43344</v>
      </c>
      <c r="B229" s="14">
        <f t="shared" si="6"/>
        <v>2018</v>
      </c>
      <c r="C229" s="14">
        <f t="shared" si="7"/>
        <v>9</v>
      </c>
      <c r="D229" s="15">
        <v>3031.0745000000006</v>
      </c>
      <c r="E229" s="15">
        <v>38.487249999999996</v>
      </c>
      <c r="F229" s="15">
        <v>4.108200000000001</v>
      </c>
      <c r="G229" s="15">
        <v>679.37800000000004</v>
      </c>
      <c r="H229" s="15">
        <v>3.3083900000000002</v>
      </c>
      <c r="I229" s="15">
        <v>18.997164999999995</v>
      </c>
      <c r="J229" s="15">
        <v>94.756700000000023</v>
      </c>
    </row>
    <row r="230" spans="1:10">
      <c r="A230" s="13">
        <v>43374</v>
      </c>
      <c r="B230" s="14">
        <f t="shared" si="6"/>
        <v>2018</v>
      </c>
      <c r="C230" s="14">
        <f t="shared" si="7"/>
        <v>10</v>
      </c>
      <c r="D230" s="15">
        <v>3093.8273913043486</v>
      </c>
      <c r="E230" s="15">
        <v>37.006130434782619</v>
      </c>
      <c r="F230" s="15">
        <v>3.7636347826086962</v>
      </c>
      <c r="G230" s="15">
        <v>679.46869565217389</v>
      </c>
      <c r="H230" s="15">
        <v>3.3317434782608695</v>
      </c>
      <c r="I230" s="15">
        <v>19.211204347826087</v>
      </c>
      <c r="J230" s="15">
        <v>95.851086956521726</v>
      </c>
    </row>
    <row r="231" spans="1:10">
      <c r="A231" s="13">
        <v>43405</v>
      </c>
      <c r="B231" s="14">
        <f t="shared" si="6"/>
        <v>2018</v>
      </c>
      <c r="C231" s="14">
        <f t="shared" si="7"/>
        <v>11</v>
      </c>
      <c r="D231" s="15">
        <v>3194.6240909090907</v>
      </c>
      <c r="E231" s="15">
        <v>36.43995454545454</v>
      </c>
      <c r="F231" s="15">
        <v>3.7870954545454554</v>
      </c>
      <c r="G231" s="15">
        <v>676.59090909090924</v>
      </c>
      <c r="H231" s="15">
        <v>3.3714727272727276</v>
      </c>
      <c r="I231" s="15">
        <v>20.239340909090906</v>
      </c>
      <c r="J231" s="15">
        <v>96.760409090909079</v>
      </c>
    </row>
    <row r="232" spans="1:10">
      <c r="A232" s="13">
        <v>43435</v>
      </c>
      <c r="B232" s="14">
        <f t="shared" si="6"/>
        <v>2018</v>
      </c>
      <c r="C232" s="14">
        <f t="shared" si="7"/>
        <v>12</v>
      </c>
      <c r="D232" s="15">
        <v>3219.9554545454539</v>
      </c>
      <c r="E232" s="15">
        <v>37.812318181818178</v>
      </c>
      <c r="F232" s="15">
        <v>3.8888045454545446</v>
      </c>
      <c r="G232" s="15">
        <v>684.85772727272717</v>
      </c>
      <c r="H232" s="15">
        <v>3.3588545454545451</v>
      </c>
      <c r="I232" s="15">
        <v>20.078318181818183</v>
      </c>
      <c r="J232" s="15">
        <v>96.872545454545445</v>
      </c>
    </row>
    <row r="233" spans="1:10">
      <c r="A233" s="13">
        <v>43466</v>
      </c>
      <c r="B233" s="14">
        <f t="shared" si="6"/>
        <v>2019</v>
      </c>
      <c r="C233" s="14">
        <f t="shared" si="7"/>
        <v>1</v>
      </c>
      <c r="D233" s="15">
        <v>3156.9173913043483</v>
      </c>
      <c r="E233" s="15">
        <v>37.348347826086957</v>
      </c>
      <c r="F233" s="15">
        <v>3.7403086956521743</v>
      </c>
      <c r="G233" s="15">
        <v>674.94130434782619</v>
      </c>
      <c r="H233" s="15">
        <v>3.3407478260869565</v>
      </c>
      <c r="I233" s="15">
        <v>19.172899999999998</v>
      </c>
      <c r="J233" s="15">
        <v>95.966260869565218</v>
      </c>
    </row>
    <row r="234" spans="1:10">
      <c r="A234" s="13">
        <v>43497</v>
      </c>
      <c r="B234" s="14">
        <f t="shared" si="6"/>
        <v>2019</v>
      </c>
      <c r="C234" s="14">
        <f t="shared" si="7"/>
        <v>2</v>
      </c>
      <c r="D234" s="15">
        <v>3110.2390476190476</v>
      </c>
      <c r="E234" s="15">
        <v>38.397619047619045</v>
      </c>
      <c r="F234" s="15">
        <v>3.7246666666666663</v>
      </c>
      <c r="G234" s="15">
        <v>655.46047619047624</v>
      </c>
      <c r="H234" s="15">
        <v>3.3184285714285706</v>
      </c>
      <c r="I234" s="15">
        <v>19.182771428571428</v>
      </c>
      <c r="J234" s="15">
        <v>96.477761904761905</v>
      </c>
    </row>
    <row r="235" spans="1:10">
      <c r="A235" s="13">
        <v>43525</v>
      </c>
      <c r="B235" s="14">
        <f t="shared" si="6"/>
        <v>2019</v>
      </c>
      <c r="C235" s="14">
        <f t="shared" si="7"/>
        <v>3</v>
      </c>
      <c r="D235" s="15">
        <v>3130.517142857143</v>
      </c>
      <c r="E235" s="15">
        <v>41.306952380952382</v>
      </c>
      <c r="F235" s="15">
        <v>3.8392380952380951</v>
      </c>
      <c r="G235" s="15">
        <v>669.52523809523802</v>
      </c>
      <c r="H235" s="15">
        <v>3.3014571428571422</v>
      </c>
      <c r="I235" s="15">
        <v>19.228728571428572</v>
      </c>
      <c r="J235" s="15">
        <v>96.779857142857168</v>
      </c>
    </row>
    <row r="236" spans="1:10">
      <c r="A236" s="13">
        <v>43556</v>
      </c>
      <c r="B236" s="14">
        <f t="shared" si="6"/>
        <v>2019</v>
      </c>
      <c r="C236" s="14">
        <f t="shared" si="7"/>
        <v>4</v>
      </c>
      <c r="D236" s="15">
        <v>3156.0418181818181</v>
      </c>
      <c r="E236" s="15">
        <v>43.05418181818181</v>
      </c>
      <c r="F236" s="15">
        <v>3.8966090909090907</v>
      </c>
      <c r="G236" s="15">
        <v>666.72545454545445</v>
      </c>
      <c r="H236" s="15">
        <v>3.3003363636363634</v>
      </c>
      <c r="I236" s="15">
        <v>18.94895</v>
      </c>
      <c r="J236" s="15">
        <v>97.364772727272737</v>
      </c>
    </row>
    <row r="237" spans="1:10">
      <c r="A237" s="13">
        <v>43586</v>
      </c>
      <c r="B237" s="14">
        <f t="shared" si="6"/>
        <v>2019</v>
      </c>
      <c r="C237" s="14">
        <f t="shared" si="7"/>
        <v>5</v>
      </c>
      <c r="D237" s="15">
        <v>3312.0082608695648</v>
      </c>
      <c r="E237" s="15">
        <v>44.796999999999997</v>
      </c>
      <c r="F237" s="15">
        <v>3.9949695652173904</v>
      </c>
      <c r="G237" s="15">
        <v>692.44869565217391</v>
      </c>
      <c r="H237" s="15">
        <v>3.3289391304347826</v>
      </c>
      <c r="I237" s="15">
        <v>19.104117391304353</v>
      </c>
      <c r="J237" s="15">
        <v>97.733782608695648</v>
      </c>
    </row>
    <row r="238" spans="1:10">
      <c r="A238" s="13">
        <v>43617</v>
      </c>
      <c r="B238" s="14">
        <f t="shared" si="6"/>
        <v>2019</v>
      </c>
      <c r="C238" s="14">
        <f t="shared" si="7"/>
        <v>6</v>
      </c>
      <c r="D238" s="15">
        <v>3248.0284999999999</v>
      </c>
      <c r="E238" s="15">
        <v>43.688200000000009</v>
      </c>
      <c r="F238" s="15">
        <v>3.8581700000000003</v>
      </c>
      <c r="G238" s="15">
        <v>690.22699999999998</v>
      </c>
      <c r="H238" s="15">
        <v>3.3225899999999995</v>
      </c>
      <c r="I238" s="15">
        <v>19.270249999999997</v>
      </c>
      <c r="J238" s="15">
        <v>96.799000000000007</v>
      </c>
    </row>
    <row r="239" spans="1:10">
      <c r="A239" s="13">
        <v>43647</v>
      </c>
      <c r="B239" s="14">
        <f t="shared" si="6"/>
        <v>2019</v>
      </c>
      <c r="C239" s="14">
        <f t="shared" si="7"/>
        <v>7</v>
      </c>
      <c r="D239" s="15">
        <v>3208.3747826086956</v>
      </c>
      <c r="E239" s="15">
        <v>42.446021739130437</v>
      </c>
      <c r="F239" s="15">
        <v>3.7808782608695646</v>
      </c>
      <c r="G239" s="15">
        <v>686.51695652173919</v>
      </c>
      <c r="H239" s="15">
        <v>3.2871173913043479</v>
      </c>
      <c r="I239" s="15">
        <v>19.047082608695654</v>
      </c>
      <c r="J239" s="15">
        <v>97.341478260869579</v>
      </c>
    </row>
    <row r="240" spans="1:10">
      <c r="A240" s="13">
        <v>43678</v>
      </c>
      <c r="B240" s="14">
        <f t="shared" si="6"/>
        <v>2019</v>
      </c>
      <c r="C240" s="14">
        <f t="shared" si="7"/>
        <v>8</v>
      </c>
      <c r="D240" s="15">
        <v>3421.5977272727268</v>
      </c>
      <c r="E240" s="15">
        <v>52.589136363636356</v>
      </c>
      <c r="F240" s="15">
        <v>4.0273454545454541</v>
      </c>
      <c r="G240" s="15">
        <v>713.87136363636353</v>
      </c>
      <c r="H240" s="15">
        <v>3.38</v>
      </c>
      <c r="I240" s="15">
        <v>19.694259090909092</v>
      </c>
      <c r="J240" s="15">
        <v>98.003090909090915</v>
      </c>
    </row>
    <row r="241" spans="1:10">
      <c r="A241" s="13">
        <v>43709</v>
      </c>
      <c r="B241" s="14">
        <f t="shared" si="6"/>
        <v>2019</v>
      </c>
      <c r="C241" s="14">
        <f t="shared" si="7"/>
        <v>9</v>
      </c>
      <c r="D241" s="15">
        <v>3400.6861904761909</v>
      </c>
      <c r="E241" s="15">
        <v>56.472476190476172</v>
      </c>
      <c r="F241" s="15">
        <v>4.1212333333333326</v>
      </c>
      <c r="G241" s="15">
        <v>718.01904761904757</v>
      </c>
      <c r="H241" s="15">
        <v>3.3559523809523806</v>
      </c>
      <c r="I241" s="15">
        <v>19.577185714285715</v>
      </c>
      <c r="J241" s="15">
        <v>98.6095714285714</v>
      </c>
    </row>
    <row r="242" spans="1:10">
      <c r="A242" s="13">
        <v>43739</v>
      </c>
      <c r="B242" s="14">
        <f t="shared" si="6"/>
        <v>2019</v>
      </c>
      <c r="C242" s="14">
        <f t="shared" si="7"/>
        <v>10</v>
      </c>
      <c r="D242" s="15">
        <v>3430.1333333333328</v>
      </c>
      <c r="E242" s="15">
        <v>58.386916666666679</v>
      </c>
      <c r="F242" s="15">
        <v>4.0841708333333333</v>
      </c>
      <c r="G242" s="15">
        <v>721.35791666666648</v>
      </c>
      <c r="H242" s="15">
        <v>3.3584958333333326</v>
      </c>
      <c r="I242" s="15">
        <v>19.32810416666667</v>
      </c>
      <c r="J242" s="15">
        <v>98.19745833333333</v>
      </c>
    </row>
    <row r="243" spans="1:10">
      <c r="A243" s="13">
        <v>43770</v>
      </c>
      <c r="B243" s="14">
        <f t="shared" si="6"/>
        <v>2019</v>
      </c>
      <c r="C243" s="14">
        <f t="shared" si="7"/>
        <v>11</v>
      </c>
      <c r="D243" s="15">
        <v>3407.8285714285712</v>
      </c>
      <c r="E243" s="15">
        <v>59.620714285714293</v>
      </c>
      <c r="F243" s="15">
        <v>4.1605523809523817</v>
      </c>
      <c r="G243" s="15">
        <v>778.467619047619</v>
      </c>
      <c r="H243" s="15">
        <v>3.3698523809523806</v>
      </c>
      <c r="I243" s="15">
        <v>19.307233333333333</v>
      </c>
      <c r="J243" s="15">
        <v>98.078761904761905</v>
      </c>
    </row>
    <row r="244" spans="1:10">
      <c r="A244" s="13">
        <v>43800</v>
      </c>
      <c r="B244" s="14">
        <f t="shared" si="6"/>
        <v>2019</v>
      </c>
      <c r="C244" s="14">
        <f t="shared" si="7"/>
        <v>12</v>
      </c>
      <c r="D244" s="15">
        <v>3363.5754545454542</v>
      </c>
      <c r="E244" s="15">
        <v>59.737045454545438</v>
      </c>
      <c r="F244" s="15">
        <v>4.106054545454545</v>
      </c>
      <c r="G244" s="15">
        <v>764.89727272727259</v>
      </c>
      <c r="H244" s="15">
        <v>3.3492363636363636</v>
      </c>
      <c r="I244" s="15">
        <v>19.092845454545454</v>
      </c>
      <c r="J244" s="15">
        <v>97.377863636363642</v>
      </c>
    </row>
    <row r="245" spans="1:10">
      <c r="A245" s="13">
        <v>43831</v>
      </c>
      <c r="B245" s="14">
        <f t="shared" si="6"/>
        <v>2020</v>
      </c>
      <c r="C245" s="14">
        <f t="shared" si="7"/>
        <v>1</v>
      </c>
      <c r="D245" s="15">
        <v>3316.8517391304345</v>
      </c>
      <c r="E245" s="15">
        <v>59.907739130434777</v>
      </c>
      <c r="F245" s="15">
        <v>4.1473260869565207</v>
      </c>
      <c r="G245" s="15">
        <v>773.78739130434781</v>
      </c>
      <c r="H245" s="15">
        <v>3.3254347826086952</v>
      </c>
      <c r="I245" s="15">
        <v>18.790317391304352</v>
      </c>
      <c r="J245" s="15">
        <v>97.399521739130435</v>
      </c>
    </row>
    <row r="246" spans="1:10">
      <c r="A246" s="13">
        <v>43862</v>
      </c>
      <c r="B246" s="14">
        <f t="shared" si="6"/>
        <v>2020</v>
      </c>
      <c r="C246" s="14">
        <f t="shared" si="7"/>
        <v>2</v>
      </c>
      <c r="D246" s="15">
        <v>3410.2733333333335</v>
      </c>
      <c r="E246" s="15">
        <v>61.257666666666658</v>
      </c>
      <c r="F246" s="15">
        <v>4.3481571428571426</v>
      </c>
      <c r="G246" s="15">
        <v>796.43095238095248</v>
      </c>
      <c r="H246" s="15">
        <v>3.388871428571429</v>
      </c>
      <c r="I246" s="15">
        <v>18.811914285714284</v>
      </c>
      <c r="J246" s="15">
        <v>98.876047619047611</v>
      </c>
    </row>
    <row r="247" spans="1:10">
      <c r="A247" s="13">
        <v>43891</v>
      </c>
      <c r="B247" s="14">
        <f t="shared" si="6"/>
        <v>2020</v>
      </c>
      <c r="C247" s="14">
        <f t="shared" si="7"/>
        <v>3</v>
      </c>
      <c r="D247" s="15">
        <v>3905.3304545454548</v>
      </c>
      <c r="E247" s="15">
        <v>63.091454545454546</v>
      </c>
      <c r="F247" s="15">
        <v>4.8957272727272727</v>
      </c>
      <c r="G247" s="15">
        <v>841.24954545454557</v>
      </c>
      <c r="H247" s="15">
        <v>3.4872136363636361</v>
      </c>
      <c r="I247" s="15">
        <v>22.313677272727272</v>
      </c>
      <c r="J247" s="15">
        <v>98.84322727272729</v>
      </c>
    </row>
    <row r="248" spans="1:10">
      <c r="A248" s="13">
        <v>43922</v>
      </c>
      <c r="B248" s="14">
        <f t="shared" si="6"/>
        <v>2020</v>
      </c>
      <c r="C248" s="14">
        <f t="shared" si="7"/>
        <v>4</v>
      </c>
      <c r="D248" s="15">
        <v>3959.3759090909098</v>
      </c>
      <c r="E248" s="15">
        <v>65.568954545454545</v>
      </c>
      <c r="F248" s="15">
        <v>5.3160772727272718</v>
      </c>
      <c r="G248" s="15">
        <v>851.24909090909102</v>
      </c>
      <c r="H248" s="15">
        <v>3.3941454545454546</v>
      </c>
      <c r="I248" s="15">
        <v>24.149681818181818</v>
      </c>
      <c r="J248" s="15">
        <v>99.889590909090899</v>
      </c>
    </row>
    <row r="249" spans="1:10">
      <c r="A249" s="13">
        <v>43952</v>
      </c>
      <c r="B249" s="14">
        <f t="shared" si="6"/>
        <v>2020</v>
      </c>
      <c r="C249" s="14">
        <f t="shared" si="7"/>
        <v>5</v>
      </c>
      <c r="D249" s="15">
        <v>3846.6285714285714</v>
      </c>
      <c r="E249" s="15">
        <v>67.609904761904744</v>
      </c>
      <c r="F249" s="15">
        <v>5.6283904761904768</v>
      </c>
      <c r="G249" s="15">
        <v>819.32761904761912</v>
      </c>
      <c r="H249" s="15">
        <v>3.4183761904761911</v>
      </c>
      <c r="I249" s="15">
        <v>23.451676190476189</v>
      </c>
      <c r="J249" s="15">
        <v>99.581809523809511</v>
      </c>
    </row>
    <row r="250" spans="1:10">
      <c r="A250" s="13">
        <v>43983</v>
      </c>
      <c r="B250" s="14">
        <f t="shared" si="6"/>
        <v>2020</v>
      </c>
      <c r="C250" s="14">
        <f t="shared" si="7"/>
        <v>6</v>
      </c>
      <c r="D250" s="15">
        <v>3702.6256521739128</v>
      </c>
      <c r="E250" s="15">
        <v>69.463043478260857</v>
      </c>
      <c r="F250" s="15">
        <v>5.1963086956521742</v>
      </c>
      <c r="G250" s="15">
        <v>796.8608695652174</v>
      </c>
      <c r="H250" s="15">
        <v>3.4741086956521738</v>
      </c>
      <c r="I250" s="15">
        <v>22.32729130434782</v>
      </c>
      <c r="J250" s="15">
        <v>97.106826086956517</v>
      </c>
    </row>
    <row r="251" spans="1:10">
      <c r="A251" s="13">
        <v>44013</v>
      </c>
      <c r="B251" s="14">
        <f t="shared" si="6"/>
        <v>2020</v>
      </c>
      <c r="C251" s="14">
        <f t="shared" si="7"/>
        <v>7</v>
      </c>
      <c r="D251" s="15">
        <v>3654.358695652174</v>
      </c>
      <c r="E251" s="15">
        <v>71.364173913043473</v>
      </c>
      <c r="F251" s="15">
        <v>5.2824956521739148</v>
      </c>
      <c r="G251" s="15">
        <v>781.28913043478269</v>
      </c>
      <c r="H251" s="15">
        <v>3.5138826086956523</v>
      </c>
      <c r="I251" s="15">
        <v>22.386321739130434</v>
      </c>
      <c r="J251" s="15">
        <v>95.583217391304359</v>
      </c>
    </row>
    <row r="252" spans="1:10">
      <c r="A252" s="13">
        <v>44044</v>
      </c>
      <c r="B252" s="14">
        <f t="shared" si="6"/>
        <v>2020</v>
      </c>
      <c r="C252" s="14">
        <f t="shared" si="7"/>
        <v>8</v>
      </c>
      <c r="D252" s="15">
        <v>3780.8814285714298</v>
      </c>
      <c r="E252" s="15">
        <v>73.199285714285736</v>
      </c>
      <c r="F252" s="15">
        <v>5.4588476190476198</v>
      </c>
      <c r="G252" s="15">
        <v>786.00047619047609</v>
      </c>
      <c r="H252" s="15">
        <v>3.5617333333333336</v>
      </c>
      <c r="I252" s="15">
        <v>22.174719047619046</v>
      </c>
      <c r="J252" s="15">
        <v>93.046999999999997</v>
      </c>
    </row>
    <row r="253" spans="1:10">
      <c r="A253" s="13">
        <v>44075</v>
      </c>
      <c r="B253" s="14">
        <f t="shared" si="6"/>
        <v>2020</v>
      </c>
      <c r="C253" s="14">
        <f t="shared" si="7"/>
        <v>9</v>
      </c>
      <c r="D253" s="15">
        <v>3757.8017391304347</v>
      </c>
      <c r="E253" s="15">
        <v>75.15217391304347</v>
      </c>
      <c r="F253" s="15">
        <v>5.4073826086956522</v>
      </c>
      <c r="G253" s="15">
        <v>773.96608695652196</v>
      </c>
      <c r="H253" s="15">
        <v>3.5538913043478257</v>
      </c>
      <c r="I253" s="15">
        <v>21.674652173913046</v>
      </c>
      <c r="J253" s="15">
        <v>93.463869565217379</v>
      </c>
    </row>
    <row r="254" spans="1:10">
      <c r="A254" s="13">
        <v>44105</v>
      </c>
      <c r="B254" s="14">
        <f t="shared" si="6"/>
        <v>2020</v>
      </c>
      <c r="C254" s="14">
        <f t="shared" si="7"/>
        <v>10</v>
      </c>
      <c r="D254" s="15">
        <v>3830.3609090909099</v>
      </c>
      <c r="E254" s="15">
        <v>77.50445454545455</v>
      </c>
      <c r="F254" s="15">
        <v>5.6276000000000002</v>
      </c>
      <c r="G254" s="15">
        <v>787.58545454545447</v>
      </c>
      <c r="H254" s="15">
        <v>3.5939090909090905</v>
      </c>
      <c r="I254" s="15">
        <v>21.264177272727274</v>
      </c>
      <c r="J254" s="15">
        <v>93.398590909090913</v>
      </c>
    </row>
    <row r="255" spans="1:10">
      <c r="A255" s="13">
        <v>44136</v>
      </c>
      <c r="B255" s="14">
        <f t="shared" si="6"/>
        <v>2020</v>
      </c>
      <c r="C255" s="14">
        <f t="shared" si="7"/>
        <v>11</v>
      </c>
      <c r="D255" s="15">
        <v>3669.8380952380949</v>
      </c>
      <c r="E255" s="15">
        <v>79.869809523809522</v>
      </c>
      <c r="F255" s="15">
        <v>5.4333000000000009</v>
      </c>
      <c r="G255" s="15">
        <v>761.71761904761911</v>
      </c>
      <c r="H255" s="15">
        <v>3.6058571428571429</v>
      </c>
      <c r="I255" s="15">
        <v>20.391857142857141</v>
      </c>
      <c r="J255" s="15">
        <v>92.595999999999989</v>
      </c>
    </row>
    <row r="256" spans="1:10">
      <c r="A256" s="13">
        <v>44166</v>
      </c>
      <c r="B256" s="14">
        <f t="shared" si="6"/>
        <v>2020</v>
      </c>
      <c r="C256" s="14">
        <f t="shared" si="7"/>
        <v>12</v>
      </c>
      <c r="D256" s="15">
        <v>3461.2165217391303</v>
      </c>
      <c r="E256" s="15">
        <v>82.608739130434785</v>
      </c>
      <c r="F256" s="15">
        <v>5.1493043478260869</v>
      </c>
      <c r="G256" s="15">
        <v>730.32086956521732</v>
      </c>
      <c r="H256" s="15">
        <v>3.6000130434782611</v>
      </c>
      <c r="I256" s="15">
        <v>19.930578260869567</v>
      </c>
      <c r="J256" s="15">
        <v>90.507217391304351</v>
      </c>
    </row>
    <row r="257" spans="1:10">
      <c r="A257" s="13">
        <v>44197</v>
      </c>
      <c r="B257" s="14">
        <f t="shared" si="6"/>
        <v>2021</v>
      </c>
      <c r="C257" s="14">
        <f t="shared" si="7"/>
        <v>1</v>
      </c>
      <c r="D257" s="15">
        <v>3494.207142857143</v>
      </c>
      <c r="E257" s="15">
        <v>85.83014285714286</v>
      </c>
      <c r="F257" s="15">
        <v>5.3532904761904758</v>
      </c>
      <c r="G257" s="15">
        <v>723.01285714285711</v>
      </c>
      <c r="H257" s="15">
        <v>3.6230238095238083</v>
      </c>
      <c r="I257" s="15">
        <v>19.91646190476191</v>
      </c>
      <c r="J257" s="15">
        <v>90.236857142857147</v>
      </c>
    </row>
    <row r="258" spans="1:10">
      <c r="A258" s="13">
        <v>44228</v>
      </c>
      <c r="B258" s="14">
        <f t="shared" si="6"/>
        <v>2021</v>
      </c>
      <c r="C258" s="14">
        <f t="shared" si="7"/>
        <v>2</v>
      </c>
      <c r="D258" s="15">
        <v>3556.1695238095235</v>
      </c>
      <c r="E258" s="15">
        <v>88.644000000000005</v>
      </c>
      <c r="F258" s="15">
        <v>5.4095476190476193</v>
      </c>
      <c r="G258" s="15">
        <v>721.08</v>
      </c>
      <c r="H258" s="15">
        <v>3.6443095238095231</v>
      </c>
      <c r="I258" s="15">
        <v>20.279476190476192</v>
      </c>
      <c r="J258" s="15">
        <v>90.628</v>
      </c>
    </row>
    <row r="259" spans="1:10">
      <c r="A259" s="13">
        <v>44256</v>
      </c>
      <c r="B259" s="14">
        <f t="shared" si="6"/>
        <v>2021</v>
      </c>
      <c r="C259" s="14">
        <f t="shared" si="7"/>
        <v>3</v>
      </c>
      <c r="D259" s="15">
        <v>3615.5965217391304</v>
      </c>
      <c r="E259" s="15">
        <v>91.029782608695655</v>
      </c>
      <c r="F259" s="15">
        <v>5.6455260869565222</v>
      </c>
      <c r="G259" s="15">
        <v>725.554347826087</v>
      </c>
      <c r="H259" s="15">
        <v>3.7071086956521735</v>
      </c>
      <c r="I259" s="15">
        <v>20.74997391304348</v>
      </c>
      <c r="J259" s="15">
        <v>91.994173913043483</v>
      </c>
    </row>
    <row r="260" spans="1:10">
      <c r="A260" s="13">
        <v>44287</v>
      </c>
      <c r="B260" s="14">
        <f t="shared" si="6"/>
        <v>2021</v>
      </c>
      <c r="C260" s="14">
        <f t="shared" si="7"/>
        <v>4</v>
      </c>
      <c r="D260" s="15">
        <v>3656.0213043478257</v>
      </c>
      <c r="E260" s="15">
        <v>92.709478260869574</v>
      </c>
      <c r="F260" s="15">
        <v>5.5619521739130429</v>
      </c>
      <c r="G260" s="15">
        <v>707.99347826086955</v>
      </c>
      <c r="H260" s="15">
        <v>3.7015695652173912</v>
      </c>
      <c r="I260" s="15">
        <v>20.036621739130435</v>
      </c>
      <c r="J260" s="15">
        <v>91.618217391304356</v>
      </c>
    </row>
    <row r="261" spans="1:10">
      <c r="A261" s="13">
        <v>44317</v>
      </c>
      <c r="B261" s="14">
        <f t="shared" ref="B261:B322" si="8">+YEAR(A261)</f>
        <v>2021</v>
      </c>
      <c r="C261" s="14">
        <f t="shared" ref="C261:C322" si="9">+MONTH(A261)</f>
        <v>5</v>
      </c>
      <c r="D261" s="15">
        <v>3733.6471428571435</v>
      </c>
      <c r="E261" s="15">
        <v>94.033285714285711</v>
      </c>
      <c r="F261" s="15">
        <v>5.2959761904761891</v>
      </c>
      <c r="G261" s="15">
        <v>712.72238095238095</v>
      </c>
      <c r="H261" s="15">
        <v>3.7708333333333326</v>
      </c>
      <c r="I261" s="15">
        <v>19.956485714285719</v>
      </c>
      <c r="J261" s="15">
        <v>90.30247619047617</v>
      </c>
    </row>
    <row r="262" spans="1:10">
      <c r="A262" s="13">
        <v>44348</v>
      </c>
      <c r="B262" s="14">
        <f t="shared" si="8"/>
        <v>2021</v>
      </c>
      <c r="C262" s="14">
        <f t="shared" si="9"/>
        <v>6</v>
      </c>
      <c r="D262" s="15">
        <v>3689.3490909090906</v>
      </c>
      <c r="E262" s="15">
        <v>95.159499999999994</v>
      </c>
      <c r="F262" s="15">
        <v>5.025095454545454</v>
      </c>
      <c r="G262" s="15">
        <v>728.19</v>
      </c>
      <c r="H262" s="15">
        <v>3.9027409090909089</v>
      </c>
      <c r="I262" s="15">
        <v>20.016245454545455</v>
      </c>
      <c r="J262" s="15">
        <v>91.043590909090881</v>
      </c>
    </row>
    <row r="263" spans="1:10">
      <c r="A263" s="13">
        <v>44378</v>
      </c>
      <c r="B263" s="14">
        <f t="shared" si="8"/>
        <v>2021</v>
      </c>
      <c r="C263" s="14">
        <f t="shared" si="9"/>
        <v>7</v>
      </c>
      <c r="D263" s="15">
        <v>3830.1018181818176</v>
      </c>
      <c r="E263" s="15">
        <v>96.199772727272702</v>
      </c>
      <c r="F263" s="15">
        <v>5.162990909090909</v>
      </c>
      <c r="G263" s="15">
        <v>752.0977272727273</v>
      </c>
      <c r="H263" s="15">
        <v>3.9333318181818187</v>
      </c>
      <c r="I263" s="15">
        <v>19.955918181818188</v>
      </c>
      <c r="J263" s="15">
        <v>92.513590909090908</v>
      </c>
    </row>
    <row r="264" spans="1:10">
      <c r="A264" s="13">
        <v>44409</v>
      </c>
      <c r="B264" s="14">
        <f t="shared" si="8"/>
        <v>2021</v>
      </c>
      <c r="C264" s="14">
        <f t="shared" si="9"/>
        <v>8</v>
      </c>
      <c r="D264" s="15">
        <v>3878.847272727272</v>
      </c>
      <c r="E264" s="15">
        <v>97.120090909090919</v>
      </c>
      <c r="F264" s="15">
        <v>5.2503181818181819</v>
      </c>
      <c r="G264" s="15">
        <v>780.58590909090924</v>
      </c>
      <c r="H264" s="15">
        <v>4.075663636363636</v>
      </c>
      <c r="I264" s="15">
        <v>20.064945454545452</v>
      </c>
      <c r="J264" s="15">
        <v>92.79904545454545</v>
      </c>
    </row>
    <row r="265" spans="1:10">
      <c r="A265" s="13">
        <v>44440</v>
      </c>
      <c r="B265" s="14">
        <f t="shared" si="8"/>
        <v>2021</v>
      </c>
      <c r="C265" s="14">
        <f t="shared" si="9"/>
        <v>9</v>
      </c>
      <c r="D265" s="15">
        <v>3819.6986956521737</v>
      </c>
      <c r="E265" s="15">
        <v>98.153913043478255</v>
      </c>
      <c r="F265" s="15">
        <v>5.2749347826086952</v>
      </c>
      <c r="G265" s="15">
        <v>786.10608695652172</v>
      </c>
      <c r="H265" s="15">
        <v>4.0968695652173919</v>
      </c>
      <c r="I265" s="15">
        <v>20.035530434782608</v>
      </c>
      <c r="J265" s="15">
        <v>92.93669565217391</v>
      </c>
    </row>
    <row r="266" spans="1:10">
      <c r="A266" s="13">
        <v>44470</v>
      </c>
      <c r="B266" s="14">
        <f t="shared" si="8"/>
        <v>2021</v>
      </c>
      <c r="C266" s="14">
        <f t="shared" si="9"/>
        <v>10</v>
      </c>
      <c r="D266" s="15">
        <v>3765.5090476190471</v>
      </c>
      <c r="E266" s="15">
        <v>99.144238095238123</v>
      </c>
      <c r="F266" s="15">
        <v>5.5385380952380956</v>
      </c>
      <c r="G266" s="15">
        <v>813.66285714285721</v>
      </c>
      <c r="H266" s="15">
        <v>4.0074809523809529</v>
      </c>
      <c r="I266" s="15">
        <v>20.439833333333336</v>
      </c>
      <c r="J266" s="15">
        <v>93.944285714285712</v>
      </c>
    </row>
    <row r="267" spans="1:10">
      <c r="A267" s="13">
        <v>44501</v>
      </c>
      <c r="B267" s="14">
        <f t="shared" si="8"/>
        <v>2021</v>
      </c>
      <c r="C267" s="14">
        <f t="shared" si="9"/>
        <v>11</v>
      </c>
      <c r="D267" s="15">
        <v>3902.2449999999994</v>
      </c>
      <c r="E267" s="15">
        <v>100.25331818181817</v>
      </c>
      <c r="F267" s="15">
        <v>5.5571409090909087</v>
      </c>
      <c r="G267" s="15">
        <v>813.49727272727284</v>
      </c>
      <c r="H267" s="15">
        <v>4.009095454545454</v>
      </c>
      <c r="I267" s="15">
        <v>20.866968181818184</v>
      </c>
      <c r="J267" s="15">
        <v>95.340772727272721</v>
      </c>
    </row>
    <row r="268" spans="1:10">
      <c r="A268" s="13">
        <v>44531</v>
      </c>
      <c r="B268" s="14">
        <f t="shared" si="8"/>
        <v>2021</v>
      </c>
      <c r="C268" s="14">
        <f t="shared" si="9"/>
        <v>12</v>
      </c>
      <c r="D268" s="15">
        <v>3974.2556521739143</v>
      </c>
      <c r="E268" s="15">
        <v>101.8565217391304</v>
      </c>
      <c r="F268" s="15">
        <v>5.6534956521739108</v>
      </c>
      <c r="G268" s="15">
        <v>849.39173913043453</v>
      </c>
      <c r="H268" s="15">
        <v>4.0317347826086962</v>
      </c>
      <c r="I268" s="15">
        <v>20.876317391304347</v>
      </c>
      <c r="J268" s="15">
        <v>96.199217391304344</v>
      </c>
    </row>
    <row r="269" spans="1:10">
      <c r="A269" s="13">
        <v>44562</v>
      </c>
      <c r="B269" s="14">
        <f t="shared" si="8"/>
        <v>2022</v>
      </c>
      <c r="C269" s="14">
        <f t="shared" si="9"/>
        <v>1</v>
      </c>
      <c r="D269" s="15">
        <v>3992.1495454545466</v>
      </c>
      <c r="E269" s="15">
        <v>103.96</v>
      </c>
      <c r="F269" s="15">
        <v>5.5233545454545458</v>
      </c>
      <c r="G269" s="15">
        <v>817.72500000000002</v>
      </c>
      <c r="H269" s="15">
        <v>3.8721818181818182</v>
      </c>
      <c r="I269" s="15">
        <v>20.489227272727277</v>
      </c>
      <c r="J269" s="15">
        <v>95.909545454545466</v>
      </c>
    </row>
    <row r="270" spans="1:10">
      <c r="A270" s="13">
        <v>44593</v>
      </c>
      <c r="B270" s="14">
        <f t="shared" si="8"/>
        <v>2022</v>
      </c>
      <c r="C270" s="14">
        <f t="shared" si="9"/>
        <v>2</v>
      </c>
      <c r="D270" s="15">
        <v>3932.6165000000001</v>
      </c>
      <c r="E270" s="15">
        <v>106.3235</v>
      </c>
      <c r="F270" s="15">
        <v>5.1918749999999987</v>
      </c>
      <c r="G270" s="15">
        <v>806.60950000000003</v>
      </c>
      <c r="H270" s="15">
        <v>3.7810000000000001</v>
      </c>
      <c r="I270" s="15">
        <v>20.438435000000002</v>
      </c>
      <c r="J270" s="15">
        <v>96.000749999999996</v>
      </c>
    </row>
    <row r="271" spans="1:10">
      <c r="A271" s="13">
        <v>44621</v>
      </c>
      <c r="B271" s="14">
        <f t="shared" si="8"/>
        <v>2022</v>
      </c>
      <c r="C271" s="14">
        <f t="shared" si="9"/>
        <v>3</v>
      </c>
      <c r="D271" s="15">
        <v>3794.9304347826105</v>
      </c>
      <c r="E271" s="15">
        <v>109.37000000000003</v>
      </c>
      <c r="F271" s="15">
        <v>4.9700608695652182</v>
      </c>
      <c r="G271" s="15">
        <v>797.21173913043492</v>
      </c>
      <c r="H271" s="15">
        <v>3.7361043478260871</v>
      </c>
      <c r="I271" s="15">
        <v>20.526765217391304</v>
      </c>
      <c r="J271" s="15">
        <v>98.473565217391283</v>
      </c>
    </row>
    <row r="272" spans="1:10">
      <c r="A272" s="13">
        <v>44652</v>
      </c>
      <c r="B272" s="14">
        <f t="shared" si="8"/>
        <v>2022</v>
      </c>
      <c r="C272" s="14">
        <f t="shared" si="9"/>
        <v>4</v>
      </c>
      <c r="D272" s="15">
        <v>3794.8795238095231</v>
      </c>
      <c r="E272" s="15">
        <v>113.27095238095238</v>
      </c>
      <c r="F272" s="15">
        <v>4.744523809523808</v>
      </c>
      <c r="G272" s="15">
        <v>817.88476190476183</v>
      </c>
      <c r="H272" s="15">
        <v>3.7367999999999997</v>
      </c>
      <c r="I272" s="15">
        <v>20.063871428571431</v>
      </c>
      <c r="J272" s="15">
        <v>100.69104761904762</v>
      </c>
    </row>
    <row r="273" spans="1:10">
      <c r="A273" s="13">
        <v>44682</v>
      </c>
      <c r="B273" s="14">
        <f t="shared" si="8"/>
        <v>2022</v>
      </c>
      <c r="C273" s="14">
        <f t="shared" si="9"/>
        <v>5</v>
      </c>
      <c r="D273" s="15">
        <v>4003.3918181818171</v>
      </c>
      <c r="E273" s="15">
        <v>117.82363636363638</v>
      </c>
      <c r="F273" s="15">
        <v>4.9504636363636365</v>
      </c>
      <c r="G273" s="15">
        <v>847.10181818181809</v>
      </c>
      <c r="H273" s="15">
        <v>3.7493136363636363</v>
      </c>
      <c r="I273" s="15">
        <v>20.013095454545457</v>
      </c>
      <c r="J273" s="15">
        <v>103.09890909090909</v>
      </c>
    </row>
    <row r="274" spans="1:10">
      <c r="A274" s="13">
        <v>44713</v>
      </c>
      <c r="B274" s="14">
        <f t="shared" si="8"/>
        <v>2022</v>
      </c>
      <c r="C274" s="14">
        <f t="shared" si="9"/>
        <v>6</v>
      </c>
      <c r="D274" s="15">
        <v>3938.9918181818193</v>
      </c>
      <c r="E274" s="15">
        <v>122.73363636363634</v>
      </c>
      <c r="F274" s="15">
        <v>5.0574363636363637</v>
      </c>
      <c r="G274" s="15">
        <v>865.74545454545444</v>
      </c>
      <c r="H274" s="15">
        <v>3.7379681818181822</v>
      </c>
      <c r="I274" s="15">
        <v>19.981750000000002</v>
      </c>
      <c r="J274" s="15">
        <v>103.88177272727272</v>
      </c>
    </row>
    <row r="275" spans="1:10">
      <c r="A275" s="13">
        <v>44743</v>
      </c>
      <c r="B275" s="14">
        <f t="shared" si="8"/>
        <v>2022</v>
      </c>
      <c r="C275" s="14">
        <f t="shared" si="9"/>
        <v>7</v>
      </c>
      <c r="D275" s="15">
        <v>4384.6652380952382</v>
      </c>
      <c r="E275" s="15">
        <v>128.41904761904763</v>
      </c>
      <c r="F275" s="15">
        <v>5.3680761904761907</v>
      </c>
      <c r="G275" s="15">
        <v>952.24380952380966</v>
      </c>
      <c r="H275" s="15">
        <v>3.894109523809524</v>
      </c>
      <c r="I275" s="15">
        <v>20.514166666666664</v>
      </c>
      <c r="J275" s="15">
        <v>106.94490476190478</v>
      </c>
    </row>
    <row r="276" spans="1:10">
      <c r="A276" s="13">
        <v>44774</v>
      </c>
      <c r="B276" s="14">
        <f t="shared" si="8"/>
        <v>2022</v>
      </c>
      <c r="C276" s="14">
        <f t="shared" si="9"/>
        <v>8</v>
      </c>
      <c r="D276" s="15">
        <v>4322.8943478260862</v>
      </c>
      <c r="E276" s="15">
        <v>135.25521739130434</v>
      </c>
      <c r="F276" s="15">
        <v>5.1436434782608691</v>
      </c>
      <c r="G276" s="15">
        <v>902.05478260869563</v>
      </c>
      <c r="H276" s="15">
        <v>3.8605173913043478</v>
      </c>
      <c r="I276" s="15">
        <v>20.118208695652172</v>
      </c>
      <c r="J276" s="15">
        <v>107.14947826086957</v>
      </c>
    </row>
    <row r="277" spans="1:10">
      <c r="A277" s="13">
        <v>44805</v>
      </c>
      <c r="B277" s="14">
        <f t="shared" si="8"/>
        <v>2022</v>
      </c>
      <c r="C277" s="14">
        <f t="shared" si="9"/>
        <v>9</v>
      </c>
      <c r="D277" s="15">
        <v>4441.9440909090918</v>
      </c>
      <c r="E277" s="15">
        <v>143.40363636363637</v>
      </c>
      <c r="F277" s="15">
        <v>5.2356636363636362</v>
      </c>
      <c r="G277" s="15">
        <v>925.34181818181833</v>
      </c>
      <c r="H277" s="15">
        <v>3.8867636363636366</v>
      </c>
      <c r="I277" s="15">
        <v>20.049645454545455</v>
      </c>
      <c r="J277" s="15">
        <v>110.702</v>
      </c>
    </row>
    <row r="278" spans="1:10">
      <c r="A278" s="13">
        <v>44835</v>
      </c>
      <c r="B278" s="14">
        <f t="shared" si="8"/>
        <v>2022</v>
      </c>
      <c r="C278" s="14">
        <f t="shared" si="9"/>
        <v>10</v>
      </c>
      <c r="D278" s="15">
        <v>4730.8342857142861</v>
      </c>
      <c r="E278" s="15">
        <v>152.24904761904762</v>
      </c>
      <c r="F278" s="15">
        <v>5.2531714285714282</v>
      </c>
      <c r="G278" s="15">
        <v>952.13952380952367</v>
      </c>
      <c r="H278" s="15">
        <v>3.9630666666666663</v>
      </c>
      <c r="I278" s="15">
        <v>19.969842857142858</v>
      </c>
      <c r="J278" s="15">
        <v>111.94509523809525</v>
      </c>
    </row>
    <row r="279" spans="1:10">
      <c r="A279" s="13">
        <v>44866</v>
      </c>
      <c r="B279" s="14">
        <f t="shared" si="8"/>
        <v>2022</v>
      </c>
      <c r="C279" s="14">
        <f t="shared" si="9"/>
        <v>11</v>
      </c>
      <c r="D279" s="15">
        <v>4919.318181818182</v>
      </c>
      <c r="E279" s="15">
        <v>162.14500000000001</v>
      </c>
      <c r="F279" s="15">
        <v>5.2761636363636359</v>
      </c>
      <c r="G279" s="15">
        <v>915.16272727272724</v>
      </c>
      <c r="H279" s="15">
        <v>3.861195454545455</v>
      </c>
      <c r="I279" s="15">
        <v>19.431590909090911</v>
      </c>
      <c r="J279" s="15">
        <v>108.0349090909091</v>
      </c>
    </row>
    <row r="280" spans="1:10">
      <c r="A280" s="13">
        <v>44896</v>
      </c>
      <c r="B280" s="14">
        <f t="shared" si="8"/>
        <v>2022</v>
      </c>
      <c r="C280" s="14">
        <f t="shared" si="9"/>
        <v>12</v>
      </c>
      <c r="D280" s="15">
        <v>4787.5513636363639</v>
      </c>
      <c r="E280" s="15">
        <v>172.56500000000003</v>
      </c>
      <c r="F280" s="15">
        <v>5.2494636363636369</v>
      </c>
      <c r="G280" s="15">
        <v>871.89454545454532</v>
      </c>
      <c r="H280" s="15">
        <v>3.813595454545454</v>
      </c>
      <c r="I280" s="15">
        <v>19.578936363636359</v>
      </c>
      <c r="J280" s="15">
        <v>104.49422727272727</v>
      </c>
    </row>
    <row r="281" spans="1:10">
      <c r="A281" s="13">
        <v>44927</v>
      </c>
      <c r="B281" s="14">
        <f t="shared" si="8"/>
        <v>2023</v>
      </c>
      <c r="C281" s="14">
        <f t="shared" si="9"/>
        <v>1</v>
      </c>
      <c r="D281" s="15">
        <v>4713.5743478260856</v>
      </c>
      <c r="E281" s="15">
        <v>182.08000000000004</v>
      </c>
      <c r="F281" s="15">
        <v>5.1953782608695658</v>
      </c>
      <c r="G281" s="15">
        <v>823.40391304347827</v>
      </c>
      <c r="H281" s="15">
        <v>3.816569565217391</v>
      </c>
      <c r="I281" s="15">
        <v>18.9593347826087</v>
      </c>
      <c r="J281" s="15">
        <v>102.77784782608695</v>
      </c>
    </row>
    <row r="282" spans="1:10">
      <c r="A282" s="13">
        <v>44958</v>
      </c>
      <c r="B282" s="14">
        <f t="shared" si="8"/>
        <v>2023</v>
      </c>
      <c r="C282" s="14">
        <f t="shared" si="9"/>
        <v>2</v>
      </c>
      <c r="D282" s="15">
        <v>4805.7766666666648</v>
      </c>
      <c r="E282" s="15">
        <v>192.03047619047618</v>
      </c>
      <c r="F282" s="15">
        <v>5.1769571428571428</v>
      </c>
      <c r="G282" s="15">
        <v>799.60095238095232</v>
      </c>
      <c r="H282" s="15">
        <v>3.8209380952380951</v>
      </c>
      <c r="I282" s="15">
        <v>18.571095238095239</v>
      </c>
      <c r="J282" s="15">
        <v>103.67828571428572</v>
      </c>
    </row>
    <row r="283" spans="1:10">
      <c r="A283" s="13">
        <v>44986</v>
      </c>
      <c r="B283" s="14">
        <f t="shared" si="8"/>
        <v>2023</v>
      </c>
      <c r="C283" s="14">
        <f t="shared" si="9"/>
        <v>3</v>
      </c>
      <c r="D283" s="15">
        <v>4750.9041666666672</v>
      </c>
      <c r="E283" s="15">
        <v>203.25208333333333</v>
      </c>
      <c r="F283" s="15">
        <v>5.2043333333333335</v>
      </c>
      <c r="G283" s="15">
        <v>807.17541666666659</v>
      </c>
      <c r="H283" s="15">
        <v>3.7637999999999998</v>
      </c>
      <c r="I283" s="15">
        <v>18.381875000000004</v>
      </c>
      <c r="J283" s="15">
        <v>103.73862499999997</v>
      </c>
    </row>
    <row r="284" spans="1:10">
      <c r="A284" s="13">
        <v>45017</v>
      </c>
      <c r="B284" s="14">
        <f t="shared" si="8"/>
        <v>2023</v>
      </c>
      <c r="C284" s="14">
        <f t="shared" si="9"/>
        <v>4</v>
      </c>
      <c r="D284" s="15">
        <v>4535.3184999999994</v>
      </c>
      <c r="E284" s="15">
        <v>216.01900000000001</v>
      </c>
      <c r="F284" s="15">
        <v>5.0147399999999989</v>
      </c>
      <c r="G284" s="15">
        <v>805.41950000000008</v>
      </c>
      <c r="H284" s="15">
        <v>3.7478050000000005</v>
      </c>
      <c r="I284" s="15">
        <v>18.070304999999998</v>
      </c>
      <c r="J284" s="15">
        <v>101.78040000000001</v>
      </c>
    </row>
    <row r="285" spans="1:10">
      <c r="A285" s="13">
        <v>45047</v>
      </c>
      <c r="B285" s="14">
        <f t="shared" si="8"/>
        <v>2023</v>
      </c>
      <c r="C285" s="14">
        <f t="shared" si="9"/>
        <v>5</v>
      </c>
      <c r="D285" s="15">
        <v>4530.2434782608698</v>
      </c>
      <c r="E285" s="15">
        <v>231.20000000000002</v>
      </c>
      <c r="F285" s="15">
        <v>4.9790000000000001</v>
      </c>
      <c r="G285" s="15">
        <v>798.2391304347824</v>
      </c>
      <c r="H285" s="15">
        <v>3.6738304347826092</v>
      </c>
      <c r="I285" s="15">
        <v>17.724582608695652</v>
      </c>
      <c r="J285" s="15">
        <v>102.77000000000002</v>
      </c>
    </row>
    <row r="286" spans="1:10">
      <c r="A286" s="13">
        <v>45078</v>
      </c>
      <c r="B286" s="14">
        <f t="shared" si="8"/>
        <v>2023</v>
      </c>
      <c r="C286" s="14">
        <f t="shared" si="9"/>
        <v>6</v>
      </c>
      <c r="D286" s="15">
        <v>4191.677391304348</v>
      </c>
      <c r="E286" s="15">
        <v>248.81043478260867</v>
      </c>
      <c r="F286" s="15">
        <v>4.8470478260869569</v>
      </c>
      <c r="G286" s="15">
        <v>798.82391304347834</v>
      </c>
      <c r="H286" s="15">
        <v>3.6301999999999994</v>
      </c>
      <c r="I286" s="15">
        <v>17.215334782608696</v>
      </c>
      <c r="J286" s="15">
        <v>103.04378260869565</v>
      </c>
    </row>
    <row r="287" spans="1:10">
      <c r="A287" s="13">
        <v>45108</v>
      </c>
      <c r="B287" s="14">
        <f t="shared" si="8"/>
        <v>2023</v>
      </c>
      <c r="C287" s="14">
        <f t="shared" si="9"/>
        <v>7</v>
      </c>
      <c r="D287" s="15">
        <v>4048.2304761904761</v>
      </c>
      <c r="E287" s="15">
        <v>266.37333333333333</v>
      </c>
      <c r="F287" s="15">
        <v>4.8020476190476185</v>
      </c>
      <c r="G287" s="15">
        <v>815.17476190476179</v>
      </c>
      <c r="H287" s="15">
        <v>3.5869904761904756</v>
      </c>
      <c r="I287" s="15">
        <v>16.897809523809524</v>
      </c>
      <c r="J287" s="15">
        <v>101.40315238095238</v>
      </c>
    </row>
    <row r="288" spans="1:10">
      <c r="A288" s="13">
        <v>45139</v>
      </c>
      <c r="B288" s="14">
        <f t="shared" si="8"/>
        <v>2023</v>
      </c>
      <c r="C288" s="14">
        <f t="shared" si="9"/>
        <v>8</v>
      </c>
      <c r="D288" s="15">
        <v>4073.9391304347828</v>
      </c>
      <c r="E288" s="15">
        <v>323.27869565217384</v>
      </c>
      <c r="F288" s="15">
        <v>4.9072347826086942</v>
      </c>
      <c r="G288" s="15">
        <v>856.46173913043469</v>
      </c>
      <c r="H288" s="15">
        <v>3.6814130434782601</v>
      </c>
      <c r="I288" s="15">
        <v>16.982421739130437</v>
      </c>
      <c r="J288" s="15">
        <v>103.10286956521743</v>
      </c>
    </row>
    <row r="289" spans="1:10">
      <c r="A289" s="13">
        <v>45170</v>
      </c>
      <c r="B289" s="14">
        <f t="shared" si="8"/>
        <v>2023</v>
      </c>
      <c r="C289" s="14">
        <f t="shared" si="9"/>
        <v>9</v>
      </c>
      <c r="D289" s="15">
        <v>4005.7181818181812</v>
      </c>
      <c r="E289" s="15">
        <v>349.94818181818181</v>
      </c>
      <c r="F289" s="15">
        <v>4.9451772727272747</v>
      </c>
      <c r="G289" s="15">
        <v>886.71136363636367</v>
      </c>
      <c r="H289" s="15">
        <v>3.7166409090909096</v>
      </c>
      <c r="I289" s="15">
        <v>17.298531818181814</v>
      </c>
      <c r="J289" s="15">
        <v>105.29150000000003</v>
      </c>
    </row>
    <row r="290" spans="1:10">
      <c r="A290" s="13">
        <v>45200</v>
      </c>
      <c r="B290" s="14">
        <f t="shared" si="8"/>
        <v>2023</v>
      </c>
      <c r="C290" s="14">
        <f t="shared" si="9"/>
        <v>10</v>
      </c>
      <c r="D290" s="15">
        <v>4217.8736363636363</v>
      </c>
      <c r="E290" s="15">
        <v>349.93863636363636</v>
      </c>
      <c r="F290" s="15">
        <v>5.0623318181818178</v>
      </c>
      <c r="G290" s="15">
        <v>925.50863636363613</v>
      </c>
      <c r="H290" s="15">
        <v>3.8285</v>
      </c>
      <c r="I290" s="15">
        <v>18.080113636363638</v>
      </c>
      <c r="J290" s="15">
        <v>106.35481818181819</v>
      </c>
    </row>
    <row r="291" spans="1:10">
      <c r="A291" s="13">
        <v>45231</v>
      </c>
      <c r="B291" s="14">
        <f t="shared" si="8"/>
        <v>2023</v>
      </c>
      <c r="C291" s="14">
        <f t="shared" si="9"/>
        <v>11</v>
      </c>
      <c r="D291" s="15">
        <v>4026.5904545454546</v>
      </c>
      <c r="E291" s="15">
        <v>353.5781818181818</v>
      </c>
      <c r="F291" s="15">
        <v>4.8987909090909101</v>
      </c>
      <c r="G291" s="15">
        <v>884.225909090909</v>
      </c>
      <c r="H291" s="15">
        <v>3.7491499999999998</v>
      </c>
      <c r="I291" s="15">
        <v>17.366963636363636</v>
      </c>
      <c r="J291" s="15">
        <v>104.4906818181818</v>
      </c>
    </row>
    <row r="292" spans="1:10">
      <c r="A292" s="13">
        <v>45261</v>
      </c>
      <c r="B292" s="14">
        <f t="shared" si="8"/>
        <v>2023</v>
      </c>
      <c r="C292" s="14">
        <f t="shared" si="9"/>
        <v>12</v>
      </c>
      <c r="D292" s="15">
        <v>3940.2557142857136</v>
      </c>
      <c r="E292" s="15">
        <v>636.41714285714284</v>
      </c>
      <c r="F292" s="15">
        <v>4.8952428571428577</v>
      </c>
      <c r="G292" s="15">
        <v>875.27095238095251</v>
      </c>
      <c r="H292" s="15">
        <v>3.7179714285714285</v>
      </c>
      <c r="I292" s="15">
        <v>17.165971428571432</v>
      </c>
      <c r="J292" s="15">
        <v>102.64085714285714</v>
      </c>
    </row>
    <row r="293" spans="1:10">
      <c r="A293" s="13">
        <v>45292</v>
      </c>
      <c r="B293" s="14">
        <f t="shared" si="8"/>
        <v>2024</v>
      </c>
      <c r="C293" s="14">
        <f t="shared" si="9"/>
        <v>1</v>
      </c>
      <c r="D293" s="15">
        <v>3915.336956521739</v>
      </c>
      <c r="E293" s="15">
        <v>817.85521739130445</v>
      </c>
      <c r="F293" s="15">
        <v>4.9131521739130433</v>
      </c>
      <c r="G293" s="15">
        <v>909.01913043478271</v>
      </c>
      <c r="H293" s="15">
        <v>3.7236043478260861</v>
      </c>
      <c r="I293" s="15">
        <v>17.063021739130431</v>
      </c>
      <c r="J293" s="15">
        <v>102.87839130434783</v>
      </c>
    </row>
    <row r="294" spans="1:10">
      <c r="A294" s="13">
        <v>45323</v>
      </c>
      <c r="B294" s="14">
        <f t="shared" si="8"/>
        <v>2024</v>
      </c>
      <c r="C294" s="14">
        <f t="shared" si="9"/>
        <v>2</v>
      </c>
      <c r="D294" s="15">
        <v>3926.6786363636361</v>
      </c>
      <c r="E294" s="15">
        <v>834.54909090909086</v>
      </c>
      <c r="F294" s="15">
        <v>4.9616999999999996</v>
      </c>
      <c r="G294" s="15">
        <v>965.26363636363646</v>
      </c>
      <c r="H294" s="15">
        <v>3.8117227272727265</v>
      </c>
      <c r="I294" s="15">
        <v>17.075286363636366</v>
      </c>
      <c r="J294" s="15">
        <v>104.12568181818182</v>
      </c>
    </row>
    <row r="295" spans="1:10">
      <c r="A295" s="13">
        <v>45352</v>
      </c>
      <c r="B295" s="14">
        <f t="shared" si="8"/>
        <v>2024</v>
      </c>
      <c r="C295" s="14">
        <f t="shared" si="9"/>
        <v>3</v>
      </c>
      <c r="D295" s="15">
        <v>3895.5733333333328</v>
      </c>
      <c r="E295" s="15">
        <v>850.78476190476204</v>
      </c>
      <c r="F295" s="15">
        <v>4.9806904761904764</v>
      </c>
      <c r="G295" s="15">
        <v>967.44666666666694</v>
      </c>
      <c r="H295" s="15">
        <v>3.6980142857142861</v>
      </c>
      <c r="I295" s="15">
        <v>16.755623809523811</v>
      </c>
      <c r="J295" s="15">
        <v>103.67114285714281</v>
      </c>
    </row>
    <row r="296" spans="1:10">
      <c r="A296" s="13">
        <v>45383</v>
      </c>
      <c r="B296" s="14">
        <f t="shared" si="8"/>
        <v>2024</v>
      </c>
      <c r="C296" s="14">
        <f t="shared" si="9"/>
        <v>4</v>
      </c>
      <c r="D296" s="15">
        <v>3862.4481818181816</v>
      </c>
      <c r="E296" s="15">
        <v>867.56818181818187</v>
      </c>
      <c r="F296" s="15">
        <v>5.1262500000000006</v>
      </c>
      <c r="G296" s="15">
        <v>957.79500000000019</v>
      </c>
      <c r="H296" s="15">
        <v>3.7023454545454544</v>
      </c>
      <c r="I296" s="15">
        <v>16.789804545454547</v>
      </c>
      <c r="J296" s="15">
        <v>105.41009090909093</v>
      </c>
    </row>
    <row r="297" spans="1:10">
      <c r="A297" s="13">
        <v>45413</v>
      </c>
      <c r="B297" s="14">
        <f t="shared" si="8"/>
        <v>2024</v>
      </c>
      <c r="C297" s="14">
        <f t="shared" si="9"/>
        <v>5</v>
      </c>
      <c r="D297" s="15">
        <v>3863.3773913043483</v>
      </c>
      <c r="E297" s="15">
        <v>886.21478260869571</v>
      </c>
      <c r="F297" s="15">
        <v>5.1405217391304356</v>
      </c>
      <c r="G297" s="15">
        <v>915.92043478260894</v>
      </c>
      <c r="H297" s="15">
        <v>3.7193130434782611</v>
      </c>
      <c r="I297" s="15">
        <v>16.792517391304351</v>
      </c>
      <c r="J297" s="15">
        <v>104.94739130434782</v>
      </c>
    </row>
    <row r="298" spans="1:10">
      <c r="A298" s="13">
        <v>45444</v>
      </c>
      <c r="B298" s="14">
        <f t="shared" si="8"/>
        <v>2024</v>
      </c>
      <c r="C298" s="14">
        <f t="shared" si="9"/>
        <v>6</v>
      </c>
      <c r="D298" s="15">
        <v>4059.125</v>
      </c>
      <c r="E298" s="15">
        <v>903.57549999999992</v>
      </c>
      <c r="F298" s="15">
        <v>5.3965050000000003</v>
      </c>
      <c r="G298" s="15">
        <v>927.69999999999982</v>
      </c>
      <c r="H298" s="15">
        <v>3.7718749999999992</v>
      </c>
      <c r="I298" s="15">
        <v>18.227409999999999</v>
      </c>
      <c r="J298" s="15">
        <v>105.16969999999999</v>
      </c>
    </row>
    <row r="299" spans="1:10">
      <c r="A299" s="13">
        <v>45474</v>
      </c>
      <c r="B299" s="14">
        <f t="shared" si="8"/>
        <v>2024</v>
      </c>
      <c r="C299" s="14">
        <f t="shared" si="9"/>
        <v>7</v>
      </c>
      <c r="D299" s="15">
        <v>4032.5430434782606</v>
      </c>
      <c r="E299" s="15">
        <v>921.95652173913038</v>
      </c>
      <c r="F299" s="15">
        <v>5.5437391304347825</v>
      </c>
      <c r="G299" s="15">
        <v>935.60739130434774</v>
      </c>
      <c r="H299" s="15">
        <v>3.746908695652174</v>
      </c>
      <c r="I299" s="15">
        <v>18.10311304347826</v>
      </c>
      <c r="J299" s="15">
        <v>104.63291304347827</v>
      </c>
    </row>
    <row r="300" spans="1:10">
      <c r="A300" s="13">
        <v>45505</v>
      </c>
      <c r="B300" s="14">
        <f t="shared" si="8"/>
        <v>2024</v>
      </c>
      <c r="C300" s="14">
        <f t="shared" si="9"/>
        <v>8</v>
      </c>
      <c r="D300" s="15">
        <v>4068.6072727272722</v>
      </c>
      <c r="E300" s="15">
        <v>941.27272727272725</v>
      </c>
      <c r="F300" s="15">
        <v>5.5538090909090903</v>
      </c>
      <c r="G300" s="15">
        <v>928.0645454545454</v>
      </c>
      <c r="H300" s="15">
        <v>3.7238863636363635</v>
      </c>
      <c r="I300" s="15">
        <v>19.17310909090909</v>
      </c>
      <c r="J300" s="15">
        <v>102.212</v>
      </c>
    </row>
    <row r="301" spans="1:10">
      <c r="A301" s="13">
        <v>45536</v>
      </c>
      <c r="B301" s="14">
        <f t="shared" si="8"/>
        <v>2024</v>
      </c>
      <c r="C301" s="14">
        <f t="shared" si="9"/>
        <v>9</v>
      </c>
      <c r="D301" s="15">
        <v>4189.6138095238102</v>
      </c>
      <c r="E301" s="15">
        <v>960.26190476190482</v>
      </c>
      <c r="F301" s="15">
        <v>5.5404428571428577</v>
      </c>
      <c r="G301" s="15">
        <v>926.22476190476175</v>
      </c>
      <c r="H301" s="15">
        <v>3.7527523809523808</v>
      </c>
      <c r="I301" s="15">
        <v>19.591957142857147</v>
      </c>
      <c r="J301" s="15">
        <v>101.04604761904763</v>
      </c>
    </row>
    <row r="302" spans="1:10">
      <c r="A302" s="13">
        <v>45566</v>
      </c>
      <c r="B302" s="14">
        <f t="shared" si="8"/>
        <v>2024</v>
      </c>
      <c r="C302" s="14">
        <f t="shared" si="9"/>
        <v>10</v>
      </c>
      <c r="D302" s="15">
        <v>4264.8682608695644</v>
      </c>
      <c r="E302" s="15">
        <v>979.44521739130425</v>
      </c>
      <c r="F302" s="15">
        <v>5.6234608695652186</v>
      </c>
      <c r="G302" s="15">
        <v>937.83956521739117</v>
      </c>
      <c r="H302" s="15">
        <v>3.7507130434782612</v>
      </c>
      <c r="I302" s="15">
        <v>19.681999999999999</v>
      </c>
      <c r="J302" s="15">
        <v>103.31191304347826</v>
      </c>
    </row>
    <row r="303" spans="1:10">
      <c r="A303" s="13">
        <v>45597</v>
      </c>
      <c r="B303" s="14">
        <f t="shared" si="8"/>
        <v>2024</v>
      </c>
      <c r="C303" s="14">
        <f t="shared" si="9"/>
        <v>11</v>
      </c>
      <c r="D303" s="15">
        <v>4404.3509523809525</v>
      </c>
      <c r="E303" s="15">
        <v>999.72476190476198</v>
      </c>
      <c r="F303" s="15">
        <v>5.8024619047619055</v>
      </c>
      <c r="G303" s="15">
        <v>971.70190476190487</v>
      </c>
      <c r="H303" s="15">
        <v>3.7759476190476184</v>
      </c>
      <c r="I303" s="15">
        <v>20.296385714285716</v>
      </c>
      <c r="J303" s="15">
        <v>105.86033333333333</v>
      </c>
    </row>
    <row r="304" spans="1:10">
      <c r="A304" s="13">
        <v>45627</v>
      </c>
      <c r="B304" s="14">
        <f t="shared" si="8"/>
        <v>2024</v>
      </c>
      <c r="C304" s="14">
        <f t="shared" si="9"/>
        <v>12</v>
      </c>
      <c r="D304" s="15">
        <v>4383.1550000000007</v>
      </c>
      <c r="E304" s="15">
        <v>1020.0909090909091</v>
      </c>
      <c r="F304" s="15">
        <v>6.111140909090909</v>
      </c>
      <c r="G304" s="15">
        <v>983.1149999999999</v>
      </c>
      <c r="H304" s="15">
        <v>3.7314136363636354</v>
      </c>
      <c r="I304" s="15">
        <v>20.253781818181817</v>
      </c>
      <c r="J304" s="15">
        <v>107.23477272727273</v>
      </c>
    </row>
    <row r="305" spans="1:10">
      <c r="A305" s="13">
        <v>45658</v>
      </c>
      <c r="B305" s="14">
        <f t="shared" si="8"/>
        <v>2025</v>
      </c>
      <c r="C305" s="14">
        <f t="shared" si="9"/>
        <v>1</v>
      </c>
      <c r="D305" s="15">
        <v>4285.2760869565218</v>
      </c>
      <c r="E305" s="15">
        <v>1041.6130434782608</v>
      </c>
      <c r="F305" s="15">
        <v>6.0178565217391311</v>
      </c>
      <c r="G305" s="15">
        <v>998.43</v>
      </c>
      <c r="H305" s="15">
        <v>3.7458956521739126</v>
      </c>
      <c r="I305" s="15">
        <v>20.552300000000002</v>
      </c>
      <c r="J305" s="15">
        <v>108.63539130434781</v>
      </c>
    </row>
    <row r="306" spans="1:10">
      <c r="A306" s="13">
        <v>45689</v>
      </c>
      <c r="B306" s="14">
        <f t="shared" si="8"/>
        <v>2025</v>
      </c>
      <c r="C306" s="14">
        <f t="shared" si="9"/>
        <v>2</v>
      </c>
      <c r="D306" s="15">
        <v>4126.9033333333336</v>
      </c>
      <c r="E306" s="15">
        <v>1057.1571428571428</v>
      </c>
      <c r="F306" s="15">
        <v>5.7677857142857132</v>
      </c>
      <c r="G306" s="15">
        <v>953.80190476190489</v>
      </c>
      <c r="H306" s="15">
        <v>3.6964619047619052</v>
      </c>
      <c r="I306" s="15">
        <v>20.441985714285714</v>
      </c>
      <c r="J306" s="15">
        <v>107.35738095238096</v>
      </c>
    </row>
    <row r="307" spans="1:10">
      <c r="A307" s="13">
        <v>45717</v>
      </c>
      <c r="B307" s="14">
        <f t="shared" si="8"/>
        <v>2025</v>
      </c>
      <c r="C307" s="14">
        <f t="shared" si="9"/>
        <v>3</v>
      </c>
      <c r="D307" s="15">
        <v>4133.3647619047624</v>
      </c>
      <c r="E307" s="15">
        <v>1067.3</v>
      </c>
      <c r="F307" s="15">
        <v>5.7563428571428572</v>
      </c>
      <c r="G307" s="15">
        <v>931.75761904761907</v>
      </c>
      <c r="H307" s="15">
        <v>3.6490333333333327</v>
      </c>
      <c r="I307" s="15">
        <v>20.214376190476194</v>
      </c>
      <c r="J307" s="15">
        <v>104.12752380952382</v>
      </c>
    </row>
    <row r="308" spans="1:10">
      <c r="A308" s="13">
        <v>45748</v>
      </c>
      <c r="B308" s="14">
        <f t="shared" si="8"/>
        <v>2025</v>
      </c>
      <c r="C308" s="14">
        <f t="shared" si="9"/>
        <v>4</v>
      </c>
      <c r="D308" s="15">
        <v>4273.0209090909084</v>
      </c>
      <c r="E308" s="15">
        <v>1121.575</v>
      </c>
      <c r="F308" s="15">
        <v>5.7766363636363645</v>
      </c>
      <c r="G308" s="15">
        <v>960.9140909090911</v>
      </c>
      <c r="H308" s="15">
        <v>3.6981090909090919</v>
      </c>
      <c r="I308" s="15">
        <v>19.982145454545453</v>
      </c>
      <c r="J308" s="15">
        <v>100.67418181818179</v>
      </c>
    </row>
    <row r="309" spans="1:10">
      <c r="A309" s="13">
        <v>45778</v>
      </c>
      <c r="B309" s="14">
        <f t="shared" si="8"/>
        <v>2025</v>
      </c>
      <c r="C309" s="14">
        <f t="shared" si="9"/>
        <v>5</v>
      </c>
      <c r="D309" s="15">
        <v>4197.954545454546</v>
      </c>
      <c r="E309" s="15">
        <v>1150</v>
      </c>
      <c r="F309" s="15">
        <v>5.6712818181818188</v>
      </c>
      <c r="G309" s="15">
        <v>940.66590909090894</v>
      </c>
      <c r="H309" s="15">
        <v>3.6566318181818174</v>
      </c>
      <c r="I309" s="15">
        <v>19.430081818181819</v>
      </c>
      <c r="J309" s="15">
        <v>100.0923181818182</v>
      </c>
    </row>
    <row r="310" spans="1:10">
      <c r="A310" s="13">
        <v>45809</v>
      </c>
      <c r="B310" s="14">
        <f t="shared" si="8"/>
        <v>2025</v>
      </c>
      <c r="C310" s="14">
        <f t="shared" si="9"/>
        <v>6</v>
      </c>
      <c r="D310" s="15">
        <v>4105.8895238095238</v>
      </c>
      <c r="E310" s="15">
        <v>1179.2085714285715</v>
      </c>
      <c r="F310" s="15">
        <v>5.538209523809523</v>
      </c>
      <c r="G310" s="15">
        <v>936.99666666666667</v>
      </c>
      <c r="H310" s="15">
        <v>3.6003000000000003</v>
      </c>
      <c r="I310" s="15">
        <v>19.011319047619043</v>
      </c>
      <c r="J310" s="15">
        <v>98.387380952380965</v>
      </c>
    </row>
    <row r="311" spans="1:10">
      <c r="A311" s="13">
        <v>45839</v>
      </c>
      <c r="B311" s="14">
        <f t="shared" si="8"/>
        <v>2025</v>
      </c>
      <c r="C311" s="14">
        <f t="shared" si="9"/>
        <v>7</v>
      </c>
      <c r="D311" s="15">
        <v>4052.5608695652177</v>
      </c>
      <c r="E311" s="15">
        <v>1267.871304347826</v>
      </c>
      <c r="F311" s="15">
        <v>5.5309999999999997</v>
      </c>
      <c r="G311" s="15">
        <v>953.4747826086957</v>
      </c>
      <c r="H311" s="15">
        <v>3.5543478260869565</v>
      </c>
      <c r="I311" s="15">
        <v>18.684269565217392</v>
      </c>
      <c r="J311" s="15">
        <v>97.951521739130428</v>
      </c>
    </row>
    <row r="312" spans="1:10">
      <c r="A312" s="13">
        <v>45870</v>
      </c>
      <c r="B312" s="14">
        <f t="shared" si="8"/>
        <v>2025</v>
      </c>
      <c r="C312" s="14">
        <f t="shared" si="9"/>
        <v>8</v>
      </c>
      <c r="D312" s="15">
        <v>4039.6152380952381</v>
      </c>
      <c r="E312" s="15">
        <v>1325.5952380952381</v>
      </c>
      <c r="F312" s="15">
        <v>5.4441619047619048</v>
      </c>
      <c r="G312" s="15">
        <v>964.91952380952387</v>
      </c>
      <c r="H312" s="15">
        <v>3.5415476190476176</v>
      </c>
      <c r="I312" s="15">
        <v>18.691947619047625</v>
      </c>
      <c r="J312" s="15">
        <v>98.261095238095251</v>
      </c>
    </row>
    <row r="313" spans="1:10">
      <c r="A313" s="13">
        <v>45901</v>
      </c>
      <c r="B313" s="14">
        <f t="shared" si="8"/>
        <v>2025</v>
      </c>
      <c r="C313" s="14">
        <f t="shared" si="9"/>
        <v>9</v>
      </c>
      <c r="D313" s="15">
        <v>3916.2863636363636</v>
      </c>
      <c r="E313" s="15">
        <v>1401.2954545454545</v>
      </c>
      <c r="F313" s="15">
        <v>5.3672136363636369</v>
      </c>
      <c r="G313" s="15">
        <v>959.60590909090888</v>
      </c>
      <c r="H313" s="15">
        <v>3.4985636363636363</v>
      </c>
      <c r="I313" s="15">
        <v>18.474154545454549</v>
      </c>
      <c r="J313" s="15">
        <v>97.690545454545429</v>
      </c>
    </row>
    <row r="314" spans="1:10">
      <c r="A314" s="13">
        <v>45931</v>
      </c>
      <c r="B314" s="14">
        <f t="shared" si="8"/>
        <v>2025</v>
      </c>
      <c r="C314" s="14">
        <f t="shared" si="9"/>
        <v>10</v>
      </c>
      <c r="D314" s="15">
        <v>3878.7295652173912</v>
      </c>
      <c r="E314" s="15">
        <v>1432.8476304347828</v>
      </c>
      <c r="F314" s="15">
        <v>5.3882608695652179</v>
      </c>
      <c r="G314" s="15">
        <v>952.3104347826087</v>
      </c>
      <c r="H314" s="15">
        <v>3.411826086956522</v>
      </c>
      <c r="I314" s="15">
        <v>18.425330434782609</v>
      </c>
      <c r="J314" s="15">
        <v>98.764130434782587</v>
      </c>
    </row>
    <row r="315" spans="1:10">
      <c r="A315" s="13">
        <v>45962</v>
      </c>
      <c r="B315" s="14">
        <f t="shared" si="8"/>
        <v>2025</v>
      </c>
      <c r="C315" s="14">
        <f t="shared" si="9"/>
        <v>11</v>
      </c>
      <c r="D315" s="15">
        <v>3768.1565000000001</v>
      </c>
      <c r="E315" s="15">
        <v>1427.4635499999999</v>
      </c>
      <c r="F315" s="15">
        <v>5.3377550000000005</v>
      </c>
      <c r="G315" s="15">
        <v>933.77200000000016</v>
      </c>
      <c r="H315" s="15">
        <v>3.3710099999999996</v>
      </c>
      <c r="I315" s="15">
        <v>18.405629999999999</v>
      </c>
      <c r="J315" s="15">
        <v>99.73814999999999</v>
      </c>
    </row>
    <row r="316" spans="1:10">
      <c r="A316" s="13">
        <v>45992</v>
      </c>
      <c r="B316" s="14">
        <f t="shared" si="8"/>
        <v>2025</v>
      </c>
      <c r="C316" s="14">
        <f t="shared" si="9"/>
        <v>12</v>
      </c>
      <c r="D316" s="15">
        <v>3796.2760869565218</v>
      </c>
      <c r="E316" s="15">
        <v>1446.5645869565219</v>
      </c>
      <c r="F316" s="15">
        <v>5.4620304347826085</v>
      </c>
      <c r="G316" s="15">
        <v>913.2682608695651</v>
      </c>
      <c r="H316" s="15">
        <v>3.3650739130434779</v>
      </c>
      <c r="I316" s="15">
        <v>18.060886956521735</v>
      </c>
      <c r="J316" s="15">
        <v>98.522695652173908</v>
      </c>
    </row>
    <row r="317" spans="1:10">
      <c r="A317" s="13">
        <v>46023</v>
      </c>
      <c r="B317" s="14">
        <f t="shared" si="8"/>
        <v>2026</v>
      </c>
      <c r="C317" s="14">
        <f t="shared" si="9"/>
        <v>1</v>
      </c>
      <c r="D317" s="15">
        <v>3685.6172727272728</v>
      </c>
      <c r="E317" s="15">
        <v>1448.749340909091</v>
      </c>
      <c r="F317" s="15">
        <v>5.3385136363636372</v>
      </c>
      <c r="G317" s="15">
        <v>881.72045454545469</v>
      </c>
      <c r="H317" s="15">
        <v>3.3567818181818181</v>
      </c>
      <c r="I317" s="15">
        <v>17.64588181818182</v>
      </c>
      <c r="J317" s="15">
        <v>98.269090909090906</v>
      </c>
    </row>
    <row r="318" spans="1:10">
      <c r="A318" s="13">
        <v>46054</v>
      </c>
      <c r="B318" s="14">
        <f t="shared" si="8"/>
        <v>2026</v>
      </c>
      <c r="C318" s="14">
        <f t="shared" si="9"/>
        <v>2</v>
      </c>
      <c r="D318" s="15">
        <v>3677.0205000000001</v>
      </c>
      <c r="E318" s="15">
        <v>1406.712</v>
      </c>
      <c r="F318" s="15">
        <v>5.20059</v>
      </c>
      <c r="G318" s="15">
        <v>861.15050000000008</v>
      </c>
      <c r="H318" s="15">
        <v>3.3562449999999999</v>
      </c>
      <c r="I318" s="15">
        <v>17.223374999999997</v>
      </c>
      <c r="J318" s="15">
        <v>97.428649999999976</v>
      </c>
    </row>
    <row r="319" spans="1:10">
      <c r="A319" s="13">
        <v>46082</v>
      </c>
      <c r="B319" s="14">
        <f t="shared" si="8"/>
        <v>2026</v>
      </c>
      <c r="C319" s="14">
        <f t="shared" si="9"/>
        <v>3</v>
      </c>
      <c r="D319" s="15">
        <v>3707.5272727272732</v>
      </c>
      <c r="E319" s="15">
        <v>1395.425</v>
      </c>
      <c r="F319" s="15">
        <v>5.229936363636364</v>
      </c>
      <c r="G319" s="15">
        <v>911.61545454545455</v>
      </c>
      <c r="H319" s="15">
        <v>3.4492272727272733</v>
      </c>
      <c r="I319" s="15">
        <v>17.767577272727269</v>
      </c>
      <c r="J319" s="15">
        <v>99.48154545454544</v>
      </c>
    </row>
    <row r="320" spans="1:10">
      <c r="A320" s="13">
        <v>46113</v>
      </c>
      <c r="B320" s="14">
        <f t="shared" si="8"/>
        <v>2026</v>
      </c>
      <c r="C320" s="14">
        <f t="shared" si="9"/>
        <v>4</v>
      </c>
      <c r="D320" s="15">
        <v>3617.4695454545454</v>
      </c>
      <c r="E320" s="15">
        <v>1381.8781818181817</v>
      </c>
      <c r="F320" s="15">
        <v>5.0298227272727276</v>
      </c>
      <c r="G320" s="15">
        <v>897.00545454545454</v>
      </c>
      <c r="H320" s="15">
        <v>3.4418181818181819</v>
      </c>
      <c r="I320" s="15">
        <v>17.449745454545454</v>
      </c>
      <c r="J320" s="15">
        <v>98.806090909090912</v>
      </c>
    </row>
    <row r="321" spans="1:10">
      <c r="A321" s="13">
        <v>46143</v>
      </c>
      <c r="B321" s="14">
        <f t="shared" si="8"/>
        <v>2026</v>
      </c>
      <c r="C321" s="14">
        <f t="shared" si="9"/>
        <v>5</v>
      </c>
      <c r="D321" s="15">
        <v>3715.3228571428572</v>
      </c>
      <c r="E321" s="15">
        <v>1397.0357142857142</v>
      </c>
      <c r="F321" s="15">
        <v>4.9836428571428568</v>
      </c>
      <c r="G321" s="15">
        <v>897.06190476190477</v>
      </c>
      <c r="H321" s="15">
        <v>3.4329761904761904</v>
      </c>
      <c r="I321" s="15">
        <v>17.300738095238096</v>
      </c>
      <c r="J321" s="15">
        <v>98.737809523809531</v>
      </c>
    </row>
    <row r="322" spans="1:10">
      <c r="A322" s="13">
        <v>46174</v>
      </c>
      <c r="B322" s="14">
        <f t="shared" si="8"/>
        <v>2026</v>
      </c>
      <c r="C322" s="14">
        <f t="shared" si="9"/>
        <v>6</v>
      </c>
      <c r="D322" s="15">
        <v>3489.2854545454538</v>
      </c>
      <c r="E322" s="15">
        <v>1449.909090909091</v>
      </c>
      <c r="F322" s="15">
        <v>5.1278181818181814</v>
      </c>
      <c r="G322" s="15">
        <v>905.73500000000013</v>
      </c>
      <c r="H322" s="15">
        <v>3.4055045454545461</v>
      </c>
      <c r="I322" s="15">
        <v>17.374281818181817</v>
      </c>
      <c r="J322" s="15">
        <v>100.31872727272724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D11D-7DB5-43A8-9CDC-4E816797CC00}">
  <dimension ref="A1:AB260"/>
  <sheetViews>
    <sheetView showGridLines="0" workbookViewId="0">
      <pane xSplit="1" ySplit="4" topLeftCell="X239" activePane="bottomRight" state="frozen"/>
      <selection activeCell="G394" sqref="G394"/>
      <selection pane="topRight" activeCell="G394" sqref="G394"/>
      <selection pane="bottomLeft" activeCell="G394" sqref="G394"/>
      <selection pane="bottomRight" activeCell="AB260" sqref="AB260"/>
    </sheetView>
  </sheetViews>
  <sheetFormatPr baseColWidth="10" defaultRowHeight="14.4"/>
  <sheetData>
    <row r="1" spans="1:28">
      <c r="A1" s="5" t="s">
        <v>19</v>
      </c>
      <c r="B1" s="19" t="s">
        <v>73</v>
      </c>
    </row>
    <row r="3" spans="1:28">
      <c r="A3" s="6" t="s">
        <v>58</v>
      </c>
      <c r="P3" s="6" t="s">
        <v>59</v>
      </c>
    </row>
    <row r="4" spans="1:28" ht="20.399999999999999">
      <c r="A4" s="16" t="s">
        <v>17</v>
      </c>
      <c r="B4" s="16" t="s">
        <v>60</v>
      </c>
      <c r="C4" s="16" t="s">
        <v>61</v>
      </c>
      <c r="D4" s="16" t="s">
        <v>62</v>
      </c>
      <c r="E4" s="16" t="s">
        <v>63</v>
      </c>
      <c r="F4" s="16" t="s">
        <v>64</v>
      </c>
      <c r="G4" s="16" t="s">
        <v>65</v>
      </c>
      <c r="H4" s="16" t="s">
        <v>66</v>
      </c>
      <c r="I4" s="16" t="s">
        <v>67</v>
      </c>
      <c r="J4" s="16" t="s">
        <v>68</v>
      </c>
      <c r="K4" s="16" t="s">
        <v>69</v>
      </c>
      <c r="L4" s="16" t="s">
        <v>70</v>
      </c>
      <c r="M4" s="16" t="s">
        <v>71</v>
      </c>
      <c r="N4" s="16" t="s">
        <v>72</v>
      </c>
      <c r="P4" s="16" t="s">
        <v>60</v>
      </c>
      <c r="Q4" s="16" t="s">
        <v>61</v>
      </c>
      <c r="R4" s="16" t="s">
        <v>62</v>
      </c>
      <c r="S4" s="16" t="s">
        <v>63</v>
      </c>
      <c r="T4" s="16" t="s">
        <v>64</v>
      </c>
      <c r="U4" s="16" t="s">
        <v>65</v>
      </c>
      <c r="V4" s="16" t="s">
        <v>66</v>
      </c>
      <c r="W4" s="16" t="s">
        <v>67</v>
      </c>
      <c r="X4" s="16" t="s">
        <v>68</v>
      </c>
      <c r="Y4" s="16" t="s">
        <v>69</v>
      </c>
      <c r="Z4" s="16" t="s">
        <v>70</v>
      </c>
      <c r="AA4" s="16" t="s">
        <v>71</v>
      </c>
      <c r="AB4" s="16" t="s">
        <v>72</v>
      </c>
    </row>
    <row r="5" spans="1:28">
      <c r="A5" s="17">
        <v>38353</v>
      </c>
      <c r="B5" s="18">
        <v>76.128697944090248</v>
      </c>
      <c r="C5" s="18">
        <v>57.265693487285965</v>
      </c>
      <c r="D5" s="18">
        <v>66.637962617887609</v>
      </c>
      <c r="E5" s="18">
        <v>73.554869180719152</v>
      </c>
      <c r="F5" s="18">
        <v>53.14691922834205</v>
      </c>
      <c r="G5" s="18">
        <v>57.515468452055686</v>
      </c>
      <c r="H5" s="18">
        <v>45.049298057733736</v>
      </c>
      <c r="I5" s="18">
        <v>43.11778768662667</v>
      </c>
      <c r="J5" s="18">
        <v>71.175650715239698</v>
      </c>
      <c r="K5" s="18">
        <v>53.724092531660894</v>
      </c>
      <c r="L5" s="18">
        <v>58.134421437142535</v>
      </c>
      <c r="M5" s="18">
        <v>62.749145284431584</v>
      </c>
      <c r="N5" s="18">
        <v>59.960563729579484</v>
      </c>
      <c r="P5" s="18">
        <v>80.002620847632897</v>
      </c>
      <c r="Q5" s="18">
        <v>56.264776828708698</v>
      </c>
      <c r="R5" s="18">
        <v>75.931840463355442</v>
      </c>
      <c r="S5" s="18">
        <v>74.517894223568447</v>
      </c>
      <c r="T5" s="18">
        <v>58.34011508991572</v>
      </c>
      <c r="U5" s="18">
        <v>61.815299625549137</v>
      </c>
      <c r="V5" s="18">
        <v>49.058023937913063</v>
      </c>
      <c r="W5" s="18">
        <v>42.569117625756654</v>
      </c>
      <c r="X5" s="18">
        <v>70.880317135365402</v>
      </c>
      <c r="Y5" s="18">
        <v>60.021065706130159</v>
      </c>
      <c r="Z5" s="18">
        <v>64.169992737126151</v>
      </c>
      <c r="AA5" s="18">
        <v>66.904302120389332</v>
      </c>
      <c r="AB5" s="18">
        <v>63.954227836638047</v>
      </c>
    </row>
    <row r="6" spans="1:28">
      <c r="A6" s="17">
        <f>+EDATE(A5,1)</f>
        <v>38384</v>
      </c>
      <c r="B6" s="18">
        <v>73.211013603994459</v>
      </c>
      <c r="C6" s="18">
        <v>51.965177416293983</v>
      </c>
      <c r="D6" s="18">
        <v>71.066152571030813</v>
      </c>
      <c r="E6" s="18">
        <v>71.196311681072402</v>
      </c>
      <c r="F6" s="18">
        <v>57.487613976284692</v>
      </c>
      <c r="G6" s="18">
        <v>58.334588900219828</v>
      </c>
      <c r="H6" s="18">
        <v>47.60338272149626</v>
      </c>
      <c r="I6" s="18">
        <v>44.44010831066138</v>
      </c>
      <c r="J6" s="18">
        <v>70.957119859889929</v>
      </c>
      <c r="K6" s="18">
        <v>59.802112208360157</v>
      </c>
      <c r="L6" s="18">
        <v>62.643980634062792</v>
      </c>
      <c r="M6" s="18">
        <v>67.311483338988154</v>
      </c>
      <c r="N6" s="18">
        <v>61.508610293121826</v>
      </c>
      <c r="P6" s="18">
        <v>79.242435389644768</v>
      </c>
      <c r="Q6" s="18">
        <v>56.627592548371162</v>
      </c>
      <c r="R6" s="18">
        <v>77.32994463429938</v>
      </c>
      <c r="S6" s="18">
        <v>75.41831901960829</v>
      </c>
      <c r="T6" s="18">
        <v>52.878484369540665</v>
      </c>
      <c r="U6" s="18">
        <v>62.610098917778004</v>
      </c>
      <c r="V6" s="18">
        <v>50.074566134158317</v>
      </c>
      <c r="W6" s="18">
        <v>42.737775651588564</v>
      </c>
      <c r="X6" s="18">
        <v>71.173287216369914</v>
      </c>
      <c r="Y6" s="18">
        <v>61.870052017996869</v>
      </c>
      <c r="Z6" s="18">
        <v>62.990052912436944</v>
      </c>
      <c r="AA6" s="18">
        <v>65.428760016814181</v>
      </c>
      <c r="AB6" s="18">
        <v>64.104485430283162</v>
      </c>
    </row>
    <row r="7" spans="1:28">
      <c r="A7" s="17">
        <f>+EDATE(A6,1)</f>
        <v>38412</v>
      </c>
      <c r="B7" s="18">
        <v>69.852001443349963</v>
      </c>
      <c r="C7" s="18">
        <v>56.868780402731744</v>
      </c>
      <c r="D7" s="18">
        <v>73.727830385159393</v>
      </c>
      <c r="E7" s="18">
        <v>78.157807054354549</v>
      </c>
      <c r="F7" s="18">
        <v>47.817526758551558</v>
      </c>
      <c r="G7" s="18">
        <v>58.210828723967865</v>
      </c>
      <c r="H7" s="18">
        <v>49.793846125290983</v>
      </c>
      <c r="I7" s="18">
        <v>44.231494961316173</v>
      </c>
      <c r="J7" s="18">
        <v>71.005168997436158</v>
      </c>
      <c r="K7" s="18">
        <v>62.144478921341587</v>
      </c>
      <c r="L7" s="18">
        <v>64.699489605379298</v>
      </c>
      <c r="M7" s="18">
        <v>63.537609502932149</v>
      </c>
      <c r="N7" s="18">
        <v>62.152293563964264</v>
      </c>
      <c r="P7" s="18">
        <v>78.563570244658649</v>
      </c>
      <c r="Q7" s="18">
        <v>58.210371876456414</v>
      </c>
      <c r="R7" s="18">
        <v>78.32627937947764</v>
      </c>
      <c r="S7" s="18">
        <v>75.27546299472597</v>
      </c>
      <c r="T7" s="18">
        <v>50.834507478368188</v>
      </c>
      <c r="U7" s="18">
        <v>61.764458286857327</v>
      </c>
      <c r="V7" s="18">
        <v>51.785981880676701</v>
      </c>
      <c r="W7" s="18">
        <v>42.440744377233599</v>
      </c>
      <c r="X7" s="18">
        <v>71.42626853141077</v>
      </c>
      <c r="Y7" s="18">
        <v>61.896899765332037</v>
      </c>
      <c r="Z7" s="18">
        <v>62.280454560640273</v>
      </c>
      <c r="AA7" s="18">
        <v>65.67253269818157</v>
      </c>
      <c r="AB7" s="18">
        <v>64.026850828081066</v>
      </c>
    </row>
    <row r="8" spans="1:28">
      <c r="A8" s="17">
        <f t="shared" ref="A8:A71" si="0">+EDATE(A7,1)</f>
        <v>38443</v>
      </c>
      <c r="B8" s="18">
        <v>75.718140421782408</v>
      </c>
      <c r="C8" s="18">
        <v>58.406223587617987</v>
      </c>
      <c r="D8" s="18">
        <v>77.373767843256431</v>
      </c>
      <c r="E8" s="18">
        <v>75.210568003163687</v>
      </c>
      <c r="F8" s="18">
        <v>39.235531075601507</v>
      </c>
      <c r="G8" s="18">
        <v>64.062339706323385</v>
      </c>
      <c r="H8" s="18">
        <v>49.915909966345559</v>
      </c>
      <c r="I8" s="18">
        <v>43.354904676602757</v>
      </c>
      <c r="J8" s="18">
        <v>71.152448915268721</v>
      </c>
      <c r="K8" s="18">
        <v>59.150108638593338</v>
      </c>
      <c r="L8" s="18">
        <v>59.622406970420549</v>
      </c>
      <c r="M8" s="18">
        <v>66.532169855387437</v>
      </c>
      <c r="N8" s="18">
        <v>62.958696902863423</v>
      </c>
      <c r="P8" s="18">
        <v>78.142212805691486</v>
      </c>
      <c r="Q8" s="18">
        <v>58.669460895817281</v>
      </c>
      <c r="R8" s="18">
        <v>77.957264657558866</v>
      </c>
      <c r="S8" s="18">
        <v>76.239227543258366</v>
      </c>
      <c r="T8" s="18">
        <v>49.000867975319593</v>
      </c>
      <c r="U8" s="18">
        <v>64.307966117229611</v>
      </c>
      <c r="V8" s="18">
        <v>52.545500229699869</v>
      </c>
      <c r="W8" s="18">
        <v>44.405149630162349</v>
      </c>
      <c r="X8" s="18">
        <v>71.544196228283468</v>
      </c>
      <c r="Y8" s="18">
        <v>62.645890752424108</v>
      </c>
      <c r="Z8" s="18">
        <v>63.480022263708655</v>
      </c>
      <c r="AA8" s="18">
        <v>66.149098385049754</v>
      </c>
      <c r="AB8" s="18">
        <v>64.855596936487728</v>
      </c>
    </row>
    <row r="9" spans="1:28">
      <c r="A9" s="17">
        <f t="shared" si="0"/>
        <v>38473</v>
      </c>
      <c r="B9" s="18">
        <v>76.159639410825591</v>
      </c>
      <c r="C9" s="18">
        <v>56.030905238759452</v>
      </c>
      <c r="D9" s="18">
        <v>75.325778920218454</v>
      </c>
      <c r="E9" s="18">
        <v>77.913782504091287</v>
      </c>
      <c r="F9" s="18">
        <v>46.55394772097916</v>
      </c>
      <c r="G9" s="18">
        <v>61.258654957911119</v>
      </c>
      <c r="H9" s="18">
        <v>51.892952487088415</v>
      </c>
      <c r="I9" s="18">
        <v>44.003694683992784</v>
      </c>
      <c r="J9" s="18">
        <v>71.823317677846774</v>
      </c>
      <c r="K9" s="18">
        <v>60.264302227590662</v>
      </c>
      <c r="L9" s="18">
        <v>60.76348743207631</v>
      </c>
      <c r="M9" s="18">
        <v>64.464468214215159</v>
      </c>
      <c r="N9" s="18">
        <v>62.687297399184907</v>
      </c>
      <c r="P9" s="18">
        <v>76.679828786640527</v>
      </c>
      <c r="Q9" s="18">
        <v>56.99963652708491</v>
      </c>
      <c r="R9" s="18">
        <v>75.938270018408687</v>
      </c>
      <c r="S9" s="18">
        <v>75.443515555606993</v>
      </c>
      <c r="T9" s="18">
        <v>47.412234220760254</v>
      </c>
      <c r="U9" s="18">
        <v>62.791773767995132</v>
      </c>
      <c r="V9" s="18">
        <v>52.878311066250774</v>
      </c>
      <c r="W9" s="18">
        <v>44.280976574062272</v>
      </c>
      <c r="X9" s="18">
        <v>71.700055431329304</v>
      </c>
      <c r="Y9" s="18">
        <v>62.400138723089981</v>
      </c>
      <c r="Z9" s="18">
        <v>63.882773144485014</v>
      </c>
      <c r="AA9" s="18">
        <v>66.442054609386915</v>
      </c>
      <c r="AB9" s="18">
        <v>63.93342721822507</v>
      </c>
    </row>
    <row r="10" spans="1:28">
      <c r="A10" s="17">
        <f t="shared" si="0"/>
        <v>38504</v>
      </c>
      <c r="B10" s="18">
        <v>78.425285270013276</v>
      </c>
      <c r="C10" s="18">
        <v>58.641448177740031</v>
      </c>
      <c r="D10" s="18">
        <v>78.557563329248651</v>
      </c>
      <c r="E10" s="18">
        <v>73.917878136418452</v>
      </c>
      <c r="F10" s="18">
        <v>44.02986868267817</v>
      </c>
      <c r="G10" s="18">
        <v>60.273582437137662</v>
      </c>
      <c r="H10" s="18">
        <v>51.688852836486177</v>
      </c>
      <c r="I10" s="18">
        <v>44.07563949968312</v>
      </c>
      <c r="J10" s="18">
        <v>71.947403228935315</v>
      </c>
      <c r="K10" s="18">
        <v>61.558758360843292</v>
      </c>
      <c r="L10" s="18">
        <v>62.957261555227987</v>
      </c>
      <c r="M10" s="18">
        <v>64.134709426501516</v>
      </c>
      <c r="N10" s="18">
        <v>63.502483254589379</v>
      </c>
      <c r="P10" s="18">
        <v>81.08265127867962</v>
      </c>
      <c r="Q10" s="18">
        <v>60.383520714606199</v>
      </c>
      <c r="R10" s="18">
        <v>78.630365933726495</v>
      </c>
      <c r="S10" s="18">
        <v>76.43075941720447</v>
      </c>
      <c r="T10" s="18">
        <v>46.800034861268088</v>
      </c>
      <c r="U10" s="18">
        <v>62.64449734534675</v>
      </c>
      <c r="V10" s="18">
        <v>51.829783022754597</v>
      </c>
      <c r="W10" s="18">
        <v>45.294911597471774</v>
      </c>
      <c r="X10" s="18">
        <v>71.835745041886568</v>
      </c>
      <c r="Y10" s="18">
        <v>62.645892278072978</v>
      </c>
      <c r="Z10" s="18">
        <v>63.936251038247484</v>
      </c>
      <c r="AA10" s="18">
        <v>66.681070975384387</v>
      </c>
      <c r="AB10" s="18">
        <v>64.513563904586846</v>
      </c>
    </row>
    <row r="11" spans="1:28">
      <c r="A11" s="17">
        <f t="shared" si="0"/>
        <v>38534</v>
      </c>
      <c r="B11" s="18">
        <v>82.467742304322584</v>
      </c>
      <c r="C11" s="18">
        <v>56.899944570322155</v>
      </c>
      <c r="D11" s="18">
        <v>77.398978970994264</v>
      </c>
      <c r="E11" s="18">
        <v>75.914217303087995</v>
      </c>
      <c r="F11" s="18">
        <v>36.183337571647492</v>
      </c>
      <c r="G11" s="18">
        <v>64.124811747416189</v>
      </c>
      <c r="H11" s="18">
        <v>46.335751843169682</v>
      </c>
      <c r="I11" s="18">
        <v>43.210717842379886</v>
      </c>
      <c r="J11" s="18">
        <v>71.879522701020747</v>
      </c>
      <c r="K11" s="18">
        <v>62.09372872666026</v>
      </c>
      <c r="L11" s="18">
        <v>64.273510314965364</v>
      </c>
      <c r="M11" s="18">
        <v>69.065826858108636</v>
      </c>
      <c r="N11" s="18">
        <v>63.997177444101119</v>
      </c>
      <c r="P11" s="18">
        <v>76.049204604019025</v>
      </c>
      <c r="Q11" s="18">
        <v>57.243333798899222</v>
      </c>
      <c r="R11" s="18">
        <v>76.068873555479072</v>
      </c>
      <c r="S11" s="18">
        <v>76.081802561924491</v>
      </c>
      <c r="T11" s="18">
        <v>47.526522505608192</v>
      </c>
      <c r="U11" s="18">
        <v>62.849576876300915</v>
      </c>
      <c r="V11" s="18">
        <v>47.916992507247983</v>
      </c>
      <c r="W11" s="18">
        <v>45.76766225726967</v>
      </c>
      <c r="X11" s="18">
        <v>71.966721768359605</v>
      </c>
      <c r="Y11" s="18">
        <v>62.707464986157646</v>
      </c>
      <c r="Z11" s="18">
        <v>63.669787229129035</v>
      </c>
      <c r="AA11" s="18">
        <v>67.560949890820481</v>
      </c>
      <c r="AB11" s="18">
        <v>64.009645018255071</v>
      </c>
    </row>
    <row r="12" spans="1:28">
      <c r="A12" s="17">
        <f t="shared" si="0"/>
        <v>38565</v>
      </c>
      <c r="B12" s="18">
        <v>86.481977777561809</v>
      </c>
      <c r="C12" s="18">
        <v>57.989935777709412</v>
      </c>
      <c r="D12" s="18">
        <v>82.027664385427741</v>
      </c>
      <c r="E12" s="18">
        <v>76.990425567427977</v>
      </c>
      <c r="F12" s="18">
        <v>53.332316077684048</v>
      </c>
      <c r="G12" s="18">
        <v>62.421328877005259</v>
      </c>
      <c r="H12" s="18">
        <v>48.710586023445067</v>
      </c>
      <c r="I12" s="18">
        <v>44.293624111829985</v>
      </c>
      <c r="J12" s="18">
        <v>72.105558815517597</v>
      </c>
      <c r="K12" s="18">
        <v>60.718584195677494</v>
      </c>
      <c r="L12" s="18">
        <v>60.154201035319169</v>
      </c>
      <c r="M12" s="18">
        <v>69.035163321244525</v>
      </c>
      <c r="N12" s="18">
        <v>65.307063479932651</v>
      </c>
      <c r="P12" s="18">
        <v>79.467048792217298</v>
      </c>
      <c r="Q12" s="18">
        <v>57.516091505421741</v>
      </c>
      <c r="R12" s="18">
        <v>78.782304622213175</v>
      </c>
      <c r="S12" s="18">
        <v>77.02897345316137</v>
      </c>
      <c r="T12" s="18">
        <v>49.062028012360429</v>
      </c>
      <c r="U12" s="18">
        <v>63.310459841357556</v>
      </c>
      <c r="V12" s="18">
        <v>50.583405723011495</v>
      </c>
      <c r="W12" s="18">
        <v>46.43205330716961</v>
      </c>
      <c r="X12" s="18">
        <v>72.126460445635814</v>
      </c>
      <c r="Y12" s="18">
        <v>63.125731669908205</v>
      </c>
      <c r="Z12" s="18">
        <v>63.549495799934242</v>
      </c>
      <c r="AA12" s="18">
        <v>68.095156131550212</v>
      </c>
      <c r="AB12" s="18">
        <v>65.013403943543182</v>
      </c>
    </row>
    <row r="13" spans="1:28">
      <c r="A13" s="17">
        <f t="shared" si="0"/>
        <v>38596</v>
      </c>
      <c r="B13" s="18">
        <v>83.695691837924599</v>
      </c>
      <c r="C13" s="18">
        <v>57.298024397430126</v>
      </c>
      <c r="D13" s="18">
        <v>81.347590332163108</v>
      </c>
      <c r="E13" s="18">
        <v>77.538446445006727</v>
      </c>
      <c r="F13" s="18">
        <v>56.784722572991576</v>
      </c>
      <c r="G13" s="18">
        <v>62.375991849929889</v>
      </c>
      <c r="H13" s="18">
        <v>52.636905200877557</v>
      </c>
      <c r="I13" s="18">
        <v>48.258509504912958</v>
      </c>
      <c r="J13" s="18">
        <v>72.236107875462181</v>
      </c>
      <c r="K13" s="18">
        <v>62.362135481014988</v>
      </c>
      <c r="L13" s="18">
        <v>62.317241802040314</v>
      </c>
      <c r="M13" s="18">
        <v>66.106457722073912</v>
      </c>
      <c r="N13" s="18">
        <v>65.852758756525432</v>
      </c>
      <c r="P13" s="18">
        <v>78.96443570755018</v>
      </c>
      <c r="Q13" s="18">
        <v>57.104402959947365</v>
      </c>
      <c r="R13" s="18">
        <v>76.539063861883676</v>
      </c>
      <c r="S13" s="18">
        <v>76.908752188859083</v>
      </c>
      <c r="T13" s="18">
        <v>51.062973111592605</v>
      </c>
      <c r="U13" s="18">
        <v>63.102091300390938</v>
      </c>
      <c r="V13" s="18">
        <v>52.565283828425315</v>
      </c>
      <c r="W13" s="18">
        <v>46.45195483270961</v>
      </c>
      <c r="X13" s="18">
        <v>72.312823333498173</v>
      </c>
      <c r="Y13" s="18">
        <v>63.700623619237653</v>
      </c>
      <c r="Z13" s="18">
        <v>63.384427931731679</v>
      </c>
      <c r="AA13" s="18">
        <v>68.217851073889676</v>
      </c>
      <c r="AB13" s="18">
        <v>64.843369081986026</v>
      </c>
    </row>
    <row r="14" spans="1:28">
      <c r="A14" s="17">
        <f t="shared" si="0"/>
        <v>38626</v>
      </c>
      <c r="B14" s="18">
        <v>81.071109849622843</v>
      </c>
      <c r="C14" s="18">
        <v>58.44846238983655</v>
      </c>
      <c r="D14" s="18">
        <v>80.417769489792761</v>
      </c>
      <c r="E14" s="18">
        <v>77.746300456851642</v>
      </c>
      <c r="F14" s="18">
        <v>50.722899293391123</v>
      </c>
      <c r="G14" s="18">
        <v>64.385315724475774</v>
      </c>
      <c r="H14" s="18">
        <v>59.889917657730528</v>
      </c>
      <c r="I14" s="18">
        <v>43.086487571429579</v>
      </c>
      <c r="J14" s="18">
        <v>72.44194793718394</v>
      </c>
      <c r="K14" s="18">
        <v>63.839697817353255</v>
      </c>
      <c r="L14" s="18">
        <v>60.509252760315448</v>
      </c>
      <c r="M14" s="18">
        <v>73.756970412580486</v>
      </c>
      <c r="N14" s="18">
        <v>65.983233008862541</v>
      </c>
      <c r="P14" s="18">
        <v>78.188910247085801</v>
      </c>
      <c r="Q14" s="18">
        <v>56.863911021034816</v>
      </c>
      <c r="R14" s="18">
        <v>75.698070757743437</v>
      </c>
      <c r="S14" s="18">
        <v>74.75196998855418</v>
      </c>
      <c r="T14" s="18">
        <v>51.741668112181706</v>
      </c>
      <c r="U14" s="18">
        <v>63.866954196691673</v>
      </c>
      <c r="V14" s="18">
        <v>57.528765244778391</v>
      </c>
      <c r="W14" s="18">
        <v>43.78391994974524</v>
      </c>
      <c r="X14" s="18">
        <v>72.52402360671131</v>
      </c>
      <c r="Y14" s="18">
        <v>63.934003236497482</v>
      </c>
      <c r="Z14" s="18">
        <v>63.501073009307518</v>
      </c>
      <c r="AA14" s="18">
        <v>68.566850686356233</v>
      </c>
      <c r="AB14" s="18">
        <v>64.966792526520351</v>
      </c>
    </row>
    <row r="15" spans="1:28">
      <c r="A15" s="17">
        <f t="shared" si="0"/>
        <v>38657</v>
      </c>
      <c r="B15" s="18">
        <v>79.774764508109854</v>
      </c>
      <c r="C15" s="18">
        <v>58.253716547493269</v>
      </c>
      <c r="D15" s="18">
        <v>82.0568050183401</v>
      </c>
      <c r="E15" s="18">
        <v>76.557676948179235</v>
      </c>
      <c r="F15" s="18">
        <v>69.829283117904566</v>
      </c>
      <c r="G15" s="18">
        <v>64.411621790266764</v>
      </c>
      <c r="H15" s="18">
        <v>64.716617772416015</v>
      </c>
      <c r="I15" s="18">
        <v>48.181750275917096</v>
      </c>
      <c r="J15" s="18">
        <v>73.164750060678685</v>
      </c>
      <c r="K15" s="18">
        <v>68.560573093291424</v>
      </c>
      <c r="L15" s="18">
        <v>68.062990050707299</v>
      </c>
      <c r="M15" s="18">
        <v>70.12332856380398</v>
      </c>
      <c r="N15" s="18">
        <v>68.762988066847825</v>
      </c>
      <c r="P15" s="18">
        <v>79.270434669305075</v>
      </c>
      <c r="Q15" s="18">
        <v>55.527064580678299</v>
      </c>
      <c r="R15" s="18">
        <v>77.136757463150786</v>
      </c>
      <c r="S15" s="18">
        <v>76.120662064471745</v>
      </c>
      <c r="T15" s="18">
        <v>53.588263190655674</v>
      </c>
      <c r="U15" s="18">
        <v>62.880821439296817</v>
      </c>
      <c r="V15" s="18">
        <v>60.979747294760124</v>
      </c>
      <c r="W15" s="18">
        <v>45.350239166984686</v>
      </c>
      <c r="X15" s="18">
        <v>72.74642665432583</v>
      </c>
      <c r="Y15" s="18">
        <v>64.108738250064803</v>
      </c>
      <c r="Z15" s="18">
        <v>63.62419211379725</v>
      </c>
      <c r="AA15" s="18">
        <v>69.196866111081121</v>
      </c>
      <c r="AB15" s="18">
        <v>65.274375940374966</v>
      </c>
    </row>
    <row r="16" spans="1:28">
      <c r="A16" s="17">
        <f t="shared" si="0"/>
        <v>38687</v>
      </c>
      <c r="B16" s="18">
        <v>82.296954496329178</v>
      </c>
      <c r="C16" s="18">
        <v>63.052270869437912</v>
      </c>
      <c r="D16" s="18">
        <v>83.046292706841356</v>
      </c>
      <c r="E16" s="18">
        <v>76.802184218303367</v>
      </c>
      <c r="F16" s="18">
        <v>61.147010113598846</v>
      </c>
      <c r="G16" s="18">
        <v>79.571172701308697</v>
      </c>
      <c r="H16" s="18">
        <v>69.301975301408476</v>
      </c>
      <c r="I16" s="18">
        <v>43.201587077093293</v>
      </c>
      <c r="J16" s="18">
        <v>73.406384525939586</v>
      </c>
      <c r="K16" s="18">
        <v>79.691380404246431</v>
      </c>
      <c r="L16" s="18">
        <v>78.002070650578915</v>
      </c>
      <c r="M16" s="18">
        <v>70.853092112521409</v>
      </c>
      <c r="N16" s="18">
        <v>73.782155689984833</v>
      </c>
      <c r="P16" s="18">
        <v>79.629665494801699</v>
      </c>
      <c r="Q16" s="18">
        <v>59.710419605632879</v>
      </c>
      <c r="R16" s="18">
        <v>80.645121223063484</v>
      </c>
      <c r="S16" s="18">
        <v>77.283128487732696</v>
      </c>
      <c r="T16" s="18">
        <v>58.023277262083454</v>
      </c>
      <c r="U16" s="18">
        <v>65.001708153223319</v>
      </c>
      <c r="V16" s="18">
        <v>59.789635123811323</v>
      </c>
      <c r="W16" s="18">
        <v>43.941801232291006</v>
      </c>
      <c r="X16" s="18">
        <v>73.059055917243299</v>
      </c>
      <c r="Y16" s="18">
        <v>64.853451601721673</v>
      </c>
      <c r="Z16" s="18">
        <v>63.671791507691623</v>
      </c>
      <c r="AA16" s="18">
        <v>68.754931913884846</v>
      </c>
      <c r="AB16" s="18">
        <v>66.959582924576367</v>
      </c>
    </row>
    <row r="17" spans="1:28">
      <c r="A17" s="17">
        <f t="shared" si="0"/>
        <v>38718</v>
      </c>
      <c r="B17" s="18">
        <v>74.2272162384631</v>
      </c>
      <c r="C17" s="18">
        <v>61.835333710706472</v>
      </c>
      <c r="D17" s="18">
        <v>69.490758697041244</v>
      </c>
      <c r="E17" s="18">
        <v>76.667360501785893</v>
      </c>
      <c r="F17" s="18">
        <v>52.065226586050009</v>
      </c>
      <c r="G17" s="18">
        <v>60.380810450906132</v>
      </c>
      <c r="H17" s="18">
        <v>54.695062046735913</v>
      </c>
      <c r="I17" s="18">
        <v>47.210422596913389</v>
      </c>
      <c r="J17" s="18">
        <v>73.671784965570595</v>
      </c>
      <c r="K17" s="18">
        <v>58.332435160876685</v>
      </c>
      <c r="L17" s="18">
        <v>58.637184359940385</v>
      </c>
      <c r="M17" s="18">
        <v>64.708673097118876</v>
      </c>
      <c r="N17" s="18">
        <v>62.467336124072567</v>
      </c>
      <c r="P17" s="18">
        <v>77.975642998032185</v>
      </c>
      <c r="Q17" s="18">
        <v>60.946256530797768</v>
      </c>
      <c r="R17" s="18">
        <v>78.783211713808981</v>
      </c>
      <c r="S17" s="18">
        <v>77.621561256383771</v>
      </c>
      <c r="T17" s="18">
        <v>58.017719203888497</v>
      </c>
      <c r="U17" s="18">
        <v>64.943120589518557</v>
      </c>
      <c r="V17" s="18">
        <v>59.312108600598599</v>
      </c>
      <c r="W17" s="18">
        <v>46.688748181373313</v>
      </c>
      <c r="X17" s="18">
        <v>73.366434792292907</v>
      </c>
      <c r="Y17" s="18">
        <v>65.162086048770391</v>
      </c>
      <c r="Z17" s="18">
        <v>64.854939648227827</v>
      </c>
      <c r="AA17" s="18">
        <v>68.993512031856383</v>
      </c>
      <c r="AB17" s="18">
        <v>66.670937316778719</v>
      </c>
    </row>
    <row r="18" spans="1:28">
      <c r="A18" s="17">
        <f t="shared" si="0"/>
        <v>38749</v>
      </c>
      <c r="B18" s="18">
        <v>73.44968022401666</v>
      </c>
      <c r="C18" s="18">
        <v>54.071391318363823</v>
      </c>
      <c r="D18" s="18">
        <v>74.327241463993673</v>
      </c>
      <c r="E18" s="18">
        <v>74.754072300984348</v>
      </c>
      <c r="F18" s="18">
        <v>60.688929463740706</v>
      </c>
      <c r="G18" s="18">
        <v>61.116850867561901</v>
      </c>
      <c r="H18" s="18">
        <v>56.029179586255339</v>
      </c>
      <c r="I18" s="18">
        <v>49.030184497849497</v>
      </c>
      <c r="J18" s="18">
        <v>73.412948241945102</v>
      </c>
      <c r="K18" s="18">
        <v>63.479222372492693</v>
      </c>
      <c r="L18" s="18">
        <v>65.434834511762929</v>
      </c>
      <c r="M18" s="18">
        <v>71.548808977184081</v>
      </c>
      <c r="N18" s="18">
        <v>64.559782113591766</v>
      </c>
      <c r="P18" s="18">
        <v>79.780690918110253</v>
      </c>
      <c r="Q18" s="18">
        <v>58.908286467252637</v>
      </c>
      <c r="R18" s="18">
        <v>80.486531022303126</v>
      </c>
      <c r="S18" s="18">
        <v>79.104791882798025</v>
      </c>
      <c r="T18" s="18">
        <v>56.959799164086412</v>
      </c>
      <c r="U18" s="18">
        <v>65.675423613401421</v>
      </c>
      <c r="V18" s="18">
        <v>58.714769353750974</v>
      </c>
      <c r="W18" s="18">
        <v>47.360786647747879</v>
      </c>
      <c r="X18" s="18">
        <v>73.645703517035685</v>
      </c>
      <c r="Y18" s="18">
        <v>65.698011896170783</v>
      </c>
      <c r="Z18" s="18">
        <v>65.841799431065468</v>
      </c>
      <c r="AA18" s="18">
        <v>69.445217341071427</v>
      </c>
      <c r="AB18" s="18">
        <v>67.329347574729852</v>
      </c>
    </row>
    <row r="19" spans="1:28">
      <c r="A19" s="17">
        <f t="shared" si="0"/>
        <v>38777</v>
      </c>
      <c r="B19" s="18">
        <v>74.827159093180811</v>
      </c>
      <c r="C19" s="18">
        <v>57.065163951414412</v>
      </c>
      <c r="D19" s="18">
        <v>80.912955369541393</v>
      </c>
      <c r="E19" s="18">
        <v>83.046617515972741</v>
      </c>
      <c r="F19" s="18">
        <v>55.058766966628937</v>
      </c>
      <c r="G19" s="18">
        <v>62.720332077513575</v>
      </c>
      <c r="H19" s="18">
        <v>58.244387727804003</v>
      </c>
      <c r="I19" s="18">
        <v>49.115439732126625</v>
      </c>
      <c r="J19" s="18">
        <v>73.499995533574307</v>
      </c>
      <c r="K19" s="18">
        <v>66.349771332529286</v>
      </c>
      <c r="L19" s="18">
        <v>68.246856076807248</v>
      </c>
      <c r="M19" s="18">
        <v>67.780926724489305</v>
      </c>
      <c r="N19" s="18">
        <v>66.806069284771638</v>
      </c>
      <c r="P19" s="18">
        <v>79.915241262644216</v>
      </c>
      <c r="Q19" s="18">
        <v>58.337148312782951</v>
      </c>
      <c r="R19" s="18">
        <v>81.231791042294716</v>
      </c>
      <c r="S19" s="18">
        <v>79.247526877870683</v>
      </c>
      <c r="T19" s="18">
        <v>59.065152529002198</v>
      </c>
      <c r="U19" s="18">
        <v>65.905346365079325</v>
      </c>
      <c r="V19" s="18">
        <v>60.383843050919381</v>
      </c>
      <c r="W19" s="18">
        <v>47.14839558148261</v>
      </c>
      <c r="X19" s="18">
        <v>73.927265233566047</v>
      </c>
      <c r="Y19" s="18">
        <v>66.093038266797976</v>
      </c>
      <c r="Z19" s="18">
        <v>65.781349654821994</v>
      </c>
      <c r="AA19" s="18">
        <v>70.101987399843523</v>
      </c>
      <c r="AB19" s="18">
        <v>67.79252905341238</v>
      </c>
    </row>
    <row r="20" spans="1:28">
      <c r="A20" s="17">
        <f t="shared" si="0"/>
        <v>38808</v>
      </c>
      <c r="B20" s="18">
        <v>72.432128901486394</v>
      </c>
      <c r="C20" s="18">
        <v>57.357675099021456</v>
      </c>
      <c r="D20" s="18">
        <v>74.428157260096867</v>
      </c>
      <c r="E20" s="18">
        <v>77.317038876014593</v>
      </c>
      <c r="F20" s="18">
        <v>44.179934321431283</v>
      </c>
      <c r="G20" s="18">
        <v>66.446560596361877</v>
      </c>
      <c r="H20" s="18">
        <v>59.883687259782924</v>
      </c>
      <c r="I20" s="18">
        <v>45.042886172838038</v>
      </c>
      <c r="J20" s="18">
        <v>73.759659868208601</v>
      </c>
      <c r="K20" s="18">
        <v>62.638656247590461</v>
      </c>
      <c r="L20" s="18">
        <v>61.802374396032377</v>
      </c>
      <c r="M20" s="18">
        <v>70.67928160051332</v>
      </c>
      <c r="N20" s="18">
        <v>64.289071890721672</v>
      </c>
      <c r="P20" s="18">
        <v>78.577832998484283</v>
      </c>
      <c r="Q20" s="18">
        <v>57.593386239450673</v>
      </c>
      <c r="R20" s="18">
        <v>79.310679007820482</v>
      </c>
      <c r="S20" s="18">
        <v>79.426650338783404</v>
      </c>
      <c r="T20" s="18">
        <v>55.066295157265799</v>
      </c>
      <c r="U20" s="18">
        <v>67.411107600588167</v>
      </c>
      <c r="V20" s="18">
        <v>62.870472330113067</v>
      </c>
      <c r="W20" s="18">
        <v>46.253658309498284</v>
      </c>
      <c r="X20" s="18">
        <v>74.193081811568874</v>
      </c>
      <c r="Y20" s="18">
        <v>66.406031175230652</v>
      </c>
      <c r="Z20" s="18">
        <v>65.796237873804102</v>
      </c>
      <c r="AA20" s="18">
        <v>70.18583918480779</v>
      </c>
      <c r="AB20" s="18">
        <v>67.283629518925565</v>
      </c>
    </row>
    <row r="21" spans="1:28">
      <c r="A21" s="17">
        <f t="shared" si="0"/>
        <v>38838</v>
      </c>
      <c r="B21" s="18">
        <v>80.18095867253048</v>
      </c>
      <c r="C21" s="18">
        <v>57.527284386328382</v>
      </c>
      <c r="D21" s="18">
        <v>82.164891308897751</v>
      </c>
      <c r="E21" s="18">
        <v>82.758501874077112</v>
      </c>
      <c r="F21" s="18">
        <v>51.977783866676461</v>
      </c>
      <c r="G21" s="18">
        <v>65.227083503002902</v>
      </c>
      <c r="H21" s="18">
        <v>62.068999184262296</v>
      </c>
      <c r="I21" s="18">
        <v>46.001024715639765</v>
      </c>
      <c r="J21" s="18">
        <v>74.580713833306334</v>
      </c>
      <c r="K21" s="18">
        <v>64.513670659220097</v>
      </c>
      <c r="L21" s="18">
        <v>62.568554213633789</v>
      </c>
      <c r="M21" s="18">
        <v>68.665902163061716</v>
      </c>
      <c r="N21" s="18">
        <v>66.898254706119374</v>
      </c>
      <c r="P21" s="18">
        <v>80.797850224225712</v>
      </c>
      <c r="Q21" s="18">
        <v>58.388037973057074</v>
      </c>
      <c r="R21" s="18">
        <v>82.710338558969099</v>
      </c>
      <c r="S21" s="18">
        <v>80.281267015232359</v>
      </c>
      <c r="T21" s="18">
        <v>52.355685968047396</v>
      </c>
      <c r="U21" s="18">
        <v>66.996682663066693</v>
      </c>
      <c r="V21" s="18">
        <v>63.036560545382379</v>
      </c>
      <c r="W21" s="18">
        <v>46.362475873855452</v>
      </c>
      <c r="X21" s="18">
        <v>74.458016721643375</v>
      </c>
      <c r="Y21" s="18">
        <v>66.817398776521827</v>
      </c>
      <c r="Z21" s="18">
        <v>65.825155877784709</v>
      </c>
      <c r="AA21" s="18">
        <v>70.798649728827812</v>
      </c>
      <c r="AB21" s="18">
        <v>68.163778788516098</v>
      </c>
    </row>
    <row r="22" spans="1:28">
      <c r="A22" s="17">
        <f t="shared" si="0"/>
        <v>38869</v>
      </c>
      <c r="B22" s="18">
        <v>77.213209049512272</v>
      </c>
      <c r="C22" s="18">
        <v>56.377347461110993</v>
      </c>
      <c r="D22" s="18">
        <v>82.656528066070507</v>
      </c>
      <c r="E22" s="18">
        <v>77.344535595186301</v>
      </c>
      <c r="F22" s="18">
        <v>48.123044747857492</v>
      </c>
      <c r="G22" s="18">
        <v>65.192392589676061</v>
      </c>
      <c r="H22" s="18">
        <v>62.615377457710672</v>
      </c>
      <c r="I22" s="18">
        <v>45.706834046687703</v>
      </c>
      <c r="J22" s="18">
        <v>74.850863845555324</v>
      </c>
      <c r="K22" s="18">
        <v>66.038798951106031</v>
      </c>
      <c r="L22" s="18">
        <v>64.949432834172654</v>
      </c>
      <c r="M22" s="18">
        <v>68.607951572838559</v>
      </c>
      <c r="N22" s="18">
        <v>66.661872578058166</v>
      </c>
      <c r="P22" s="18">
        <v>79.996448675752504</v>
      </c>
      <c r="Q22" s="18">
        <v>57.942270018018881</v>
      </c>
      <c r="R22" s="18">
        <v>82.736822236580139</v>
      </c>
      <c r="S22" s="18">
        <v>79.880135191167966</v>
      </c>
      <c r="T22" s="18">
        <v>50.611420112093896</v>
      </c>
      <c r="U22" s="18">
        <v>67.641819100657287</v>
      </c>
      <c r="V22" s="18">
        <v>62.492035575779781</v>
      </c>
      <c r="W22" s="18">
        <v>47.053711351849223</v>
      </c>
      <c r="X22" s="18">
        <v>74.737209013673606</v>
      </c>
      <c r="Y22" s="18">
        <v>67.162908106244089</v>
      </c>
      <c r="Z22" s="18">
        <v>65.995532637162526</v>
      </c>
      <c r="AA22" s="18">
        <v>71.402714762823166</v>
      </c>
      <c r="AB22" s="18">
        <v>67.753309465649352</v>
      </c>
    </row>
    <row r="23" spans="1:28">
      <c r="A23" s="17">
        <f t="shared" si="0"/>
        <v>38899</v>
      </c>
      <c r="B23" s="18">
        <v>85.909073853715398</v>
      </c>
      <c r="C23" s="18">
        <v>61.255336836871066</v>
      </c>
      <c r="D23" s="18">
        <v>83.21636050730838</v>
      </c>
      <c r="E23" s="18">
        <v>79.638592213535162</v>
      </c>
      <c r="F23" s="18">
        <v>42.266739674508877</v>
      </c>
      <c r="G23" s="18">
        <v>69.733659320574432</v>
      </c>
      <c r="H23" s="18">
        <v>57.914259581102598</v>
      </c>
      <c r="I23" s="18">
        <v>44.370521574804386</v>
      </c>
      <c r="J23" s="18">
        <v>74.934176119859359</v>
      </c>
      <c r="K23" s="18">
        <v>66.727941789274041</v>
      </c>
      <c r="L23" s="18">
        <v>67.040991676075734</v>
      </c>
      <c r="M23" s="18">
        <v>73.02929604977399</v>
      </c>
      <c r="N23" s="18">
        <v>68.556561080509354</v>
      </c>
      <c r="P23" s="18">
        <v>79.231815747444216</v>
      </c>
      <c r="Q23" s="18">
        <v>61.601358669554109</v>
      </c>
      <c r="R23" s="18">
        <v>81.846995425391128</v>
      </c>
      <c r="S23" s="18">
        <v>79.796320052757778</v>
      </c>
      <c r="T23" s="18">
        <v>54.701078495309687</v>
      </c>
      <c r="U23" s="18">
        <v>68.398560090165034</v>
      </c>
      <c r="V23" s="18">
        <v>59.63714018153712</v>
      </c>
      <c r="W23" s="18">
        <v>46.916997450860052</v>
      </c>
      <c r="X23" s="18">
        <v>75.02387883705407</v>
      </c>
      <c r="Y23" s="18">
        <v>67.389474739730844</v>
      </c>
      <c r="Z23" s="18">
        <v>66.427420084394953</v>
      </c>
      <c r="AA23" s="18">
        <v>71.506618473341561</v>
      </c>
      <c r="AB23" s="18">
        <v>68.56010221206887</v>
      </c>
    </row>
    <row r="24" spans="1:28">
      <c r="A24" s="17">
        <f t="shared" si="0"/>
        <v>38930</v>
      </c>
      <c r="B24" s="18">
        <v>89.10286975067207</v>
      </c>
      <c r="C24" s="18">
        <v>58.801125703508305</v>
      </c>
      <c r="D24" s="18">
        <v>88.961935309833592</v>
      </c>
      <c r="E24" s="18">
        <v>80.253587795821019</v>
      </c>
      <c r="F24" s="18">
        <v>63.589087113642726</v>
      </c>
      <c r="G24" s="18">
        <v>67.783793447390494</v>
      </c>
      <c r="H24" s="18">
        <v>57.036143649335273</v>
      </c>
      <c r="I24" s="18">
        <v>45.843639749309794</v>
      </c>
      <c r="J24" s="18">
        <v>75.273118051628231</v>
      </c>
      <c r="K24" s="18">
        <v>65.149403254310997</v>
      </c>
      <c r="L24" s="18">
        <v>63.157924008610067</v>
      </c>
      <c r="M24" s="18">
        <v>72.289321732310327</v>
      </c>
      <c r="N24" s="18">
        <v>69.817964734172307</v>
      </c>
      <c r="P24" s="18">
        <v>81.907671262278839</v>
      </c>
      <c r="Q24" s="18">
        <v>58.277333916903132</v>
      </c>
      <c r="R24" s="18">
        <v>85.862324289427335</v>
      </c>
      <c r="S24" s="18">
        <v>80.289421279487499</v>
      </c>
      <c r="T24" s="18">
        <v>58.084100896541266</v>
      </c>
      <c r="U24" s="18">
        <v>68.848132546809467</v>
      </c>
      <c r="V24" s="18">
        <v>58.992128867175289</v>
      </c>
      <c r="W24" s="18">
        <v>48.178375765854057</v>
      </c>
      <c r="X24" s="18">
        <v>75.290025318265322</v>
      </c>
      <c r="Y24" s="18">
        <v>67.668660326123515</v>
      </c>
      <c r="Z24" s="18">
        <v>66.802271779366762</v>
      </c>
      <c r="AA24" s="18">
        <v>71.319465076976371</v>
      </c>
      <c r="AB24" s="18">
        <v>69.526868175706596</v>
      </c>
    </row>
    <row r="25" spans="1:28">
      <c r="A25" s="17">
        <f t="shared" si="0"/>
        <v>38961</v>
      </c>
      <c r="B25" s="18">
        <v>86.866512487219921</v>
      </c>
      <c r="C25" s="18">
        <v>58.386958111018494</v>
      </c>
      <c r="D25" s="18">
        <v>91.390413271855166</v>
      </c>
      <c r="E25" s="18">
        <v>81.816953288458834</v>
      </c>
      <c r="F25" s="18">
        <v>66.30597479739923</v>
      </c>
      <c r="G25" s="18">
        <v>69.056285847158222</v>
      </c>
      <c r="H25" s="18">
        <v>59.457815961841895</v>
      </c>
      <c r="I25" s="18">
        <v>49.821809156974304</v>
      </c>
      <c r="J25" s="18">
        <v>75.465301943697455</v>
      </c>
      <c r="K25" s="18">
        <v>67.053717184299146</v>
      </c>
      <c r="L25" s="18">
        <v>65.957604363720989</v>
      </c>
      <c r="M25" s="18">
        <v>69.409064692593631</v>
      </c>
      <c r="N25" s="18">
        <v>71.230150145039374</v>
      </c>
      <c r="P25" s="18">
        <v>81.872697078159462</v>
      </c>
      <c r="Q25" s="18">
        <v>58.354605077277867</v>
      </c>
      <c r="R25" s="18">
        <v>86.69102591025613</v>
      </c>
      <c r="S25" s="18">
        <v>81.14878612482805</v>
      </c>
      <c r="T25" s="18">
        <v>59.480640965184897</v>
      </c>
      <c r="U25" s="18">
        <v>69.816014429356841</v>
      </c>
      <c r="V25" s="18">
        <v>59.040155779444724</v>
      </c>
      <c r="W25" s="18">
        <v>47.934939859722284</v>
      </c>
      <c r="X25" s="18">
        <v>75.537017902716968</v>
      </c>
      <c r="Y25" s="18">
        <v>68.433512488027461</v>
      </c>
      <c r="Z25" s="18">
        <v>67.155032524511654</v>
      </c>
      <c r="AA25" s="18">
        <v>71.608759350161066</v>
      </c>
      <c r="AB25" s="18">
        <v>70.170212189553169</v>
      </c>
    </row>
    <row r="26" spans="1:28">
      <c r="A26" s="17">
        <f t="shared" si="0"/>
        <v>38991</v>
      </c>
      <c r="B26" s="18">
        <v>85.433221782024319</v>
      </c>
      <c r="C26" s="18">
        <v>60.58286156510696</v>
      </c>
      <c r="D26" s="18">
        <v>89.536994638261334</v>
      </c>
      <c r="E26" s="18">
        <v>84.139185273128575</v>
      </c>
      <c r="F26" s="18">
        <v>59.819197622270579</v>
      </c>
      <c r="G26" s="18">
        <v>69.81602471547464</v>
      </c>
      <c r="H26" s="18">
        <v>63.595062065480853</v>
      </c>
      <c r="I26" s="18">
        <v>46.534790769775583</v>
      </c>
      <c r="J26" s="18">
        <v>75.688714319998965</v>
      </c>
      <c r="K26" s="18">
        <v>68.131235488727924</v>
      </c>
      <c r="L26" s="18">
        <v>64.193583910497026</v>
      </c>
      <c r="M26" s="18">
        <v>76.840611710262579</v>
      </c>
      <c r="N26" s="18">
        <v>71.135878972485472</v>
      </c>
      <c r="P26" s="18">
        <v>82.544603441947757</v>
      </c>
      <c r="Q26" s="18">
        <v>58.932803430075822</v>
      </c>
      <c r="R26" s="18">
        <v>84.705206379286324</v>
      </c>
      <c r="S26" s="18">
        <v>81.106128612525751</v>
      </c>
      <c r="T26" s="18">
        <v>60.945662321773732</v>
      </c>
      <c r="U26" s="18">
        <v>69.341957828678815</v>
      </c>
      <c r="V26" s="18">
        <v>60.967747414961437</v>
      </c>
      <c r="W26" s="18">
        <v>47.321825235524564</v>
      </c>
      <c r="X26" s="18">
        <v>75.765036431861887</v>
      </c>
      <c r="Y26" s="18">
        <v>68.207933058286656</v>
      </c>
      <c r="Z26" s="18">
        <v>67.437855600023838</v>
      </c>
      <c r="AA26" s="18">
        <v>71.319536658586529</v>
      </c>
      <c r="AB26" s="18">
        <v>70.069948484757703</v>
      </c>
    </row>
    <row r="27" spans="1:28">
      <c r="A27" s="17">
        <f t="shared" si="0"/>
        <v>39022</v>
      </c>
      <c r="B27" s="18">
        <v>82.307895367102788</v>
      </c>
      <c r="C27" s="18">
        <v>62.575606608552889</v>
      </c>
      <c r="D27" s="18">
        <v>92.293092054794144</v>
      </c>
      <c r="E27" s="18">
        <v>81.794504724089052</v>
      </c>
      <c r="F27" s="18">
        <v>80.880729547850166</v>
      </c>
      <c r="G27" s="18">
        <v>71.37747563149847</v>
      </c>
      <c r="H27" s="18">
        <v>68.374521145781685</v>
      </c>
      <c r="I27" s="18">
        <v>52.661949159590073</v>
      </c>
      <c r="J27" s="18">
        <v>76.431017414545536</v>
      </c>
      <c r="K27" s="18">
        <v>73.525508306112002</v>
      </c>
      <c r="L27" s="18">
        <v>72.366572012203335</v>
      </c>
      <c r="M27" s="18">
        <v>72.606427536887537</v>
      </c>
      <c r="N27" s="18">
        <v>74.620661197768072</v>
      </c>
      <c r="P27" s="18">
        <v>82.007804605284321</v>
      </c>
      <c r="Q27" s="18">
        <v>59.855775511202083</v>
      </c>
      <c r="R27" s="18">
        <v>87.425353611621972</v>
      </c>
      <c r="S27" s="18">
        <v>81.235571442542593</v>
      </c>
      <c r="T27" s="18">
        <v>62.353060710726851</v>
      </c>
      <c r="U27" s="18">
        <v>69.622692638791221</v>
      </c>
      <c r="V27" s="18">
        <v>64.440452604327675</v>
      </c>
      <c r="W27" s="18">
        <v>49.572299457916081</v>
      </c>
      <c r="X27" s="18">
        <v>75.991294461383177</v>
      </c>
      <c r="Y27" s="18">
        <v>68.709279643676254</v>
      </c>
      <c r="Z27" s="18">
        <v>67.651960420552442</v>
      </c>
      <c r="AA27" s="18">
        <v>71.796571074674389</v>
      </c>
      <c r="AB27" s="18">
        <v>70.875947590611958</v>
      </c>
    </row>
    <row r="28" spans="1:28">
      <c r="A28" s="17">
        <f t="shared" si="0"/>
        <v>39052</v>
      </c>
      <c r="B28" s="18">
        <v>83.481044574260181</v>
      </c>
      <c r="C28" s="18">
        <v>61.132651469041946</v>
      </c>
      <c r="D28" s="18">
        <v>87.34375776315359</v>
      </c>
      <c r="E28" s="18">
        <v>80.459293546777275</v>
      </c>
      <c r="F28" s="18">
        <v>66.137242333394425</v>
      </c>
      <c r="G28" s="18">
        <v>85.680330536425856</v>
      </c>
      <c r="H28" s="18">
        <v>72.726045212835004</v>
      </c>
      <c r="I28" s="18">
        <v>47.256301378335067</v>
      </c>
      <c r="J28" s="18">
        <v>76.648676861036307</v>
      </c>
      <c r="K28" s="18">
        <v>84.973494843090791</v>
      </c>
      <c r="L28" s="18">
        <v>82.978063385353977</v>
      </c>
      <c r="M28" s="18">
        <v>72.469283610886535</v>
      </c>
      <c r="N28" s="18">
        <v>77.532089500178287</v>
      </c>
      <c r="P28" s="18">
        <v>80.82267078901036</v>
      </c>
      <c r="Q28" s="18">
        <v>57.831474386259671</v>
      </c>
      <c r="R28" s="18">
        <v>84.932806874734496</v>
      </c>
      <c r="S28" s="18">
        <v>80.852083678448594</v>
      </c>
      <c r="T28" s="18">
        <v>63.452040811896637</v>
      </c>
      <c r="U28" s="18">
        <v>69.930742108552465</v>
      </c>
      <c r="V28" s="18">
        <v>62.753126173968333</v>
      </c>
      <c r="W28" s="18">
        <v>47.803589699955978</v>
      </c>
      <c r="X28" s="18">
        <v>76.282006943679022</v>
      </c>
      <c r="Y28" s="18">
        <v>69.165520798126153</v>
      </c>
      <c r="Z28" s="18">
        <v>67.764420155858858</v>
      </c>
      <c r="AA28" s="18">
        <v>70.156678237769981</v>
      </c>
      <c r="AB28" s="18">
        <v>70.379081913371934</v>
      </c>
    </row>
    <row r="29" spans="1:28">
      <c r="A29" s="17">
        <f t="shared" si="0"/>
        <v>39083</v>
      </c>
      <c r="B29" s="18">
        <v>76.861777418401033</v>
      </c>
      <c r="C29" s="18">
        <v>57.01750519102886</v>
      </c>
      <c r="D29" s="18">
        <v>77.462655247137008</v>
      </c>
      <c r="E29" s="18">
        <v>82.200954179913481</v>
      </c>
      <c r="F29" s="18">
        <v>55.523255524251255</v>
      </c>
      <c r="G29" s="18">
        <v>65.904261739514595</v>
      </c>
      <c r="H29" s="18">
        <v>61.030780171885901</v>
      </c>
      <c r="I29" s="18">
        <v>50.25519496160058</v>
      </c>
      <c r="J29" s="18">
        <v>76.867454491833215</v>
      </c>
      <c r="K29" s="18">
        <v>62.438327689758189</v>
      </c>
      <c r="L29" s="18">
        <v>61.153941332688554</v>
      </c>
      <c r="M29" s="18">
        <v>68.18404049244721</v>
      </c>
      <c r="N29" s="18">
        <v>66.279678673689261</v>
      </c>
      <c r="P29" s="18">
        <v>80.696901426113328</v>
      </c>
      <c r="Q29" s="18">
        <v>56.164033573254855</v>
      </c>
      <c r="R29" s="18">
        <v>86.618184528991534</v>
      </c>
      <c r="S29" s="18">
        <v>83.052030188781714</v>
      </c>
      <c r="T29" s="18">
        <v>63.281350044980968</v>
      </c>
      <c r="U29" s="18">
        <v>70.928965459301679</v>
      </c>
      <c r="V29" s="18">
        <v>66.040130854685003</v>
      </c>
      <c r="W29" s="18">
        <v>49.887875898514537</v>
      </c>
      <c r="X29" s="18">
        <v>76.553538749036207</v>
      </c>
      <c r="Y29" s="18">
        <v>69.7883946142734</v>
      </c>
      <c r="Z29" s="18">
        <v>67.829955273214125</v>
      </c>
      <c r="AA29" s="18">
        <v>72.741399938216261</v>
      </c>
      <c r="AB29" s="18">
        <v>70.805888211158475</v>
      </c>
    </row>
    <row r="30" spans="1:28">
      <c r="A30" s="17">
        <f t="shared" si="0"/>
        <v>39114</v>
      </c>
      <c r="B30" s="18">
        <v>77.237066306110876</v>
      </c>
      <c r="C30" s="18">
        <v>54.994545553275955</v>
      </c>
      <c r="D30" s="18">
        <v>81.516795059289038</v>
      </c>
      <c r="E30" s="18">
        <v>79.758514264004674</v>
      </c>
      <c r="F30" s="18">
        <v>64.949483029885073</v>
      </c>
      <c r="G30" s="18">
        <v>66.057182192663177</v>
      </c>
      <c r="H30" s="18">
        <v>64.22717513016903</v>
      </c>
      <c r="I30" s="18">
        <v>52.797044170813599</v>
      </c>
      <c r="J30" s="18">
        <v>76.533244357014638</v>
      </c>
      <c r="K30" s="18">
        <v>67.856133837854003</v>
      </c>
      <c r="L30" s="18">
        <v>67.526209895497942</v>
      </c>
      <c r="M30" s="18">
        <v>75.977515098118658</v>
      </c>
      <c r="N30" s="18">
        <v>68.769630636945337</v>
      </c>
      <c r="P30" s="18">
        <v>84.34580027573142</v>
      </c>
      <c r="Q30" s="18">
        <v>60.02494796782635</v>
      </c>
      <c r="R30" s="18">
        <v>87.389195677097476</v>
      </c>
      <c r="S30" s="18">
        <v>84.216927381531505</v>
      </c>
      <c r="T30" s="18">
        <v>62.470378177655974</v>
      </c>
      <c r="U30" s="18">
        <v>70.963886854237956</v>
      </c>
      <c r="V30" s="18">
        <v>67.189375373363873</v>
      </c>
      <c r="W30" s="18">
        <v>51.44828490957056</v>
      </c>
      <c r="X30" s="18">
        <v>76.792649892149242</v>
      </c>
      <c r="Y30" s="18">
        <v>70.30348611073282</v>
      </c>
      <c r="Z30" s="18">
        <v>67.961305168309508</v>
      </c>
      <c r="AA30" s="18">
        <v>73.66409065408412</v>
      </c>
      <c r="AB30" s="18">
        <v>71.766351880009566</v>
      </c>
    </row>
    <row r="31" spans="1:28">
      <c r="A31" s="17">
        <f t="shared" si="0"/>
        <v>39142</v>
      </c>
      <c r="B31" s="18">
        <v>77.248804873325412</v>
      </c>
      <c r="C31" s="18">
        <v>57.359534323806201</v>
      </c>
      <c r="D31" s="18">
        <v>88.467953819847935</v>
      </c>
      <c r="E31" s="18">
        <v>87.62968515059994</v>
      </c>
      <c r="F31" s="18">
        <v>58.075538400455031</v>
      </c>
      <c r="G31" s="18">
        <v>69.043308938755061</v>
      </c>
      <c r="H31" s="18">
        <v>64.688724573643029</v>
      </c>
      <c r="I31" s="18">
        <v>54.699740449534474</v>
      </c>
      <c r="J31" s="18">
        <v>76.554333058495288</v>
      </c>
      <c r="K31" s="18">
        <v>71.075254525639807</v>
      </c>
      <c r="L31" s="18">
        <v>70.236268571017916</v>
      </c>
      <c r="M31" s="18">
        <v>70.810223491333062</v>
      </c>
      <c r="N31" s="18">
        <v>71.068610158286887</v>
      </c>
      <c r="P31" s="18">
        <v>81.920695325413647</v>
      </c>
      <c r="Q31" s="18">
        <v>58.434290537687048</v>
      </c>
      <c r="R31" s="18">
        <v>88.779076017707041</v>
      </c>
      <c r="S31" s="18">
        <v>83.877240142785695</v>
      </c>
      <c r="T31" s="18">
        <v>62.711760688934163</v>
      </c>
      <c r="U31" s="18">
        <v>72.437207208544393</v>
      </c>
      <c r="V31" s="18">
        <v>67.065909077906255</v>
      </c>
      <c r="W31" s="18">
        <v>52.44603836772724</v>
      </c>
      <c r="X31" s="18">
        <v>77.022242444630606</v>
      </c>
      <c r="Y31" s="18">
        <v>70.821720254758674</v>
      </c>
      <c r="Z31" s="18">
        <v>67.769254008829535</v>
      </c>
      <c r="AA31" s="18">
        <v>73.39944754563993</v>
      </c>
      <c r="AB31" s="18">
        <v>72.097558953214573</v>
      </c>
    </row>
    <row r="32" spans="1:28">
      <c r="A32" s="17">
        <f t="shared" si="0"/>
        <v>39173</v>
      </c>
      <c r="B32" s="18">
        <v>75.709145695193442</v>
      </c>
      <c r="C32" s="18">
        <v>59.37922898094925</v>
      </c>
      <c r="D32" s="18">
        <v>80.949864637835731</v>
      </c>
      <c r="E32" s="18">
        <v>80.313953093772284</v>
      </c>
      <c r="F32" s="18">
        <v>50.820744734100678</v>
      </c>
      <c r="G32" s="18">
        <v>70.312794846637701</v>
      </c>
      <c r="H32" s="18">
        <v>62.813559445038223</v>
      </c>
      <c r="I32" s="18">
        <v>52.116198883831053</v>
      </c>
      <c r="J32" s="18">
        <v>76.747743358840268</v>
      </c>
      <c r="K32" s="18">
        <v>66.445740475833873</v>
      </c>
      <c r="L32" s="18">
        <v>63.923872429961492</v>
      </c>
      <c r="M32" s="18">
        <v>73.990450545329495</v>
      </c>
      <c r="N32" s="18">
        <v>68.163098071020002</v>
      </c>
      <c r="P32" s="18">
        <v>82.14689667606396</v>
      </c>
      <c r="Q32" s="18">
        <v>59.478762809637175</v>
      </c>
      <c r="R32" s="18">
        <v>85.674328975151894</v>
      </c>
      <c r="S32" s="18">
        <v>82.533676899412711</v>
      </c>
      <c r="T32" s="18">
        <v>61.899842916148572</v>
      </c>
      <c r="U32" s="18">
        <v>71.429863690404176</v>
      </c>
      <c r="V32" s="18">
        <v>66.078438348099311</v>
      </c>
      <c r="W32" s="18">
        <v>53.677282663716738</v>
      </c>
      <c r="X32" s="18">
        <v>77.20412650207885</v>
      </c>
      <c r="Y32" s="18">
        <v>70.543203226212697</v>
      </c>
      <c r="Z32" s="18">
        <v>67.945850221503648</v>
      </c>
      <c r="AA32" s="18">
        <v>73.325337676409291</v>
      </c>
      <c r="AB32" s="18">
        <v>71.326593477900673</v>
      </c>
    </row>
    <row r="33" spans="1:28">
      <c r="A33" s="17">
        <f t="shared" si="0"/>
        <v>39203</v>
      </c>
      <c r="B33" s="18">
        <v>79.580146794147126</v>
      </c>
      <c r="C33" s="18">
        <v>58.352670203365534</v>
      </c>
      <c r="D33" s="18">
        <v>89.073926556470312</v>
      </c>
      <c r="E33" s="18">
        <v>85.69531282211166</v>
      </c>
      <c r="F33" s="18">
        <v>62.680380763923559</v>
      </c>
      <c r="G33" s="18">
        <v>70.966789071640136</v>
      </c>
      <c r="H33" s="18">
        <v>65.914367352859074</v>
      </c>
      <c r="I33" s="18">
        <v>54.262410228184123</v>
      </c>
      <c r="J33" s="18">
        <v>77.512324094513176</v>
      </c>
      <c r="K33" s="18">
        <v>68.808261261177776</v>
      </c>
      <c r="L33" s="18">
        <v>64.881889882756965</v>
      </c>
      <c r="M33" s="18">
        <v>71.698178544582433</v>
      </c>
      <c r="N33" s="18">
        <v>71.208223878212323</v>
      </c>
      <c r="P33" s="18">
        <v>79.990399137419033</v>
      </c>
      <c r="Q33" s="18">
        <v>58.717271638650374</v>
      </c>
      <c r="R33" s="18">
        <v>89.386531317859536</v>
      </c>
      <c r="S33" s="18">
        <v>83.122621899072698</v>
      </c>
      <c r="T33" s="18">
        <v>61.112874013816189</v>
      </c>
      <c r="U33" s="18">
        <v>72.964631798025664</v>
      </c>
      <c r="V33" s="18">
        <v>66.984666793570184</v>
      </c>
      <c r="W33" s="18">
        <v>54.715208295929209</v>
      </c>
      <c r="X33" s="18">
        <v>77.389882854940211</v>
      </c>
      <c r="Y33" s="18">
        <v>71.256211101398065</v>
      </c>
      <c r="Z33" s="18">
        <v>68.200879190990193</v>
      </c>
      <c r="AA33" s="18">
        <v>74.054467736885101</v>
      </c>
      <c r="AB33" s="18">
        <v>72.363899768964487</v>
      </c>
    </row>
    <row r="34" spans="1:28">
      <c r="A34" s="17">
        <f t="shared" si="0"/>
        <v>39234</v>
      </c>
      <c r="B34" s="18">
        <v>82.904615387152546</v>
      </c>
      <c r="C34" s="18">
        <v>55.583665670622132</v>
      </c>
      <c r="D34" s="18">
        <v>89.539534419337713</v>
      </c>
      <c r="E34" s="18">
        <v>80.922128883125438</v>
      </c>
      <c r="F34" s="18">
        <v>58.727855091715377</v>
      </c>
      <c r="G34" s="18">
        <v>71.480411682688143</v>
      </c>
      <c r="H34" s="18">
        <v>70.552028913182696</v>
      </c>
      <c r="I34" s="18">
        <v>52.715277458265454</v>
      </c>
      <c r="J34" s="18">
        <v>77.695436801250537</v>
      </c>
      <c r="K34" s="18">
        <v>70.727469974658092</v>
      </c>
      <c r="L34" s="18">
        <v>67.583159358837293</v>
      </c>
      <c r="M34" s="18">
        <v>71.444248693879643</v>
      </c>
      <c r="N34" s="18">
        <v>71.66959544291673</v>
      </c>
      <c r="P34" s="18">
        <v>86.221661295623548</v>
      </c>
      <c r="Q34" s="18">
        <v>56.922991747721611</v>
      </c>
      <c r="R34" s="18">
        <v>89.565477239434614</v>
      </c>
      <c r="S34" s="18">
        <v>83.426581906851055</v>
      </c>
      <c r="T34" s="18">
        <v>59.849316460096382</v>
      </c>
      <c r="U34" s="18">
        <v>73.915560076758922</v>
      </c>
      <c r="V34" s="18">
        <v>70.253548182897347</v>
      </c>
      <c r="W34" s="18">
        <v>54.234217356192183</v>
      </c>
      <c r="X34" s="18">
        <v>77.578114156628899</v>
      </c>
      <c r="Y34" s="18">
        <v>71.837242633064207</v>
      </c>
      <c r="Z34" s="18">
        <v>68.589148647278947</v>
      </c>
      <c r="AA34" s="18">
        <v>74.633308594818914</v>
      </c>
      <c r="AB34" s="18">
        <v>72.802851244188588</v>
      </c>
    </row>
    <row r="35" spans="1:28">
      <c r="A35" s="17">
        <f t="shared" si="0"/>
        <v>39264</v>
      </c>
      <c r="B35" s="18">
        <v>90.291991370333008</v>
      </c>
      <c r="C35" s="18">
        <v>57.831008750522386</v>
      </c>
      <c r="D35" s="18">
        <v>89.50002024868084</v>
      </c>
      <c r="E35" s="18">
        <v>82.997236486342629</v>
      </c>
      <c r="F35" s="18">
        <v>48.135636059785142</v>
      </c>
      <c r="G35" s="18">
        <v>74.687107142170504</v>
      </c>
      <c r="H35" s="18">
        <v>71.408978415493479</v>
      </c>
      <c r="I35" s="18">
        <v>50.726402471553733</v>
      </c>
      <c r="J35" s="18">
        <v>77.679479571526528</v>
      </c>
      <c r="K35" s="18">
        <v>71.47439338216256</v>
      </c>
      <c r="L35" s="18">
        <v>70.103265878942025</v>
      </c>
      <c r="M35" s="18">
        <v>75.41607446499404</v>
      </c>
      <c r="N35" s="18">
        <v>72.907291790474645</v>
      </c>
      <c r="P35" s="18">
        <v>83.169603530573994</v>
      </c>
      <c r="Q35" s="18">
        <v>58.125567552598</v>
      </c>
      <c r="R35" s="18">
        <v>88.106089318716457</v>
      </c>
      <c r="S35" s="18">
        <v>83.078632255020651</v>
      </c>
      <c r="T35" s="18">
        <v>60.147039875230803</v>
      </c>
      <c r="U35" s="18">
        <v>73.240042195074835</v>
      </c>
      <c r="V35" s="18">
        <v>73.454995340813483</v>
      </c>
      <c r="W35" s="18">
        <v>53.450480774422651</v>
      </c>
      <c r="X35" s="18">
        <v>77.769879059694318</v>
      </c>
      <c r="Y35" s="18">
        <v>72.192851519063666</v>
      </c>
      <c r="Z35" s="18">
        <v>69.37349613239472</v>
      </c>
      <c r="AA35" s="18">
        <v>73.93032483923848</v>
      </c>
      <c r="AB35" s="18">
        <v>72.858714714364453</v>
      </c>
    </row>
    <row r="36" spans="1:28">
      <c r="A36" s="17">
        <f t="shared" si="0"/>
        <v>39295</v>
      </c>
      <c r="B36" s="18">
        <v>92.039613095585267</v>
      </c>
      <c r="C36" s="18">
        <v>60.247378475991574</v>
      </c>
      <c r="D36" s="18">
        <v>93.888311027732456</v>
      </c>
      <c r="E36" s="18">
        <v>83.519631684144258</v>
      </c>
      <c r="F36" s="18">
        <v>66.03618306143747</v>
      </c>
      <c r="G36" s="18">
        <v>72.742427835394736</v>
      </c>
      <c r="H36" s="18">
        <v>72.252878690343096</v>
      </c>
      <c r="I36" s="18">
        <v>51.235790895109481</v>
      </c>
      <c r="J36" s="18">
        <v>77.954689632166463</v>
      </c>
      <c r="K36" s="18">
        <v>70.116263013296432</v>
      </c>
      <c r="L36" s="18">
        <v>66.101994673658155</v>
      </c>
      <c r="M36" s="18">
        <v>75.490076670339519</v>
      </c>
      <c r="N36" s="18">
        <v>74.063540708922375</v>
      </c>
      <c r="P36" s="18">
        <v>84.459508333726191</v>
      </c>
      <c r="Q36" s="18">
        <v>59.721908572439865</v>
      </c>
      <c r="R36" s="18">
        <v>91.110427133653658</v>
      </c>
      <c r="S36" s="18">
        <v>83.484387338258031</v>
      </c>
      <c r="T36" s="18">
        <v>59.489426825051325</v>
      </c>
      <c r="U36" s="18">
        <v>73.878910389384401</v>
      </c>
      <c r="V36" s="18">
        <v>74.600795538919911</v>
      </c>
      <c r="W36" s="18">
        <v>53.954667890776463</v>
      </c>
      <c r="X36" s="18">
        <v>77.964001420741795</v>
      </c>
      <c r="Y36" s="18">
        <v>72.707218476876236</v>
      </c>
      <c r="Z36" s="18">
        <v>69.987278296178218</v>
      </c>
      <c r="AA36" s="18">
        <v>74.528291735551619</v>
      </c>
      <c r="AB36" s="18">
        <v>73.773492117322462</v>
      </c>
    </row>
    <row r="37" spans="1:28">
      <c r="A37" s="17">
        <f t="shared" si="0"/>
        <v>39326</v>
      </c>
      <c r="B37" s="18">
        <v>92.375695142119397</v>
      </c>
      <c r="C37" s="18">
        <v>61.414881918222342</v>
      </c>
      <c r="D37" s="18">
        <v>94.599939130582129</v>
      </c>
      <c r="E37" s="18">
        <v>83.49963085238258</v>
      </c>
      <c r="F37" s="18">
        <v>66.608842421354197</v>
      </c>
      <c r="G37" s="18">
        <v>73.793258842382073</v>
      </c>
      <c r="H37" s="18">
        <v>74.760463666396987</v>
      </c>
      <c r="I37" s="18">
        <v>56.650020058895421</v>
      </c>
      <c r="J37" s="18">
        <v>78.100674546648378</v>
      </c>
      <c r="K37" s="18">
        <v>72.063546459394914</v>
      </c>
      <c r="L37" s="18">
        <v>69.075837702439102</v>
      </c>
      <c r="M37" s="18">
        <v>72.569657138202459</v>
      </c>
      <c r="N37" s="18">
        <v>75.313282700391582</v>
      </c>
      <c r="P37" s="18">
        <v>86.884668276649748</v>
      </c>
      <c r="Q37" s="18">
        <v>61.701586842751333</v>
      </c>
      <c r="R37" s="18">
        <v>90.073979651589752</v>
      </c>
      <c r="S37" s="18">
        <v>82.855157532826269</v>
      </c>
      <c r="T37" s="18">
        <v>59.540586213633247</v>
      </c>
      <c r="U37" s="18">
        <v>74.660282620657298</v>
      </c>
      <c r="V37" s="18">
        <v>73.933792075889983</v>
      </c>
      <c r="W37" s="18">
        <v>54.412260470503227</v>
      </c>
      <c r="X37" s="18">
        <v>78.160672228997171</v>
      </c>
      <c r="Y37" s="18">
        <v>73.452924865560561</v>
      </c>
      <c r="Z37" s="18">
        <v>70.413820894794469</v>
      </c>
      <c r="AA37" s="18">
        <v>74.880446917396299</v>
      </c>
      <c r="AB37" s="18">
        <v>74.229224535632525</v>
      </c>
    </row>
    <row r="38" spans="1:28">
      <c r="A38" s="17">
        <f t="shared" si="0"/>
        <v>39356</v>
      </c>
      <c r="B38" s="18">
        <v>86.734300762772733</v>
      </c>
      <c r="C38" s="18">
        <v>62.035550209396881</v>
      </c>
      <c r="D38" s="18">
        <v>97.876330497656383</v>
      </c>
      <c r="E38" s="18">
        <v>86.212084489873462</v>
      </c>
      <c r="F38" s="18">
        <v>61.109445357893712</v>
      </c>
      <c r="G38" s="18">
        <v>75.010910946533585</v>
      </c>
      <c r="H38" s="18">
        <v>73.937386948834032</v>
      </c>
      <c r="I38" s="18">
        <v>55.840552486119513</v>
      </c>
      <c r="J38" s="18">
        <v>78.299547494033163</v>
      </c>
      <c r="K38" s="18">
        <v>73.046295979599336</v>
      </c>
      <c r="L38" s="18">
        <v>67.111808189997632</v>
      </c>
      <c r="M38" s="18">
        <v>82.78039884536085</v>
      </c>
      <c r="N38" s="18">
        <v>75.626571301646024</v>
      </c>
      <c r="P38" s="18">
        <v>83.904265155158726</v>
      </c>
      <c r="Q38" s="18">
        <v>60.419595008952939</v>
      </c>
      <c r="R38" s="18">
        <v>92.969853972603019</v>
      </c>
      <c r="S38" s="18">
        <v>83.237441014577882</v>
      </c>
      <c r="T38" s="18">
        <v>61.970557460782331</v>
      </c>
      <c r="U38" s="18">
        <v>74.647513611772538</v>
      </c>
      <c r="V38" s="18">
        <v>71.178422618162173</v>
      </c>
      <c r="W38" s="18">
        <v>56.81373538595308</v>
      </c>
      <c r="X38" s="18">
        <v>78.35953186529639</v>
      </c>
      <c r="Y38" s="18">
        <v>73.051527461552496</v>
      </c>
      <c r="Z38" s="18">
        <v>70.539702767123586</v>
      </c>
      <c r="AA38" s="18">
        <v>76.614006033758102</v>
      </c>
      <c r="AB38" s="18">
        <v>74.534262166112867</v>
      </c>
    </row>
    <row r="39" spans="1:28">
      <c r="A39" s="17">
        <f t="shared" si="0"/>
        <v>39387</v>
      </c>
      <c r="B39" s="18">
        <v>86.473858486403714</v>
      </c>
      <c r="C39" s="18">
        <v>66.463182243860601</v>
      </c>
      <c r="D39" s="18">
        <v>97.957532366734938</v>
      </c>
      <c r="E39" s="18">
        <v>84.114031129647415</v>
      </c>
      <c r="F39" s="18">
        <v>80.862962249703173</v>
      </c>
      <c r="G39" s="18">
        <v>77.767080464815137</v>
      </c>
      <c r="H39" s="18">
        <v>73.438456652689212</v>
      </c>
      <c r="I39" s="18">
        <v>63.090677526156348</v>
      </c>
      <c r="J39" s="18">
        <v>78.958240221529962</v>
      </c>
      <c r="K39" s="18">
        <v>78.25799048322861</v>
      </c>
      <c r="L39" s="18">
        <v>75.704739405698945</v>
      </c>
      <c r="M39" s="18">
        <v>76.449329304072592</v>
      </c>
      <c r="N39" s="18">
        <v>79.08934691607999</v>
      </c>
      <c r="P39" s="18">
        <v>86.475829800151274</v>
      </c>
      <c r="Q39" s="18">
        <v>63.904142716346904</v>
      </c>
      <c r="R39" s="18">
        <v>93.363252969331882</v>
      </c>
      <c r="S39" s="18">
        <v>83.508275171536454</v>
      </c>
      <c r="T39" s="18">
        <v>62.734426118632435</v>
      </c>
      <c r="U39" s="18">
        <v>75.716163811822071</v>
      </c>
      <c r="V39" s="18">
        <v>69.509850912148892</v>
      </c>
      <c r="W39" s="18">
        <v>59.424144898349773</v>
      </c>
      <c r="X39" s="18">
        <v>78.496239259546527</v>
      </c>
      <c r="Y39" s="18">
        <v>73.080256866771904</v>
      </c>
      <c r="Z39" s="18">
        <v>70.711044358585028</v>
      </c>
      <c r="AA39" s="18">
        <v>75.78223539641516</v>
      </c>
      <c r="AB39" s="18">
        <v>75.178451832175554</v>
      </c>
    </row>
    <row r="40" spans="1:28">
      <c r="A40" s="17">
        <f t="shared" si="0"/>
        <v>39417</v>
      </c>
      <c r="B40" s="18">
        <v>85.925912105910413</v>
      </c>
      <c r="C40" s="18">
        <v>65.73800681351247</v>
      </c>
      <c r="D40" s="18">
        <v>93.273501417637803</v>
      </c>
      <c r="E40" s="18">
        <v>83.714096202260194</v>
      </c>
      <c r="F40" s="18">
        <v>65.527596878079365</v>
      </c>
      <c r="G40" s="18">
        <v>92.486111070081051</v>
      </c>
      <c r="H40" s="18">
        <v>84.389247867185375</v>
      </c>
      <c r="I40" s="18">
        <v>52.440296128175731</v>
      </c>
      <c r="J40" s="18">
        <v>78.998013897390592</v>
      </c>
      <c r="K40" s="18">
        <v>90.096233148787533</v>
      </c>
      <c r="L40" s="18">
        <v>86.533574149631193</v>
      </c>
      <c r="M40" s="18">
        <v>78.773201506409691</v>
      </c>
      <c r="N40" s="18">
        <v>82.431830063489343</v>
      </c>
      <c r="P40" s="18">
        <v>83.16669820483034</v>
      </c>
      <c r="Q40" s="18">
        <v>62.802059366688766</v>
      </c>
      <c r="R40" s="18">
        <v>91.069967626804853</v>
      </c>
      <c r="S40" s="18">
        <v>84.184287507522967</v>
      </c>
      <c r="T40" s="18">
        <v>63.850364777621813</v>
      </c>
      <c r="U40" s="18">
        <v>75.46861705729107</v>
      </c>
      <c r="V40" s="18">
        <v>73.124122711263468</v>
      </c>
      <c r="W40" s="18">
        <v>52.365408806583822</v>
      </c>
      <c r="X40" s="18">
        <v>78.610303091501848</v>
      </c>
      <c r="Y40" s="18">
        <v>73.370873101126293</v>
      </c>
      <c r="Z40" s="18">
        <v>70.614826511925116</v>
      </c>
      <c r="AA40" s="18">
        <v>76.030037726656857</v>
      </c>
      <c r="AB40" s="18">
        <v>74.853411441029891</v>
      </c>
    </row>
    <row r="41" spans="1:28">
      <c r="A41" s="17">
        <f t="shared" si="0"/>
        <v>39448</v>
      </c>
      <c r="B41" s="18">
        <v>83.531025376569588</v>
      </c>
      <c r="C41" s="18">
        <v>67.097886647715413</v>
      </c>
      <c r="D41" s="18">
        <v>84.317524469254835</v>
      </c>
      <c r="E41" s="18">
        <v>81.806356748343376</v>
      </c>
      <c r="F41" s="18">
        <v>54.065729210091227</v>
      </c>
      <c r="G41" s="18">
        <v>69.814340858286855</v>
      </c>
      <c r="H41" s="18">
        <v>65.574050086240135</v>
      </c>
      <c r="I41" s="18">
        <v>57.952850070692733</v>
      </c>
      <c r="J41" s="18">
        <v>78.963140736982936</v>
      </c>
      <c r="K41" s="18">
        <v>65.737898255052414</v>
      </c>
      <c r="L41" s="18">
        <v>63.391568141257601</v>
      </c>
      <c r="M41" s="18">
        <v>71.425778043695914</v>
      </c>
      <c r="N41" s="18">
        <v>70.58137675549807</v>
      </c>
      <c r="P41" s="18">
        <v>87.386042107128006</v>
      </c>
      <c r="Q41" s="18">
        <v>66.756678979413735</v>
      </c>
      <c r="R41" s="18">
        <v>93.519003484305159</v>
      </c>
      <c r="S41" s="18">
        <v>82.740348862576411</v>
      </c>
      <c r="T41" s="18">
        <v>63.303055824068799</v>
      </c>
      <c r="U41" s="18">
        <v>75.325370440288125</v>
      </c>
      <c r="V41" s="18">
        <v>70.787518507055609</v>
      </c>
      <c r="W41" s="18">
        <v>57.840051894854504</v>
      </c>
      <c r="X41" s="18">
        <v>78.646430817474268</v>
      </c>
      <c r="Y41" s="18">
        <v>73.527889056259198</v>
      </c>
      <c r="Z41" s="18">
        <v>70.408250640902551</v>
      </c>
      <c r="AA41" s="18">
        <v>76.230041770861902</v>
      </c>
      <c r="AB41" s="18">
        <v>75.495792688989013</v>
      </c>
    </row>
    <row r="42" spans="1:28">
      <c r="A42" s="17">
        <f t="shared" si="0"/>
        <v>39479</v>
      </c>
      <c r="B42" s="18">
        <v>77.922704349580187</v>
      </c>
      <c r="C42" s="18">
        <v>59.80288170226261</v>
      </c>
      <c r="D42" s="18">
        <v>89.961864786489059</v>
      </c>
      <c r="E42" s="18">
        <v>80.465622402388817</v>
      </c>
      <c r="F42" s="18">
        <v>65.731767514148657</v>
      </c>
      <c r="G42" s="18">
        <v>72.082400044490569</v>
      </c>
      <c r="H42" s="18">
        <v>70.380298915272093</v>
      </c>
      <c r="I42" s="18">
        <v>58.705749556077983</v>
      </c>
      <c r="J42" s="18">
        <v>78.474418179374879</v>
      </c>
      <c r="K42" s="18">
        <v>71.775146178088022</v>
      </c>
      <c r="L42" s="18">
        <v>70.039607548577976</v>
      </c>
      <c r="M42" s="18">
        <v>78.735460425945021</v>
      </c>
      <c r="N42" s="18">
        <v>73.182637986549054</v>
      </c>
      <c r="P42" s="18">
        <v>85.402001116879063</v>
      </c>
      <c r="Q42" s="18">
        <v>62.492133958172658</v>
      </c>
      <c r="R42" s="18">
        <v>93.218103285391891</v>
      </c>
      <c r="S42" s="18">
        <v>82.853774803926555</v>
      </c>
      <c r="T42" s="18">
        <v>64.950425795931338</v>
      </c>
      <c r="U42" s="18">
        <v>75.371572838763385</v>
      </c>
      <c r="V42" s="18">
        <v>72.286593061869198</v>
      </c>
      <c r="W42" s="18">
        <v>57.938580093772529</v>
      </c>
      <c r="X42" s="18">
        <v>78.759646275106576</v>
      </c>
      <c r="Y42" s="18">
        <v>74.487155005098472</v>
      </c>
      <c r="Z42" s="18">
        <v>70.421908018601201</v>
      </c>
      <c r="AA42" s="18">
        <v>76.288996028651169</v>
      </c>
      <c r="AB42" s="18">
        <v>75.515225332598064</v>
      </c>
    </row>
    <row r="43" spans="1:28">
      <c r="A43" s="17">
        <f t="shared" si="0"/>
        <v>39508</v>
      </c>
      <c r="B43" s="18">
        <v>75.297317235725814</v>
      </c>
      <c r="C43" s="18">
        <v>61.140737021216232</v>
      </c>
      <c r="D43" s="18">
        <v>83.634986876005286</v>
      </c>
      <c r="E43" s="18">
        <v>83.323350475051853</v>
      </c>
      <c r="F43" s="18">
        <v>61.36601307146082</v>
      </c>
      <c r="G43" s="18">
        <v>71.534829727120581</v>
      </c>
      <c r="H43" s="18">
        <v>68.126221636099586</v>
      </c>
      <c r="I43" s="18">
        <v>59.725778848221232</v>
      </c>
      <c r="J43" s="18">
        <v>78.464139588096231</v>
      </c>
      <c r="K43" s="18">
        <v>73.722775937380604</v>
      </c>
      <c r="L43" s="18">
        <v>73.143787936602905</v>
      </c>
      <c r="M43" s="18">
        <v>73.111835058892098</v>
      </c>
      <c r="N43" s="18">
        <v>72.169382322354593</v>
      </c>
      <c r="P43" s="18">
        <v>83.067201652497275</v>
      </c>
      <c r="Q43" s="18">
        <v>62.162483766850606</v>
      </c>
      <c r="R43" s="18">
        <v>88.367159700541904</v>
      </c>
      <c r="S43" s="18">
        <v>80.930939832122334</v>
      </c>
      <c r="T43" s="18">
        <v>66.910377473193677</v>
      </c>
      <c r="U43" s="18">
        <v>75.788388473100667</v>
      </c>
      <c r="V43" s="18">
        <v>70.370678370209234</v>
      </c>
      <c r="W43" s="18">
        <v>57.255843951148947</v>
      </c>
      <c r="X43" s="18">
        <v>78.970329462495442</v>
      </c>
      <c r="Y43" s="18">
        <v>73.491599406507405</v>
      </c>
      <c r="Z43" s="18">
        <v>70.50516987217523</v>
      </c>
      <c r="AA43" s="18">
        <v>75.944815982498184</v>
      </c>
      <c r="AB43" s="18">
        <v>74.31892245813772</v>
      </c>
    </row>
    <row r="44" spans="1:28">
      <c r="A44" s="17">
        <f t="shared" si="0"/>
        <v>39539</v>
      </c>
      <c r="B44" s="18">
        <v>81.686322432003394</v>
      </c>
      <c r="C44" s="18">
        <v>62.431313202921892</v>
      </c>
      <c r="D44" s="18">
        <v>92.074668839192015</v>
      </c>
      <c r="E44" s="18">
        <v>82.07733668310992</v>
      </c>
      <c r="F44" s="18">
        <v>56.571791031102656</v>
      </c>
      <c r="G44" s="18">
        <v>74.878892902587623</v>
      </c>
      <c r="H44" s="18">
        <v>67.234184071602073</v>
      </c>
      <c r="I44" s="18">
        <v>55.182861104809355</v>
      </c>
      <c r="J44" s="18">
        <v>78.745634296698427</v>
      </c>
      <c r="K44" s="18">
        <v>69.632609455531139</v>
      </c>
      <c r="L44" s="18">
        <v>66.815783122707202</v>
      </c>
      <c r="M44" s="18">
        <v>77.769796754520129</v>
      </c>
      <c r="N44" s="18">
        <v>73.18906693399974</v>
      </c>
      <c r="P44" s="18">
        <v>84.340822168919686</v>
      </c>
      <c r="Q44" s="18">
        <v>62.629117775539292</v>
      </c>
      <c r="R44" s="18">
        <v>92.809840144287961</v>
      </c>
      <c r="S44" s="18">
        <v>83.80409791970996</v>
      </c>
      <c r="T44" s="18">
        <v>67.152667989612084</v>
      </c>
      <c r="U44" s="18">
        <v>75.558870920435666</v>
      </c>
      <c r="V44" s="18">
        <v>70.889343837232659</v>
      </c>
      <c r="W44" s="18">
        <v>56.999035545643871</v>
      </c>
      <c r="X44" s="18">
        <v>79.2228829139993</v>
      </c>
      <c r="Y44" s="18">
        <v>73.983111382551158</v>
      </c>
      <c r="Z44" s="18">
        <v>70.780717464184434</v>
      </c>
      <c r="AA44" s="18">
        <v>76.860752726827542</v>
      </c>
      <c r="AB44" s="18">
        <v>75.385790668657137</v>
      </c>
    </row>
    <row r="45" spans="1:28">
      <c r="A45" s="17">
        <f t="shared" si="0"/>
        <v>39569</v>
      </c>
      <c r="B45" s="18">
        <v>78.808091794363236</v>
      </c>
      <c r="C45" s="18">
        <v>65.128458445214662</v>
      </c>
      <c r="D45" s="18">
        <v>87.469184105257099</v>
      </c>
      <c r="E45" s="18">
        <v>85.935215002652996</v>
      </c>
      <c r="F45" s="18">
        <v>74.239589990824925</v>
      </c>
      <c r="G45" s="18">
        <v>73.197524093601174</v>
      </c>
      <c r="H45" s="18">
        <v>69.630748448015865</v>
      </c>
      <c r="I45" s="18">
        <v>57.182429275665726</v>
      </c>
      <c r="J45" s="18">
        <v>79.598534301590036</v>
      </c>
      <c r="K45" s="18">
        <v>71.528746137662026</v>
      </c>
      <c r="L45" s="18">
        <v>67.570348346876258</v>
      </c>
      <c r="M45" s="18">
        <v>73.635634456395522</v>
      </c>
      <c r="N45" s="18">
        <v>73.653563329071474</v>
      </c>
      <c r="P45" s="18">
        <v>78.845175235227686</v>
      </c>
      <c r="Q45" s="18">
        <v>65.317468310530032</v>
      </c>
      <c r="R45" s="18">
        <v>87.850707954658134</v>
      </c>
      <c r="S45" s="18">
        <v>83.589112934229249</v>
      </c>
      <c r="T45" s="18">
        <v>70.12570514711345</v>
      </c>
      <c r="U45" s="18">
        <v>75.437469533540252</v>
      </c>
      <c r="V45" s="18">
        <v>70.824856386656961</v>
      </c>
      <c r="W45" s="18">
        <v>57.494394092578268</v>
      </c>
      <c r="X45" s="18">
        <v>79.479901010055826</v>
      </c>
      <c r="Y45" s="18">
        <v>73.97069036174031</v>
      </c>
      <c r="Z45" s="18">
        <v>70.862294045977194</v>
      </c>
      <c r="AA45" s="18">
        <v>76.242081685022029</v>
      </c>
      <c r="AB45" s="18">
        <v>74.625417307472588</v>
      </c>
    </row>
    <row r="46" spans="1:28">
      <c r="A46" s="17">
        <f t="shared" si="0"/>
        <v>39600</v>
      </c>
      <c r="B46" s="18">
        <v>78.25203859458712</v>
      </c>
      <c r="C46" s="18">
        <v>63.670016860858894</v>
      </c>
      <c r="D46" s="18">
        <v>88.362074340677779</v>
      </c>
      <c r="E46" s="18">
        <v>81.024117936210843</v>
      </c>
      <c r="F46" s="18">
        <v>71.51717164858205</v>
      </c>
      <c r="G46" s="18">
        <v>73.32855041092364</v>
      </c>
      <c r="H46" s="18">
        <v>72.606820507586406</v>
      </c>
      <c r="I46" s="18">
        <v>56.344940433445586</v>
      </c>
      <c r="J46" s="18">
        <v>79.838462111529978</v>
      </c>
      <c r="K46" s="18">
        <v>73.054722332940742</v>
      </c>
      <c r="L46" s="18">
        <v>70.040175768682246</v>
      </c>
      <c r="M46" s="18">
        <v>72.366494208936246</v>
      </c>
      <c r="N46" s="18">
        <v>73.821390673856342</v>
      </c>
      <c r="P46" s="18">
        <v>81.540687142515708</v>
      </c>
      <c r="Q46" s="18">
        <v>64.997849094764433</v>
      </c>
      <c r="R46" s="18">
        <v>88.662676020119349</v>
      </c>
      <c r="S46" s="18">
        <v>83.757549284886593</v>
      </c>
      <c r="T46" s="18">
        <v>70.804711046633187</v>
      </c>
      <c r="U46" s="18">
        <v>75.709896073756354</v>
      </c>
      <c r="V46" s="18">
        <v>72.210606075643582</v>
      </c>
      <c r="W46" s="18">
        <v>57.89689119838598</v>
      </c>
      <c r="X46" s="18">
        <v>79.719431289343305</v>
      </c>
      <c r="Y46" s="18">
        <v>74.052574266160093</v>
      </c>
      <c r="Z46" s="18">
        <v>70.870650179295438</v>
      </c>
      <c r="AA46" s="18">
        <v>75.959433822047856</v>
      </c>
      <c r="AB46" s="18">
        <v>74.95829203925949</v>
      </c>
    </row>
    <row r="47" spans="1:28">
      <c r="A47" s="17">
        <f t="shared" si="0"/>
        <v>39630</v>
      </c>
      <c r="B47" s="18">
        <v>91.462334375020774</v>
      </c>
      <c r="C47" s="18">
        <v>64.270634497624712</v>
      </c>
      <c r="D47" s="18">
        <v>93.204353068478099</v>
      </c>
      <c r="E47" s="18">
        <v>84.42442244643324</v>
      </c>
      <c r="F47" s="18">
        <v>61.258743528530267</v>
      </c>
      <c r="G47" s="18">
        <v>76.724723620612252</v>
      </c>
      <c r="H47" s="18">
        <v>72.279168102159332</v>
      </c>
      <c r="I47" s="18">
        <v>57.59717816604347</v>
      </c>
      <c r="J47" s="18">
        <v>79.861192606865416</v>
      </c>
      <c r="K47" s="18">
        <v>73.777765409506685</v>
      </c>
      <c r="L47" s="18">
        <v>71.443789822690832</v>
      </c>
      <c r="M47" s="18">
        <v>78.392564600852921</v>
      </c>
      <c r="N47" s="18">
        <v>76.227012829992915</v>
      </c>
      <c r="P47" s="18">
        <v>84.158668075073876</v>
      </c>
      <c r="Q47" s="18">
        <v>64.886293732582473</v>
      </c>
      <c r="R47" s="18">
        <v>92.057510849969091</v>
      </c>
      <c r="S47" s="18">
        <v>84.656617229950371</v>
      </c>
      <c r="T47" s="18">
        <v>74.522374040089304</v>
      </c>
      <c r="U47" s="18">
        <v>75.311847623787344</v>
      </c>
      <c r="V47" s="18">
        <v>74.128194194601889</v>
      </c>
      <c r="W47" s="18">
        <v>60.48545754957054</v>
      </c>
      <c r="X47" s="18">
        <v>79.947802257553818</v>
      </c>
      <c r="Y47" s="18">
        <v>74.561232195170959</v>
      </c>
      <c r="Z47" s="18">
        <v>70.59833487443214</v>
      </c>
      <c r="AA47" s="18">
        <v>76.769823027564016</v>
      </c>
      <c r="AB47" s="18">
        <v>76.145451464920399</v>
      </c>
    </row>
    <row r="48" spans="1:28">
      <c r="A48" s="17">
        <f t="shared" si="0"/>
        <v>39661</v>
      </c>
      <c r="B48" s="18">
        <v>93.036351442920221</v>
      </c>
      <c r="C48" s="18">
        <v>68.047652743103754</v>
      </c>
      <c r="D48" s="18">
        <v>89.908369577372255</v>
      </c>
      <c r="E48" s="18">
        <v>83.710467782632534</v>
      </c>
      <c r="F48" s="18">
        <v>82.569286966759009</v>
      </c>
      <c r="G48" s="18">
        <v>74.548746186561402</v>
      </c>
      <c r="H48" s="18">
        <v>71.975818909273599</v>
      </c>
      <c r="I48" s="18">
        <v>54.218639672731243</v>
      </c>
      <c r="J48" s="18">
        <v>80.172713786604959</v>
      </c>
      <c r="K48" s="18">
        <v>71.999252445346585</v>
      </c>
      <c r="L48" s="18">
        <v>66.464939841972196</v>
      </c>
      <c r="M48" s="18">
        <v>78.240670286683965</v>
      </c>
      <c r="N48" s="18">
        <v>76.139897803288875</v>
      </c>
      <c r="P48" s="18">
        <v>85.340661768064479</v>
      </c>
      <c r="Q48" s="18">
        <v>67.913504553369947</v>
      </c>
      <c r="R48" s="18">
        <v>87.716094619017454</v>
      </c>
      <c r="S48" s="18">
        <v>83.718617242611046</v>
      </c>
      <c r="T48" s="18">
        <v>73.948962995282287</v>
      </c>
      <c r="U48" s="18">
        <v>75.664036909797645</v>
      </c>
      <c r="V48" s="18">
        <v>73.999501282829755</v>
      </c>
      <c r="W48" s="18">
        <v>57.198935509592218</v>
      </c>
      <c r="X48" s="18">
        <v>80.168637649637176</v>
      </c>
      <c r="Y48" s="18">
        <v>74.534955606718142</v>
      </c>
      <c r="Z48" s="18">
        <v>70.53952456844803</v>
      </c>
      <c r="AA48" s="18">
        <v>77.177238710295242</v>
      </c>
      <c r="AB48" s="18">
        <v>75.852299651133563</v>
      </c>
    </row>
    <row r="49" spans="1:28">
      <c r="A49" s="17">
        <f t="shared" si="0"/>
        <v>39692</v>
      </c>
      <c r="B49" s="18">
        <v>87.265359678368142</v>
      </c>
      <c r="C49" s="18">
        <v>67.064031652472238</v>
      </c>
      <c r="D49" s="18">
        <v>94.571278908926502</v>
      </c>
      <c r="E49" s="18">
        <v>85.543080245316958</v>
      </c>
      <c r="F49" s="18">
        <v>77.876244120795562</v>
      </c>
      <c r="G49" s="18">
        <v>74.884058521206214</v>
      </c>
      <c r="H49" s="18">
        <v>75.005718379006353</v>
      </c>
      <c r="I49" s="18">
        <v>63.549873076633489</v>
      </c>
      <c r="J49" s="18">
        <v>80.337183035371012</v>
      </c>
      <c r="K49" s="18">
        <v>74.253377563400107</v>
      </c>
      <c r="L49" s="18">
        <v>69.046360671307781</v>
      </c>
      <c r="M49" s="18">
        <v>74.884046065142982</v>
      </c>
      <c r="N49" s="18">
        <v>77.263159674107371</v>
      </c>
      <c r="P49" s="18">
        <v>81.871371704402918</v>
      </c>
      <c r="Q49" s="18">
        <v>67.990526454820127</v>
      </c>
      <c r="R49" s="18">
        <v>90.461960494922948</v>
      </c>
      <c r="S49" s="18">
        <v>85.123893477058317</v>
      </c>
      <c r="T49" s="18">
        <v>69.918966947519152</v>
      </c>
      <c r="U49" s="18">
        <v>76.069869286783415</v>
      </c>
      <c r="V49" s="18">
        <v>73.787883765083919</v>
      </c>
      <c r="W49" s="18">
        <v>60.917825318042873</v>
      </c>
      <c r="X49" s="18">
        <v>80.380144375075631</v>
      </c>
      <c r="Y49" s="18">
        <v>75.57981853444771</v>
      </c>
      <c r="Z49" s="18">
        <v>70.569145854669941</v>
      </c>
      <c r="AA49" s="18">
        <v>77.070787228683614</v>
      </c>
      <c r="AB49" s="18">
        <v>76.290774418535619</v>
      </c>
    </row>
    <row r="50" spans="1:28">
      <c r="A50" s="17">
        <f t="shared" si="0"/>
        <v>39722</v>
      </c>
      <c r="B50" s="18">
        <v>84.659482064336856</v>
      </c>
      <c r="C50" s="18">
        <v>70.293788802291871</v>
      </c>
      <c r="D50" s="18">
        <v>94.599398478126446</v>
      </c>
      <c r="E50" s="18">
        <v>88.475062989659108</v>
      </c>
      <c r="F50" s="18">
        <v>63.601048547642804</v>
      </c>
      <c r="G50" s="18">
        <v>76.069670934011484</v>
      </c>
      <c r="H50" s="18">
        <v>75.140254988156784</v>
      </c>
      <c r="I50" s="18">
        <v>61.578100596738636</v>
      </c>
      <c r="J50" s="18">
        <v>80.536139934107695</v>
      </c>
      <c r="K50" s="18">
        <v>75.826135096956463</v>
      </c>
      <c r="L50" s="18">
        <v>67.055817777380923</v>
      </c>
      <c r="M50" s="18">
        <v>83.678493438948919</v>
      </c>
      <c r="N50" s="18">
        <v>76.957589712309698</v>
      </c>
      <c r="P50" s="18">
        <v>82.084025759728334</v>
      </c>
      <c r="Q50" s="18">
        <v>68.993012404033465</v>
      </c>
      <c r="R50" s="18">
        <v>89.756121133234942</v>
      </c>
      <c r="S50" s="18">
        <v>85.763632029388575</v>
      </c>
      <c r="T50" s="18">
        <v>64.784463377475859</v>
      </c>
      <c r="U50" s="18">
        <v>75.858095855997774</v>
      </c>
      <c r="V50" s="18">
        <v>72.574528777742984</v>
      </c>
      <c r="W50" s="18">
        <v>62.634422260833276</v>
      </c>
      <c r="X50" s="18">
        <v>80.583228259407662</v>
      </c>
      <c r="Y50" s="18">
        <v>75.70712075821325</v>
      </c>
      <c r="Z50" s="18">
        <v>70.529518235723287</v>
      </c>
      <c r="AA50" s="18">
        <v>77.171722434030784</v>
      </c>
      <c r="AB50" s="18">
        <v>75.946154755398467</v>
      </c>
    </row>
    <row r="51" spans="1:28">
      <c r="A51" s="17">
        <f t="shared" si="0"/>
        <v>39753</v>
      </c>
      <c r="B51" s="18">
        <v>78.381488481460352</v>
      </c>
      <c r="C51" s="18">
        <v>66.235412863532574</v>
      </c>
      <c r="D51" s="18">
        <v>89.7263610821783</v>
      </c>
      <c r="E51" s="18">
        <v>85.241787507836008</v>
      </c>
      <c r="F51" s="18">
        <v>80.871970929984343</v>
      </c>
      <c r="G51" s="18">
        <v>77.64646267046092</v>
      </c>
      <c r="H51" s="18">
        <v>71.940767022278138</v>
      </c>
      <c r="I51" s="18">
        <v>66.194475382786635</v>
      </c>
      <c r="J51" s="18">
        <v>81.292538386707776</v>
      </c>
      <c r="K51" s="18">
        <v>80.801985601909351</v>
      </c>
      <c r="L51" s="18">
        <v>75.709023909394617</v>
      </c>
      <c r="M51" s="18">
        <v>77.527305558686095</v>
      </c>
      <c r="N51" s="18">
        <v>77.964822988956101</v>
      </c>
      <c r="P51" s="18">
        <v>78.650370144483858</v>
      </c>
      <c r="Q51" s="18">
        <v>63.864148073338853</v>
      </c>
      <c r="R51" s="18">
        <v>85.474801658312288</v>
      </c>
      <c r="S51" s="18">
        <v>84.601949085586625</v>
      </c>
      <c r="T51" s="18">
        <v>63.566399411896576</v>
      </c>
      <c r="U51" s="18">
        <v>75.480138822505367</v>
      </c>
      <c r="V51" s="18">
        <v>68.36953020146052</v>
      </c>
      <c r="W51" s="18">
        <v>62.709876083166336</v>
      </c>
      <c r="X51" s="18">
        <v>80.813085492584548</v>
      </c>
      <c r="Y51" s="18">
        <v>75.350945673566954</v>
      </c>
      <c r="Z51" s="18">
        <v>70.704435963453577</v>
      </c>
      <c r="AA51" s="18">
        <v>77.03858829783502</v>
      </c>
      <c r="AB51" s="18">
        <v>74.177127442118618</v>
      </c>
    </row>
    <row r="52" spans="1:28">
      <c r="A52" s="17">
        <f t="shared" si="0"/>
        <v>39783</v>
      </c>
      <c r="B52" s="18">
        <v>85.001282695553513</v>
      </c>
      <c r="C52" s="18">
        <v>68.431521966602233</v>
      </c>
      <c r="D52" s="18">
        <v>90.112394055659877</v>
      </c>
      <c r="E52" s="18">
        <v>83.818945868415085</v>
      </c>
      <c r="F52" s="18">
        <v>62.618297208034626</v>
      </c>
      <c r="G52" s="18">
        <v>92.150221357917474</v>
      </c>
      <c r="H52" s="18">
        <v>77.499212988397147</v>
      </c>
      <c r="I52" s="18">
        <v>64.172011987703925</v>
      </c>
      <c r="J52" s="18">
        <v>81.498932037145508</v>
      </c>
      <c r="K52" s="18">
        <v>92.787829243880566</v>
      </c>
      <c r="L52" s="18">
        <v>86.913905118648955</v>
      </c>
      <c r="M52" s="18">
        <v>80.556439065689887</v>
      </c>
      <c r="N52" s="18">
        <v>82.555425028318922</v>
      </c>
      <c r="P52" s="18">
        <v>82.616771645568505</v>
      </c>
      <c r="Q52" s="18">
        <v>65.611119302401789</v>
      </c>
      <c r="R52" s="18">
        <v>88.048479242855962</v>
      </c>
      <c r="S52" s="18">
        <v>84.305233386005014</v>
      </c>
      <c r="T52" s="18">
        <v>62.299543719141035</v>
      </c>
      <c r="U52" s="18">
        <v>75.284864549023325</v>
      </c>
      <c r="V52" s="18">
        <v>67.164029593700917</v>
      </c>
      <c r="W52" s="18">
        <v>63.033574673960793</v>
      </c>
      <c r="X52" s="18">
        <v>81.091509198341299</v>
      </c>
      <c r="Y52" s="18">
        <v>75.651151411221605</v>
      </c>
      <c r="Z52" s="18">
        <v>70.845158288236348</v>
      </c>
      <c r="AA52" s="18">
        <v>77.570236250071446</v>
      </c>
      <c r="AB52" s="18">
        <v>74.994077811082747</v>
      </c>
    </row>
    <row r="53" spans="1:28">
      <c r="A53" s="17">
        <f t="shared" si="0"/>
        <v>39814</v>
      </c>
      <c r="B53" s="18">
        <v>77.142772023509295</v>
      </c>
      <c r="C53" s="18">
        <v>66.378350799534118</v>
      </c>
      <c r="D53" s="18">
        <v>77.95606936040933</v>
      </c>
      <c r="E53" s="18">
        <v>83.287574137485933</v>
      </c>
      <c r="F53" s="18">
        <v>50.851718866819397</v>
      </c>
      <c r="G53" s="18">
        <v>68.754842706887047</v>
      </c>
      <c r="H53" s="18">
        <v>64.135531985058364</v>
      </c>
      <c r="I53" s="18">
        <v>61.921580355980922</v>
      </c>
      <c r="J53" s="18">
        <v>81.712175968582414</v>
      </c>
      <c r="K53" s="18">
        <v>67.439138150799522</v>
      </c>
      <c r="L53" s="18">
        <v>63.943276282670034</v>
      </c>
      <c r="M53" s="18">
        <v>71.99779304076948</v>
      </c>
      <c r="N53" s="18">
        <v>69.469304629169244</v>
      </c>
      <c r="P53" s="18">
        <v>80.210442770666731</v>
      </c>
      <c r="Q53" s="18">
        <v>65.93571064302067</v>
      </c>
      <c r="R53" s="18">
        <v>86.815026634662217</v>
      </c>
      <c r="S53" s="18">
        <v>84.085751244955546</v>
      </c>
      <c r="T53" s="18">
        <v>61.218136801423981</v>
      </c>
      <c r="U53" s="18">
        <v>74.131078338418533</v>
      </c>
      <c r="V53" s="18">
        <v>69.249732239263949</v>
      </c>
      <c r="W53" s="18">
        <v>62.126338402152626</v>
      </c>
      <c r="X53" s="18">
        <v>81.388100288743871</v>
      </c>
      <c r="Y53" s="18">
        <v>75.464251464682803</v>
      </c>
      <c r="Z53" s="18">
        <v>71.015161374487164</v>
      </c>
      <c r="AA53" s="18">
        <v>76.926369031544851</v>
      </c>
      <c r="AB53" s="18">
        <v>74.309441541455911</v>
      </c>
    </row>
    <row r="54" spans="1:28">
      <c r="A54" s="17">
        <f t="shared" si="0"/>
        <v>39845</v>
      </c>
      <c r="B54" s="18">
        <v>73.438985877858087</v>
      </c>
      <c r="C54" s="18">
        <v>67.45807765534083</v>
      </c>
      <c r="D54" s="18">
        <v>82.63664930646901</v>
      </c>
      <c r="E54" s="18">
        <v>78.290498373505017</v>
      </c>
      <c r="F54" s="18">
        <v>62.508489194617155</v>
      </c>
      <c r="G54" s="18">
        <v>70.424455582971575</v>
      </c>
      <c r="H54" s="18">
        <v>63.782912206371755</v>
      </c>
      <c r="I54" s="18">
        <v>61.819248640429102</v>
      </c>
      <c r="J54" s="18">
        <v>81.369959070492442</v>
      </c>
      <c r="K54" s="18">
        <v>73.163591586366465</v>
      </c>
      <c r="L54" s="18">
        <v>71.152350554999543</v>
      </c>
      <c r="M54" s="18">
        <v>79.73662258276623</v>
      </c>
      <c r="N54" s="18">
        <v>72.375489331803834</v>
      </c>
      <c r="P54" s="18">
        <v>80.995806834591093</v>
      </c>
      <c r="Q54" s="18">
        <v>73.53505173544734</v>
      </c>
      <c r="R54" s="18">
        <v>88.515021303145645</v>
      </c>
      <c r="S54" s="18">
        <v>83.151532550680002</v>
      </c>
      <c r="T54" s="18">
        <v>63.15322591763173</v>
      </c>
      <c r="U54" s="18">
        <v>75.347999430510242</v>
      </c>
      <c r="V54" s="18">
        <v>66.151573338330422</v>
      </c>
      <c r="W54" s="18">
        <v>61.780968889450072</v>
      </c>
      <c r="X54" s="18">
        <v>81.678502422926115</v>
      </c>
      <c r="Y54" s="18">
        <v>76.102723060127516</v>
      </c>
      <c r="Z54" s="18">
        <v>71.483895247157633</v>
      </c>
      <c r="AA54" s="18">
        <v>77.358478471056799</v>
      </c>
      <c r="AB54" s="18">
        <v>75.746578747924303</v>
      </c>
    </row>
    <row r="55" spans="1:28">
      <c r="A55" s="17">
        <f t="shared" si="0"/>
        <v>39873</v>
      </c>
      <c r="B55" s="18">
        <v>78.866614316141337</v>
      </c>
      <c r="C55" s="18">
        <v>69.10437591755597</v>
      </c>
      <c r="D55" s="18">
        <v>86.23976769536705</v>
      </c>
      <c r="E55" s="18">
        <v>85.177417534618399</v>
      </c>
      <c r="F55" s="18">
        <v>61.821532220581332</v>
      </c>
      <c r="G55" s="18">
        <v>70.80836020732238</v>
      </c>
      <c r="H55" s="18">
        <v>64.525893212684565</v>
      </c>
      <c r="I55" s="18">
        <v>65.172401555404917</v>
      </c>
      <c r="J55" s="18">
        <v>81.44081793011172</v>
      </c>
      <c r="K55" s="18">
        <v>76.316331228109263</v>
      </c>
      <c r="L55" s="18">
        <v>74.560732639744259</v>
      </c>
      <c r="M55" s="18">
        <v>74.626921135660979</v>
      </c>
      <c r="N55" s="18">
        <v>74.46766867931585</v>
      </c>
      <c r="P55" s="18">
        <v>82.143947556201596</v>
      </c>
      <c r="Q55" s="18">
        <v>69.524765459925035</v>
      </c>
      <c r="R55" s="18">
        <v>86.278156794405362</v>
      </c>
      <c r="S55" s="18">
        <v>81.750334958288278</v>
      </c>
      <c r="T55" s="18">
        <v>68.127210755988017</v>
      </c>
      <c r="U55" s="18">
        <v>74.327069368306923</v>
      </c>
      <c r="V55" s="18">
        <v>66.327391771477295</v>
      </c>
      <c r="W55" s="18">
        <v>62.459690322817487</v>
      </c>
      <c r="X55" s="18">
        <v>81.966738562894321</v>
      </c>
      <c r="Y55" s="18">
        <v>76.096234576774862</v>
      </c>
      <c r="Z55" s="18">
        <v>71.822262758720569</v>
      </c>
      <c r="AA55" s="18">
        <v>77.611313573824674</v>
      </c>
      <c r="AB55" s="18">
        <v>75.365264024331353</v>
      </c>
    </row>
    <row r="56" spans="1:28">
      <c r="A56" s="17">
        <f t="shared" si="0"/>
        <v>39904</v>
      </c>
      <c r="B56" s="18">
        <v>77.462646863102265</v>
      </c>
      <c r="C56" s="18">
        <v>70.541581068698065</v>
      </c>
      <c r="D56" s="18">
        <v>81.627983341051134</v>
      </c>
      <c r="E56" s="18">
        <v>81.386542436344698</v>
      </c>
      <c r="F56" s="18">
        <v>62.756531414551716</v>
      </c>
      <c r="G56" s="18">
        <v>73.677470775952912</v>
      </c>
      <c r="H56" s="18">
        <v>62.54145576565778</v>
      </c>
      <c r="I56" s="18">
        <v>56.457091808669901</v>
      </c>
      <c r="J56" s="18">
        <v>81.734024067815156</v>
      </c>
      <c r="K56" s="18">
        <v>71.91119456014053</v>
      </c>
      <c r="L56" s="18">
        <v>68.256124304276184</v>
      </c>
      <c r="M56" s="18">
        <v>79.397969830749702</v>
      </c>
      <c r="N56" s="18">
        <v>72.742604697017939</v>
      </c>
      <c r="P56" s="18">
        <v>84.102679829662279</v>
      </c>
      <c r="Q56" s="18">
        <v>70.420559762116071</v>
      </c>
      <c r="R56" s="18">
        <v>86.494711583211782</v>
      </c>
      <c r="S56" s="18">
        <v>84.077614581295876</v>
      </c>
      <c r="T56" s="18">
        <v>72.464809879650744</v>
      </c>
      <c r="U56" s="18">
        <v>74.864465261436933</v>
      </c>
      <c r="V56" s="18">
        <v>66.040304474523737</v>
      </c>
      <c r="W56" s="18">
        <v>58.442957068050603</v>
      </c>
      <c r="X56" s="18">
        <v>82.253749687912574</v>
      </c>
      <c r="Y56" s="18">
        <v>76.392754239967985</v>
      </c>
      <c r="Z56" s="18">
        <v>72.191639940660238</v>
      </c>
      <c r="AA56" s="18">
        <v>78.423934907009794</v>
      </c>
      <c r="AB56" s="18">
        <v>75.976936582901416</v>
      </c>
    </row>
    <row r="57" spans="1:28">
      <c r="A57" s="17">
        <f t="shared" si="0"/>
        <v>39934</v>
      </c>
      <c r="B57" s="18">
        <v>80.730050789028709</v>
      </c>
      <c r="C57" s="18">
        <v>69.745624781204228</v>
      </c>
      <c r="D57" s="18">
        <v>84.709299567964763</v>
      </c>
      <c r="E57" s="18">
        <v>87.198833833637536</v>
      </c>
      <c r="F57" s="18">
        <v>80.742801957566328</v>
      </c>
      <c r="G57" s="18">
        <v>73.155650249562854</v>
      </c>
      <c r="H57" s="18">
        <v>64.251272869262223</v>
      </c>
      <c r="I57" s="18">
        <v>61.516204037526144</v>
      </c>
      <c r="J57" s="18">
        <v>82.618498484182297</v>
      </c>
      <c r="K57" s="18">
        <v>74.647335182646401</v>
      </c>
      <c r="L57" s="18">
        <v>69.272577470705016</v>
      </c>
      <c r="M57" s="18">
        <v>75.558123295907578</v>
      </c>
      <c r="N57" s="18">
        <v>75.245892334468124</v>
      </c>
      <c r="P57" s="18">
        <v>80.498645154752424</v>
      </c>
      <c r="Q57" s="18">
        <v>69.069730399594903</v>
      </c>
      <c r="R57" s="18">
        <v>84.669661793393416</v>
      </c>
      <c r="S57" s="18">
        <v>84.55904481143142</v>
      </c>
      <c r="T57" s="18">
        <v>74.608902123911562</v>
      </c>
      <c r="U57" s="18">
        <v>75.151912489121926</v>
      </c>
      <c r="V57" s="18">
        <v>65.39588049526995</v>
      </c>
      <c r="W57" s="18">
        <v>61.509891589216267</v>
      </c>
      <c r="X57" s="18">
        <v>82.506762235181313</v>
      </c>
      <c r="Y57" s="18">
        <v>77.040276207546867</v>
      </c>
      <c r="Z57" s="18">
        <v>72.602844347817069</v>
      </c>
      <c r="AA57" s="18">
        <v>78.401102790741334</v>
      </c>
      <c r="AB57" s="18">
        <v>75.950752672595357</v>
      </c>
    </row>
    <row r="58" spans="1:28">
      <c r="A58" s="17">
        <f t="shared" si="0"/>
        <v>39965</v>
      </c>
      <c r="B58" s="18">
        <v>73.796072664106831</v>
      </c>
      <c r="C58" s="18">
        <v>71.784772161478699</v>
      </c>
      <c r="D58" s="18">
        <v>84.135530496168627</v>
      </c>
      <c r="E58" s="18">
        <v>82.640972001879163</v>
      </c>
      <c r="F58" s="18">
        <v>75.955877830670815</v>
      </c>
      <c r="G58" s="18">
        <v>73.079819526274292</v>
      </c>
      <c r="H58" s="18">
        <v>64.552344781150751</v>
      </c>
      <c r="I58" s="18">
        <v>60.404378556877738</v>
      </c>
      <c r="J58" s="18">
        <v>82.865581231320434</v>
      </c>
      <c r="K58" s="18">
        <v>75.915207321513165</v>
      </c>
      <c r="L58" s="18">
        <v>72.186095043653125</v>
      </c>
      <c r="M58" s="18">
        <v>74.275295467638728</v>
      </c>
      <c r="N58" s="18">
        <v>74.779754528778312</v>
      </c>
      <c r="P58" s="18">
        <v>77.002356966424998</v>
      </c>
      <c r="Q58" s="18">
        <v>72.489388665166615</v>
      </c>
      <c r="R58" s="18">
        <v>84.158669822696481</v>
      </c>
      <c r="S58" s="18">
        <v>85.007967367118724</v>
      </c>
      <c r="T58" s="18">
        <v>73.787267022863688</v>
      </c>
      <c r="U58" s="18">
        <v>75.239928538152</v>
      </c>
      <c r="V58" s="18">
        <v>64.229609971762258</v>
      </c>
      <c r="W58" s="18">
        <v>61.89332292653561</v>
      </c>
      <c r="X58" s="18">
        <v>82.749570253134664</v>
      </c>
      <c r="Y58" s="18">
        <v>76.860777402398213</v>
      </c>
      <c r="Z58" s="18">
        <v>72.973567203168116</v>
      </c>
      <c r="AA58" s="18">
        <v>78.353555053049206</v>
      </c>
      <c r="AB58" s="18">
        <v>75.769751911553399</v>
      </c>
    </row>
    <row r="59" spans="1:28">
      <c r="A59" s="17">
        <f t="shared" si="0"/>
        <v>39995</v>
      </c>
      <c r="B59" s="18">
        <v>93.04895868363559</v>
      </c>
      <c r="C59" s="18">
        <v>75.124973859022575</v>
      </c>
      <c r="D59" s="18">
        <v>91.069712717194506</v>
      </c>
      <c r="E59" s="18">
        <v>86.231693661160563</v>
      </c>
      <c r="F59" s="18">
        <v>60.289782337547528</v>
      </c>
      <c r="G59" s="18">
        <v>78.2163851946639</v>
      </c>
      <c r="H59" s="18">
        <v>60.47705725868154</v>
      </c>
      <c r="I59" s="18">
        <v>59.869969655650237</v>
      </c>
      <c r="J59" s="18">
        <v>82.887044903654655</v>
      </c>
      <c r="K59" s="18">
        <v>76.391165189437999</v>
      </c>
      <c r="L59" s="18">
        <v>74.270462356274024</v>
      </c>
      <c r="M59" s="18">
        <v>80.533822398175076</v>
      </c>
      <c r="N59" s="18">
        <v>77.869021329037466</v>
      </c>
      <c r="P59" s="18">
        <v>85.74429399866078</v>
      </c>
      <c r="Q59" s="18">
        <v>75.444624611327669</v>
      </c>
      <c r="R59" s="18">
        <v>89.468058256803346</v>
      </c>
      <c r="S59" s="18">
        <v>86.011994754591399</v>
      </c>
      <c r="T59" s="18">
        <v>72.323315223394872</v>
      </c>
      <c r="U59" s="18">
        <v>76.487983405736529</v>
      </c>
      <c r="V59" s="18">
        <v>61.951048732848015</v>
      </c>
      <c r="W59" s="18">
        <v>62.552779617647325</v>
      </c>
      <c r="X59" s="18">
        <v>82.976816537380756</v>
      </c>
      <c r="Y59" s="18">
        <v>77.257494996426431</v>
      </c>
      <c r="Z59" s="18">
        <v>73.456297945328231</v>
      </c>
      <c r="AA59" s="18">
        <v>78.778320666239381</v>
      </c>
      <c r="AB59" s="18">
        <v>77.68833025000788</v>
      </c>
    </row>
    <row r="60" spans="1:28">
      <c r="A60" s="17">
        <f t="shared" si="0"/>
        <v>40026</v>
      </c>
      <c r="B60" s="18">
        <v>90.880245785867615</v>
      </c>
      <c r="C60" s="18">
        <v>72.886332697946841</v>
      </c>
      <c r="D60" s="18">
        <v>85.921933995587523</v>
      </c>
      <c r="E60" s="18">
        <v>86.600997904900538</v>
      </c>
      <c r="F60" s="18">
        <v>78.007806524635043</v>
      </c>
      <c r="G60" s="18">
        <v>74.799724046824906</v>
      </c>
      <c r="H60" s="18">
        <v>60.437639718044565</v>
      </c>
      <c r="I60" s="18">
        <v>57.78451578491417</v>
      </c>
      <c r="J60" s="18">
        <v>83.238930618406854</v>
      </c>
      <c r="K60" s="18">
        <v>74.238930532841039</v>
      </c>
      <c r="L60" s="18">
        <v>69.048742073077293</v>
      </c>
      <c r="M60" s="18">
        <v>79.138902844862727</v>
      </c>
      <c r="N60" s="18">
        <v>76.324020833782669</v>
      </c>
      <c r="P60" s="18">
        <v>83.699968028519891</v>
      </c>
      <c r="Q60" s="18">
        <v>72.754160087975691</v>
      </c>
      <c r="R60" s="18">
        <v>83.630885091966121</v>
      </c>
      <c r="S60" s="18">
        <v>86.112165739167509</v>
      </c>
      <c r="T60" s="18">
        <v>70.183301974173247</v>
      </c>
      <c r="U60" s="18">
        <v>75.506625507500871</v>
      </c>
      <c r="V60" s="18">
        <v>62.017934445466018</v>
      </c>
      <c r="W60" s="18">
        <v>60.824270397621383</v>
      </c>
      <c r="X60" s="18">
        <v>83.227243410199847</v>
      </c>
      <c r="Y60" s="18">
        <v>76.747063219960097</v>
      </c>
      <c r="Z60" s="18">
        <v>73.608868686198704</v>
      </c>
      <c r="AA60" s="18">
        <v>77.83737343594332</v>
      </c>
      <c r="AB60" s="18">
        <v>75.963747813548096</v>
      </c>
    </row>
    <row r="61" spans="1:28">
      <c r="A61" s="17">
        <f t="shared" si="0"/>
        <v>40057</v>
      </c>
      <c r="B61" s="18">
        <v>92.841564108727198</v>
      </c>
      <c r="C61" s="18">
        <v>71.156806917231592</v>
      </c>
      <c r="D61" s="18">
        <v>91.086367972571736</v>
      </c>
      <c r="E61" s="18">
        <v>88.585229664656055</v>
      </c>
      <c r="F61" s="18">
        <v>75.639527096792307</v>
      </c>
      <c r="G61" s="18">
        <v>73.605674242622996</v>
      </c>
      <c r="H61" s="18">
        <v>65.037730489257228</v>
      </c>
      <c r="I61" s="18">
        <v>64.94338320814667</v>
      </c>
      <c r="J61" s="18">
        <v>83.467985529341632</v>
      </c>
      <c r="K61" s="18">
        <v>75.79814175037184</v>
      </c>
      <c r="L61" s="18">
        <v>71.71972531483425</v>
      </c>
      <c r="M61" s="18">
        <v>76.349288250552689</v>
      </c>
      <c r="N61" s="18">
        <v>77.83923440225341</v>
      </c>
      <c r="P61" s="18">
        <v>87.192792384088435</v>
      </c>
      <c r="Q61" s="18">
        <v>72.121346851016156</v>
      </c>
      <c r="R61" s="18">
        <v>86.79638366373139</v>
      </c>
      <c r="S61" s="18">
        <v>87.913884402234785</v>
      </c>
      <c r="T61" s="18">
        <v>68.882899957640149</v>
      </c>
      <c r="U61" s="18">
        <v>75.070441659527447</v>
      </c>
      <c r="V61" s="18">
        <v>63.850018263605001</v>
      </c>
      <c r="W61" s="18">
        <v>62.203305519186635</v>
      </c>
      <c r="X61" s="18">
        <v>83.499219332592617</v>
      </c>
      <c r="Y61" s="18">
        <v>77.118291486153566</v>
      </c>
      <c r="Z61" s="18">
        <v>73.625137454268412</v>
      </c>
      <c r="AA61" s="18">
        <v>78.238885670360972</v>
      </c>
      <c r="AB61" s="18">
        <v>76.964745691845366</v>
      </c>
    </row>
    <row r="62" spans="1:28">
      <c r="A62" s="17">
        <f t="shared" si="0"/>
        <v>40087</v>
      </c>
      <c r="B62" s="18">
        <v>86.629437488386984</v>
      </c>
      <c r="C62" s="18">
        <v>73.932050809720778</v>
      </c>
      <c r="D62" s="18">
        <v>93.41974406960334</v>
      </c>
      <c r="E62" s="18">
        <v>91.403262528932643</v>
      </c>
      <c r="F62" s="18">
        <v>68.527357981901645</v>
      </c>
      <c r="G62" s="18">
        <v>76.677239999246211</v>
      </c>
      <c r="H62" s="18">
        <v>66.835688584930679</v>
      </c>
      <c r="I62" s="18">
        <v>59.512630698677903</v>
      </c>
      <c r="J62" s="18">
        <v>83.763715035500553</v>
      </c>
      <c r="K62" s="18">
        <v>77.082261148935316</v>
      </c>
      <c r="L62" s="18">
        <v>69.349067231142442</v>
      </c>
      <c r="M62" s="18">
        <v>85.926144895504379</v>
      </c>
      <c r="N62" s="18">
        <v>78.157135328347792</v>
      </c>
      <c r="P62" s="18">
        <v>84.358224330728021</v>
      </c>
      <c r="Q62" s="18">
        <v>72.364157716815299</v>
      </c>
      <c r="R62" s="18">
        <v>88.322568244234674</v>
      </c>
      <c r="S62" s="18">
        <v>88.61471131402439</v>
      </c>
      <c r="T62" s="18">
        <v>70.087262224507754</v>
      </c>
      <c r="U62" s="18">
        <v>76.586007178816715</v>
      </c>
      <c r="V62" s="18">
        <v>64.759076676781419</v>
      </c>
      <c r="W62" s="18">
        <v>60.686572265445463</v>
      </c>
      <c r="X62" s="18">
        <v>83.796496146848426</v>
      </c>
      <c r="Y62" s="18">
        <v>76.832958858992441</v>
      </c>
      <c r="Z62" s="18">
        <v>73.069452379398854</v>
      </c>
      <c r="AA62" s="18">
        <v>79.026407621593918</v>
      </c>
      <c r="AB62" s="18">
        <v>77.248010111031803</v>
      </c>
    </row>
    <row r="63" spans="1:28">
      <c r="A63" s="17">
        <f t="shared" si="0"/>
        <v>40118</v>
      </c>
      <c r="B63" s="18">
        <v>81.447456766927701</v>
      </c>
      <c r="C63" s="18">
        <v>80.133272821189408</v>
      </c>
      <c r="D63" s="18">
        <v>89.558080284205161</v>
      </c>
      <c r="E63" s="18">
        <v>89.530119031659936</v>
      </c>
      <c r="F63" s="18">
        <v>87.32337384774128</v>
      </c>
      <c r="G63" s="18">
        <v>78.586372612780195</v>
      </c>
      <c r="H63" s="18">
        <v>69.633669280293958</v>
      </c>
      <c r="I63" s="18">
        <v>64.908147860009663</v>
      </c>
      <c r="J63" s="18">
        <v>84.588009446264962</v>
      </c>
      <c r="K63" s="18">
        <v>82.242624356780794</v>
      </c>
      <c r="L63" s="18">
        <v>78.586337403553458</v>
      </c>
      <c r="M63" s="18">
        <v>80.059146884701633</v>
      </c>
      <c r="N63" s="18">
        <v>81.019891467312036</v>
      </c>
      <c r="P63" s="18">
        <v>82.234789446650453</v>
      </c>
      <c r="Q63" s="18">
        <v>77.667112417697837</v>
      </c>
      <c r="R63" s="18">
        <v>85.386954691725862</v>
      </c>
      <c r="S63" s="18">
        <v>88.66989852802854</v>
      </c>
      <c r="T63" s="18">
        <v>69.291897671405238</v>
      </c>
      <c r="U63" s="18">
        <v>76.119642191565362</v>
      </c>
      <c r="V63" s="18">
        <v>66.551613683240404</v>
      </c>
      <c r="W63" s="18">
        <v>62.079732978908439</v>
      </c>
      <c r="X63" s="18">
        <v>84.078756839053113</v>
      </c>
      <c r="Y63" s="18">
        <v>76.638802182844202</v>
      </c>
      <c r="Z63" s="18">
        <v>73.444447429348259</v>
      </c>
      <c r="AA63" s="18">
        <v>79.707581451524163</v>
      </c>
      <c r="AB63" s="18">
        <v>77.158472556168476</v>
      </c>
    </row>
    <row r="64" spans="1:28">
      <c r="A64" s="17">
        <f t="shared" si="0"/>
        <v>40148</v>
      </c>
      <c r="B64" s="18">
        <v>86.699983927032861</v>
      </c>
      <c r="C64" s="18">
        <v>85.014745929847336</v>
      </c>
      <c r="D64" s="18">
        <v>90.077967708152656</v>
      </c>
      <c r="E64" s="18">
        <v>89.611165570350906</v>
      </c>
      <c r="F64" s="18">
        <v>69.095754808098619</v>
      </c>
      <c r="G64" s="18">
        <v>93.647848418676617</v>
      </c>
      <c r="H64" s="18">
        <v>78.51398226353146</v>
      </c>
      <c r="I64" s="18">
        <v>62.893583645876625</v>
      </c>
      <c r="J64" s="18">
        <v>84.788016038710424</v>
      </c>
      <c r="K64" s="18">
        <v>94.801109937138946</v>
      </c>
      <c r="L64" s="18">
        <v>91.136133565542437</v>
      </c>
      <c r="M64" s="18">
        <v>84.155316543718811</v>
      </c>
      <c r="N64" s="18">
        <v>86.211269837265064</v>
      </c>
      <c r="P64" s="18">
        <v>84.800841993377929</v>
      </c>
      <c r="Q64" s="18">
        <v>81.934357068667836</v>
      </c>
      <c r="R64" s="18">
        <v>87.903008634768057</v>
      </c>
      <c r="S64" s="18">
        <v>89.989406427314677</v>
      </c>
      <c r="T64" s="18">
        <v>69.392324528932335</v>
      </c>
      <c r="U64" s="18">
        <v>76.600690194691438</v>
      </c>
      <c r="V64" s="18">
        <v>68.200994322356976</v>
      </c>
      <c r="W64" s="18">
        <v>60.6433058311313</v>
      </c>
      <c r="X64" s="18">
        <v>84.352802607515926</v>
      </c>
      <c r="Y64" s="18">
        <v>77.395403249206396</v>
      </c>
      <c r="Z64" s="18">
        <v>74.188049473918511</v>
      </c>
      <c r="AA64" s="18">
        <v>81.092024498119457</v>
      </c>
      <c r="AB64" s="18">
        <v>78.35925549518808</v>
      </c>
    </row>
    <row r="65" spans="1:28">
      <c r="A65" s="17">
        <f t="shared" si="0"/>
        <v>40179</v>
      </c>
      <c r="B65" s="18">
        <v>73.539360243357251</v>
      </c>
      <c r="C65" s="18">
        <v>79.731210364027802</v>
      </c>
      <c r="D65" s="18">
        <v>76.829736333963595</v>
      </c>
      <c r="E65" s="18">
        <v>88.814831741914318</v>
      </c>
      <c r="F65" s="18">
        <v>56.698386972197831</v>
      </c>
      <c r="G65" s="18">
        <v>71.828641537632336</v>
      </c>
      <c r="H65" s="18">
        <v>63.373908941768462</v>
      </c>
      <c r="I65" s="18">
        <v>59.95277840188993</v>
      </c>
      <c r="J65" s="18">
        <v>84.945122947914413</v>
      </c>
      <c r="K65" s="18">
        <v>68.978288885148757</v>
      </c>
      <c r="L65" s="18">
        <v>67.289719394140121</v>
      </c>
      <c r="M65" s="18">
        <v>75.148897340325803</v>
      </c>
      <c r="N65" s="18">
        <v>72.227308056138057</v>
      </c>
      <c r="P65" s="18">
        <v>75.813976758133236</v>
      </c>
      <c r="Q65" s="18">
        <v>79.02386069109545</v>
      </c>
      <c r="R65" s="18">
        <v>85.289913904772078</v>
      </c>
      <c r="S65" s="18">
        <v>89.361649084505473</v>
      </c>
      <c r="T65" s="18">
        <v>69.460726345809078</v>
      </c>
      <c r="U65" s="18">
        <v>77.390514577679184</v>
      </c>
      <c r="V65" s="18">
        <v>68.547436444827497</v>
      </c>
      <c r="W65" s="18">
        <v>60.503502445914215</v>
      </c>
      <c r="X65" s="18">
        <v>84.607636663816152</v>
      </c>
      <c r="Y65" s="18">
        <v>77.260385290127303</v>
      </c>
      <c r="Z65" s="18">
        <v>74.640651211467585</v>
      </c>
      <c r="AA65" s="18">
        <v>80.379598570263184</v>
      </c>
      <c r="AB65" s="18">
        <v>77.251316929788857</v>
      </c>
    </row>
    <row r="66" spans="1:28">
      <c r="A66" s="17">
        <f t="shared" si="0"/>
        <v>40210</v>
      </c>
      <c r="B66" s="18">
        <v>73.672719955522638</v>
      </c>
      <c r="C66" s="18">
        <v>73.090332531955397</v>
      </c>
      <c r="D66" s="18">
        <v>82.613725909040681</v>
      </c>
      <c r="E66" s="18">
        <v>85.276468106156912</v>
      </c>
      <c r="F66" s="18">
        <v>66.478285798484066</v>
      </c>
      <c r="G66" s="18">
        <v>72.998160543296436</v>
      </c>
      <c r="H66" s="18">
        <v>68.484151931056644</v>
      </c>
      <c r="I66" s="18">
        <v>59.152301036373785</v>
      </c>
      <c r="J66" s="18">
        <v>84.522478629779911</v>
      </c>
      <c r="K66" s="18">
        <v>74.591954273758063</v>
      </c>
      <c r="L66" s="18">
        <v>74.683402667150659</v>
      </c>
      <c r="M66" s="18">
        <v>82.473375998683011</v>
      </c>
      <c r="N66" s="18">
        <v>74.782240078157642</v>
      </c>
      <c r="P66" s="18">
        <v>81.50994086854962</v>
      </c>
      <c r="Q66" s="18">
        <v>79.748159742727438</v>
      </c>
      <c r="R66" s="18">
        <v>88.590379566509384</v>
      </c>
      <c r="S66" s="18">
        <v>90.110124746826855</v>
      </c>
      <c r="T66" s="18">
        <v>67.838894720965598</v>
      </c>
      <c r="U66" s="18">
        <v>77.915397022075268</v>
      </c>
      <c r="V66" s="18">
        <v>70.884576303741738</v>
      </c>
      <c r="W66" s="18">
        <v>59.764557890888156</v>
      </c>
      <c r="X66" s="18">
        <v>84.850534963687622</v>
      </c>
      <c r="Y66" s="18">
        <v>77.815800755943428</v>
      </c>
      <c r="Z66" s="18">
        <v>75.024674493853084</v>
      </c>
      <c r="AA66" s="18">
        <v>80.235054006686312</v>
      </c>
      <c r="AB66" s="18">
        <v>78.407460174345317</v>
      </c>
    </row>
    <row r="67" spans="1:28">
      <c r="A67" s="17">
        <f t="shared" si="0"/>
        <v>40238</v>
      </c>
      <c r="B67" s="18">
        <v>81.449287976464333</v>
      </c>
      <c r="C67" s="18">
        <v>80.066444257460518</v>
      </c>
      <c r="D67" s="18">
        <v>88.176167027415104</v>
      </c>
      <c r="E67" s="18">
        <v>93.130379631057394</v>
      </c>
      <c r="F67" s="18">
        <v>61.028899339800937</v>
      </c>
      <c r="G67" s="18">
        <v>74.632430716953664</v>
      </c>
      <c r="H67" s="18">
        <v>71.627170374014</v>
      </c>
      <c r="I67" s="18">
        <v>64.070293529656581</v>
      </c>
      <c r="J67" s="18">
        <v>84.524709295975825</v>
      </c>
      <c r="K67" s="18">
        <v>78.316495278771043</v>
      </c>
      <c r="L67" s="18">
        <v>78.220190057321631</v>
      </c>
      <c r="M67" s="18">
        <v>77.065226465310715</v>
      </c>
      <c r="N67" s="18">
        <v>77.958513271932517</v>
      </c>
      <c r="P67" s="18">
        <v>84.077422054246682</v>
      </c>
      <c r="Q67" s="18">
        <v>80.016506893463017</v>
      </c>
      <c r="R67" s="18">
        <v>87.815737266045687</v>
      </c>
      <c r="S67" s="18">
        <v>89.731680240536519</v>
      </c>
      <c r="T67" s="18">
        <v>67.137242365812355</v>
      </c>
      <c r="U67" s="18">
        <v>78.373116790692933</v>
      </c>
      <c r="V67" s="18">
        <v>73.364286618699552</v>
      </c>
      <c r="W67" s="18">
        <v>61.30723172470335</v>
      </c>
      <c r="X67" s="18">
        <v>85.09068114826816</v>
      </c>
      <c r="Y67" s="18">
        <v>78.202585294594599</v>
      </c>
      <c r="Z67" s="18">
        <v>75.330859802849247</v>
      </c>
      <c r="AA67" s="18">
        <v>80.089862472918966</v>
      </c>
      <c r="AB67" s="18">
        <v>78.755367809171332</v>
      </c>
    </row>
    <row r="68" spans="1:28">
      <c r="A68" s="17">
        <f t="shared" si="0"/>
        <v>40269</v>
      </c>
      <c r="B68" s="18">
        <v>75.972732579032666</v>
      </c>
      <c r="C68" s="18">
        <v>81.175899972341497</v>
      </c>
      <c r="D68" s="18">
        <v>84.323645632451189</v>
      </c>
      <c r="E68" s="18">
        <v>86.912428170835526</v>
      </c>
      <c r="F68" s="18">
        <v>58.797511547055962</v>
      </c>
      <c r="G68" s="18">
        <v>76.448386259425263</v>
      </c>
      <c r="H68" s="18">
        <v>71.109445086623708</v>
      </c>
      <c r="I68" s="18">
        <v>63.401141422968387</v>
      </c>
      <c r="J68" s="18">
        <v>84.752807107711277</v>
      </c>
      <c r="K68" s="18">
        <v>73.906137544693422</v>
      </c>
      <c r="L68" s="18">
        <v>71.510564950423259</v>
      </c>
      <c r="M68" s="18">
        <v>80.540843556434254</v>
      </c>
      <c r="N68" s="18">
        <v>75.935974497745278</v>
      </c>
      <c r="P68" s="18">
        <v>82.353378019840378</v>
      </c>
      <c r="Q68" s="18">
        <v>80.93364474771964</v>
      </c>
      <c r="R68" s="18">
        <v>89.307464403536116</v>
      </c>
      <c r="S68" s="18">
        <v>89.699571452911499</v>
      </c>
      <c r="T68" s="18">
        <v>66.511289834432375</v>
      </c>
      <c r="U68" s="18">
        <v>77.590930961044492</v>
      </c>
      <c r="V68" s="18">
        <v>75.341179587960596</v>
      </c>
      <c r="W68" s="18">
        <v>65.450857683409367</v>
      </c>
      <c r="X68" s="18">
        <v>85.296430975023895</v>
      </c>
      <c r="Y68" s="18">
        <v>78.541814416885231</v>
      </c>
      <c r="Z68" s="18">
        <v>75.618519192902198</v>
      </c>
      <c r="AA68" s="18">
        <v>79.71678174957853</v>
      </c>
      <c r="AB68" s="18">
        <v>79.224900340266544</v>
      </c>
    </row>
    <row r="69" spans="1:28">
      <c r="A69" s="17">
        <f t="shared" si="0"/>
        <v>40299</v>
      </c>
      <c r="B69" s="18">
        <v>83.489398901349475</v>
      </c>
      <c r="C69" s="18">
        <v>82.99504128912082</v>
      </c>
      <c r="D69" s="18">
        <v>86.884665051871536</v>
      </c>
      <c r="E69" s="18">
        <v>91.928470483997884</v>
      </c>
      <c r="F69" s="18">
        <v>72.647471636400155</v>
      </c>
      <c r="G69" s="18">
        <v>76.907334662100112</v>
      </c>
      <c r="H69" s="18">
        <v>75.296859087582007</v>
      </c>
      <c r="I69" s="18">
        <v>61.920873103888617</v>
      </c>
      <c r="J69" s="18">
        <v>85.627341850048367</v>
      </c>
      <c r="K69" s="18">
        <v>76.449991572223936</v>
      </c>
      <c r="L69" s="18">
        <v>72.299607559285548</v>
      </c>
      <c r="M69" s="18">
        <v>76.669587052597905</v>
      </c>
      <c r="N69" s="18">
        <v>78.502205276349329</v>
      </c>
      <c r="P69" s="18">
        <v>82.933474336612719</v>
      </c>
      <c r="Q69" s="18">
        <v>81.897729241859096</v>
      </c>
      <c r="R69" s="18">
        <v>86.816568913996619</v>
      </c>
      <c r="S69" s="18">
        <v>89.194144095177123</v>
      </c>
      <c r="T69" s="18">
        <v>66.091529018635811</v>
      </c>
      <c r="U69" s="18">
        <v>78.981600101234207</v>
      </c>
      <c r="V69" s="18">
        <v>76.878952056257589</v>
      </c>
      <c r="W69" s="18">
        <v>61.485707256149283</v>
      </c>
      <c r="X69" s="18">
        <v>85.52853939949479</v>
      </c>
      <c r="Y69" s="18">
        <v>78.825620695534369</v>
      </c>
      <c r="Z69" s="18">
        <v>75.813002046092592</v>
      </c>
      <c r="AA69" s="18">
        <v>79.778756031641763</v>
      </c>
      <c r="AB69" s="18">
        <v>79.037209089730936</v>
      </c>
    </row>
    <row r="70" spans="1:28">
      <c r="A70" s="17">
        <f t="shared" si="0"/>
        <v>40330</v>
      </c>
      <c r="B70" s="18">
        <v>78.174962307757852</v>
      </c>
      <c r="C70" s="18">
        <v>80.805117282663062</v>
      </c>
      <c r="D70" s="18">
        <v>88.153597089315113</v>
      </c>
      <c r="E70" s="18">
        <v>86.8957306079473</v>
      </c>
      <c r="F70" s="18">
        <v>67.998107157075623</v>
      </c>
      <c r="G70" s="18">
        <v>76.898851577392762</v>
      </c>
      <c r="H70" s="18">
        <v>77.007543177240919</v>
      </c>
      <c r="I70" s="18">
        <v>63.0920114505128</v>
      </c>
      <c r="J70" s="18">
        <v>85.875660872104916</v>
      </c>
      <c r="K70" s="18">
        <v>77.915759579181156</v>
      </c>
      <c r="L70" s="18">
        <v>75.301798869903962</v>
      </c>
      <c r="M70" s="18">
        <v>75.980857727812577</v>
      </c>
      <c r="N70" s="18">
        <v>78.362748389712451</v>
      </c>
      <c r="P70" s="18">
        <v>81.127438619790169</v>
      </c>
      <c r="Q70" s="18">
        <v>81.223691863196322</v>
      </c>
      <c r="R70" s="18">
        <v>88.179998449547597</v>
      </c>
      <c r="S70" s="18">
        <v>89.131703471987237</v>
      </c>
      <c r="T70" s="18">
        <v>65.479291158525726</v>
      </c>
      <c r="U70" s="18">
        <v>79.101011730779518</v>
      </c>
      <c r="V70" s="18">
        <v>77.031367620679774</v>
      </c>
      <c r="W70" s="18">
        <v>64.513568966947631</v>
      </c>
      <c r="X70" s="18">
        <v>85.76674732764053</v>
      </c>
      <c r="Y70" s="18">
        <v>78.934687408879583</v>
      </c>
      <c r="Z70" s="18">
        <v>76.137410266248594</v>
      </c>
      <c r="AA70" s="18">
        <v>80.335321860007994</v>
      </c>
      <c r="AB70" s="18">
        <v>79.274401875605321</v>
      </c>
    </row>
    <row r="71" spans="1:28">
      <c r="A71" s="17">
        <f t="shared" si="0"/>
        <v>40360</v>
      </c>
      <c r="B71" s="18">
        <v>89.517467214314195</v>
      </c>
      <c r="C71" s="18">
        <v>79.757625572052092</v>
      </c>
      <c r="D71" s="18">
        <v>88.885424601182478</v>
      </c>
      <c r="E71" s="18">
        <v>89.623135449088778</v>
      </c>
      <c r="F71" s="18">
        <v>54.979014800905546</v>
      </c>
      <c r="G71" s="18">
        <v>81.644112234105108</v>
      </c>
      <c r="H71" s="18">
        <v>74.927335068477291</v>
      </c>
      <c r="I71" s="18">
        <v>61.191550157497943</v>
      </c>
      <c r="J71" s="18">
        <v>85.927651703814774</v>
      </c>
      <c r="K71" s="18">
        <v>78.161363774434747</v>
      </c>
      <c r="L71" s="18">
        <v>76.961031411011177</v>
      </c>
      <c r="M71" s="18">
        <v>81.641728024503365</v>
      </c>
      <c r="N71" s="18">
        <v>79.595547625856696</v>
      </c>
      <c r="P71" s="18">
        <v>82.596420650950506</v>
      </c>
      <c r="Q71" s="18">
        <v>80.096864410683679</v>
      </c>
      <c r="R71" s="18">
        <v>86.992893257396076</v>
      </c>
      <c r="S71" s="18">
        <v>89.202938636381234</v>
      </c>
      <c r="T71" s="18">
        <v>65.871544025642109</v>
      </c>
      <c r="U71" s="18">
        <v>79.670448752392957</v>
      </c>
      <c r="V71" s="18">
        <v>77.049339905581235</v>
      </c>
      <c r="W71" s="18">
        <v>63.69132913510812</v>
      </c>
      <c r="X71" s="18">
        <v>86.01929764036062</v>
      </c>
      <c r="Y71" s="18">
        <v>79.212525353222475</v>
      </c>
      <c r="Z71" s="18">
        <v>76.291458509375758</v>
      </c>
      <c r="AA71" s="18">
        <v>79.754796382854281</v>
      </c>
      <c r="AB71" s="18">
        <v>79.38572354620355</v>
      </c>
    </row>
    <row r="72" spans="1:28">
      <c r="A72" s="17">
        <f t="shared" ref="A72:A135" si="1">+EDATE(A71,1)</f>
        <v>40391</v>
      </c>
      <c r="B72" s="18">
        <v>91.437982373541928</v>
      </c>
      <c r="C72" s="18">
        <v>80.193903429471462</v>
      </c>
      <c r="D72" s="18">
        <v>88.3885172842663</v>
      </c>
      <c r="E72" s="18">
        <v>90.126638477898652</v>
      </c>
      <c r="F72" s="18">
        <v>74.748139519779045</v>
      </c>
      <c r="G72" s="18">
        <v>78.784880892982017</v>
      </c>
      <c r="H72" s="18">
        <v>75.896155244492363</v>
      </c>
      <c r="I72" s="18">
        <v>65.55449679697351</v>
      </c>
      <c r="J72" s="18">
        <v>86.258130059698786</v>
      </c>
      <c r="K72" s="18">
        <v>76.545028633292418</v>
      </c>
      <c r="L72" s="18">
        <v>71.256472667515155</v>
      </c>
      <c r="M72" s="18">
        <v>81.4900063598554</v>
      </c>
      <c r="N72" s="18">
        <v>79.838294210519933</v>
      </c>
      <c r="P72" s="18">
        <v>84.627500566863333</v>
      </c>
      <c r="Q72" s="18">
        <v>80.587747004294101</v>
      </c>
      <c r="R72" s="18">
        <v>86.190376750550143</v>
      </c>
      <c r="S72" s="18">
        <v>89.474933731277773</v>
      </c>
      <c r="T72" s="18">
        <v>67.517984634739349</v>
      </c>
      <c r="U72" s="18">
        <v>79.424370785536595</v>
      </c>
      <c r="V72" s="18">
        <v>78.06835497517433</v>
      </c>
      <c r="W72" s="18">
        <v>68.715228274016681</v>
      </c>
      <c r="X72" s="18">
        <v>86.235538752880657</v>
      </c>
      <c r="Y72" s="18">
        <v>79.125259434291124</v>
      </c>
      <c r="Z72" s="18">
        <v>76.258613898379323</v>
      </c>
      <c r="AA72" s="18">
        <v>79.624995884814879</v>
      </c>
      <c r="AB72" s="18">
        <v>79.422595892434884</v>
      </c>
    </row>
    <row r="73" spans="1:28">
      <c r="A73" s="17">
        <f t="shared" si="1"/>
        <v>40422</v>
      </c>
      <c r="B73" s="18">
        <v>88.729285610423389</v>
      </c>
      <c r="C73" s="18">
        <v>79.098215397582322</v>
      </c>
      <c r="D73" s="18">
        <v>93.38688272484282</v>
      </c>
      <c r="E73" s="18">
        <v>89.406503109827057</v>
      </c>
      <c r="F73" s="18">
        <v>75.809930530719654</v>
      </c>
      <c r="G73" s="18">
        <v>78.2442238109697</v>
      </c>
      <c r="H73" s="18">
        <v>80.06344761162029</v>
      </c>
      <c r="I73" s="18">
        <v>68.390497645052747</v>
      </c>
      <c r="J73" s="18">
        <v>86.395236534793412</v>
      </c>
      <c r="K73" s="18">
        <v>78.313690050428022</v>
      </c>
      <c r="L73" s="18">
        <v>74.366930420560493</v>
      </c>
      <c r="M73" s="18">
        <v>79.217803392678519</v>
      </c>
      <c r="N73" s="18">
        <v>81.142384358316221</v>
      </c>
      <c r="P73" s="18">
        <v>83.221826215778549</v>
      </c>
      <c r="Q73" s="18">
        <v>80.690119212589224</v>
      </c>
      <c r="R73" s="18">
        <v>89.214789079659013</v>
      </c>
      <c r="S73" s="18">
        <v>88.757088582218216</v>
      </c>
      <c r="T73" s="18">
        <v>69.782373710353866</v>
      </c>
      <c r="U73" s="18">
        <v>80.245142395894007</v>
      </c>
      <c r="V73" s="18">
        <v>78.776066007797837</v>
      </c>
      <c r="W73" s="18">
        <v>65.57534771758263</v>
      </c>
      <c r="X73" s="18">
        <v>86.408698915992815</v>
      </c>
      <c r="Y73" s="18">
        <v>79.673356840599382</v>
      </c>
      <c r="Z73" s="18">
        <v>76.530495912012555</v>
      </c>
      <c r="AA73" s="18">
        <v>80.587388220002936</v>
      </c>
      <c r="AB73" s="18">
        <v>80.477126982370734</v>
      </c>
    </row>
    <row r="74" spans="1:28">
      <c r="A74" s="17">
        <f t="shared" si="1"/>
        <v>40452</v>
      </c>
      <c r="B74" s="18">
        <v>87.583155163507698</v>
      </c>
      <c r="C74" s="18">
        <v>82.537908703415027</v>
      </c>
      <c r="D74" s="18">
        <v>93.578803485393053</v>
      </c>
      <c r="E74" s="18">
        <v>91.4266904389318</v>
      </c>
      <c r="F74" s="18">
        <v>70.993800609286325</v>
      </c>
      <c r="G74" s="18">
        <v>81.1883856786975</v>
      </c>
      <c r="H74" s="18">
        <v>81.110230023787665</v>
      </c>
      <c r="I74" s="18">
        <v>63.580926872887659</v>
      </c>
      <c r="J74" s="18">
        <v>86.537397344073554</v>
      </c>
      <c r="K74" s="18">
        <v>79.976079175598983</v>
      </c>
      <c r="L74" s="18">
        <v>72.603392551192456</v>
      </c>
      <c r="M74" s="18">
        <v>88.303285293454095</v>
      </c>
      <c r="N74" s="18">
        <v>81.776066465297703</v>
      </c>
      <c r="P74" s="18">
        <v>85.532334813919789</v>
      </c>
      <c r="Q74" s="18">
        <v>81.263586566623033</v>
      </c>
      <c r="R74" s="18">
        <v>88.708098485904628</v>
      </c>
      <c r="S74" s="18">
        <v>88.960942939497784</v>
      </c>
      <c r="T74" s="18">
        <v>73.098885735646292</v>
      </c>
      <c r="U74" s="18">
        <v>81.481266432262629</v>
      </c>
      <c r="V74" s="18">
        <v>78.691910938372033</v>
      </c>
      <c r="W74" s="18">
        <v>65.045923915802149</v>
      </c>
      <c r="X74" s="18">
        <v>86.556217126893117</v>
      </c>
      <c r="Y74" s="18">
        <v>79.659950437902765</v>
      </c>
      <c r="Z74" s="18">
        <v>76.497568692087498</v>
      </c>
      <c r="AA74" s="18">
        <v>81.058196570583476</v>
      </c>
      <c r="AB74" s="18">
        <v>81.112590901594643</v>
      </c>
    </row>
    <row r="75" spans="1:28">
      <c r="A75" s="17">
        <f t="shared" si="1"/>
        <v>40483</v>
      </c>
      <c r="B75" s="18">
        <v>82.857217586833514</v>
      </c>
      <c r="C75" s="18">
        <v>81.827750238089678</v>
      </c>
      <c r="D75" s="18">
        <v>92.813837162106807</v>
      </c>
      <c r="E75" s="18">
        <v>88.435447687497529</v>
      </c>
      <c r="F75" s="18">
        <v>93.641284055933738</v>
      </c>
      <c r="G75" s="18">
        <v>84.528879584528894</v>
      </c>
      <c r="H75" s="18">
        <v>83.391726525640422</v>
      </c>
      <c r="I75" s="18">
        <v>68.339177492370254</v>
      </c>
      <c r="J75" s="18">
        <v>87.25562662153763</v>
      </c>
      <c r="K75" s="18">
        <v>85.813218217216701</v>
      </c>
      <c r="L75" s="18">
        <v>82.97610480284861</v>
      </c>
      <c r="M75" s="18">
        <v>81.449559927961786</v>
      </c>
      <c r="N75" s="18">
        <v>85.124088094493374</v>
      </c>
      <c r="P75" s="18">
        <v>83.88387048359634</v>
      </c>
      <c r="Q75" s="18">
        <v>79.417595934612024</v>
      </c>
      <c r="R75" s="18">
        <v>89.017987191145764</v>
      </c>
      <c r="S75" s="18">
        <v>87.772893189461271</v>
      </c>
      <c r="T75" s="18">
        <v>74.711490620465995</v>
      </c>
      <c r="U75" s="18">
        <v>81.872750507987675</v>
      </c>
      <c r="V75" s="18">
        <v>79.979669453002799</v>
      </c>
      <c r="W75" s="18">
        <v>66.165337023397598</v>
      </c>
      <c r="X75" s="18">
        <v>86.718791011424159</v>
      </c>
      <c r="Y75" s="18">
        <v>79.893202055222261</v>
      </c>
      <c r="Z75" s="18">
        <v>77.504266179859968</v>
      </c>
      <c r="AA75" s="18">
        <v>81.379565029256526</v>
      </c>
      <c r="AB75" s="18">
        <v>81.155328188059656</v>
      </c>
    </row>
    <row r="76" spans="1:28">
      <c r="A76" s="17">
        <f t="shared" si="1"/>
        <v>40513</v>
      </c>
      <c r="B76" s="18">
        <v>89.578424934542682</v>
      </c>
      <c r="C76" s="18">
        <v>86.919261777111586</v>
      </c>
      <c r="D76" s="18">
        <v>93.957361585953663</v>
      </c>
      <c r="E76" s="18">
        <v>88.066773798003666</v>
      </c>
      <c r="F76" s="18">
        <v>74.158906842186227</v>
      </c>
      <c r="G76" s="18">
        <v>99.726871264072045</v>
      </c>
      <c r="H76" s="18">
        <v>91.997741213410009</v>
      </c>
      <c r="I76" s="18">
        <v>73.039448977178836</v>
      </c>
      <c r="J76" s="18">
        <v>87.358502983138081</v>
      </c>
      <c r="K76" s="18">
        <v>99.331407567806352</v>
      </c>
      <c r="L76" s="18">
        <v>96.495291193251219</v>
      </c>
      <c r="M76" s="18">
        <v>84.659014299222818</v>
      </c>
      <c r="N76" s="18">
        <v>90.974318318038698</v>
      </c>
      <c r="P76" s="18">
        <v>88.324411458366242</v>
      </c>
      <c r="Q76" s="18">
        <v>83.299204506428865</v>
      </c>
      <c r="R76" s="18">
        <v>91.868156618738723</v>
      </c>
      <c r="S76" s="18">
        <v>88.645827532375705</v>
      </c>
      <c r="T76" s="18">
        <v>74.478486638796994</v>
      </c>
      <c r="U76" s="18">
        <v>81.784608704575049</v>
      </c>
      <c r="V76" s="18">
        <v>79.672574373618801</v>
      </c>
      <c r="W76" s="18">
        <v>69.466904853330846</v>
      </c>
      <c r="X76" s="18">
        <v>86.9015520251087</v>
      </c>
      <c r="Y76" s="18">
        <v>81.154226569350769</v>
      </c>
      <c r="Z76" s="18">
        <v>78.316986339475704</v>
      </c>
      <c r="AA76" s="18">
        <v>81.699868660229654</v>
      </c>
      <c r="AB76" s="18">
        <v>82.715666912986563</v>
      </c>
    </row>
    <row r="77" spans="1:28">
      <c r="A77" s="17">
        <f t="shared" si="1"/>
        <v>40544</v>
      </c>
      <c r="B77" s="18">
        <v>83.263295679600304</v>
      </c>
      <c r="C77" s="18">
        <v>86.113455409920178</v>
      </c>
      <c r="D77" s="18">
        <v>82.500539820841993</v>
      </c>
      <c r="E77" s="18">
        <v>91.366809568023129</v>
      </c>
      <c r="F77" s="18">
        <v>57.763386265666227</v>
      </c>
      <c r="G77" s="18">
        <v>76.76037788948733</v>
      </c>
      <c r="H77" s="18">
        <v>75.360498985229484</v>
      </c>
      <c r="I77" s="18">
        <v>67.695346813798523</v>
      </c>
      <c r="J77" s="18">
        <v>87.44713476603124</v>
      </c>
      <c r="K77" s="18">
        <v>72.750849171786442</v>
      </c>
      <c r="L77" s="18">
        <v>71.308784964143285</v>
      </c>
      <c r="M77" s="18">
        <v>76.800226675137864</v>
      </c>
      <c r="N77" s="18">
        <v>77.517565092260796</v>
      </c>
      <c r="P77" s="18">
        <v>84.957169693576333</v>
      </c>
      <c r="Q77" s="18">
        <v>84.90613827898234</v>
      </c>
      <c r="R77" s="18">
        <v>90.728631626057592</v>
      </c>
      <c r="S77" s="18">
        <v>91.761301241236239</v>
      </c>
      <c r="T77" s="18">
        <v>71.424611911550869</v>
      </c>
      <c r="U77" s="18">
        <v>82.684986583954895</v>
      </c>
      <c r="V77" s="18">
        <v>81.654436792979268</v>
      </c>
      <c r="W77" s="18">
        <v>68.715545798275969</v>
      </c>
      <c r="X77" s="18">
        <v>87.100826841967987</v>
      </c>
      <c r="Y77" s="18">
        <v>81.63986374384713</v>
      </c>
      <c r="Z77" s="18">
        <v>78.970009053850276</v>
      </c>
      <c r="AA77" s="18">
        <v>82.395248400984059</v>
      </c>
      <c r="AB77" s="18">
        <v>82.917498971592181</v>
      </c>
    </row>
    <row r="78" spans="1:28">
      <c r="A78" s="17">
        <f t="shared" si="1"/>
        <v>40575</v>
      </c>
      <c r="B78" s="18">
        <v>78.385388872632959</v>
      </c>
      <c r="C78" s="18">
        <v>80.58500377226963</v>
      </c>
      <c r="D78" s="18">
        <v>85.373257464103659</v>
      </c>
      <c r="E78" s="18">
        <v>86.478947857860248</v>
      </c>
      <c r="F78" s="18">
        <v>66.778711948183371</v>
      </c>
      <c r="G78" s="18">
        <v>77.698458663311541</v>
      </c>
      <c r="H78" s="18">
        <v>79.568449943736951</v>
      </c>
      <c r="I78" s="18">
        <v>67.684162226053573</v>
      </c>
      <c r="J78" s="18">
        <v>86.956280630135879</v>
      </c>
      <c r="K78" s="18">
        <v>78.893008454535106</v>
      </c>
      <c r="L78" s="18">
        <v>79.016877959307266</v>
      </c>
      <c r="M78" s="18">
        <v>85.491929000772814</v>
      </c>
      <c r="N78" s="18">
        <v>79.074244139413395</v>
      </c>
      <c r="P78" s="18">
        <v>86.625967947856211</v>
      </c>
      <c r="Q78" s="18">
        <v>87.753787394846029</v>
      </c>
      <c r="R78" s="18">
        <v>91.644863978979714</v>
      </c>
      <c r="S78" s="18">
        <v>91.252413361122407</v>
      </c>
      <c r="T78" s="18">
        <v>68.150187932917632</v>
      </c>
      <c r="U78" s="18">
        <v>82.753002982578977</v>
      </c>
      <c r="V78" s="18">
        <v>82.03047681136465</v>
      </c>
      <c r="W78" s="18">
        <v>68.896481295068696</v>
      </c>
      <c r="X78" s="18">
        <v>87.30245462321345</v>
      </c>
      <c r="Y78" s="18">
        <v>82.584771420214565</v>
      </c>
      <c r="Z78" s="18">
        <v>79.489024256926271</v>
      </c>
      <c r="AA78" s="18">
        <v>83.331997256360296</v>
      </c>
      <c r="AB78" s="18">
        <v>82.998510632951906</v>
      </c>
    </row>
    <row r="79" spans="1:28">
      <c r="A79" s="17">
        <f t="shared" si="1"/>
        <v>40603</v>
      </c>
      <c r="B79" s="18">
        <v>82.562199940941014</v>
      </c>
      <c r="C79" s="18">
        <v>89.540850033735225</v>
      </c>
      <c r="D79" s="18">
        <v>95.094853855032127</v>
      </c>
      <c r="E79" s="18">
        <v>95.904438421169473</v>
      </c>
      <c r="F79" s="18">
        <v>63.51328652386492</v>
      </c>
      <c r="G79" s="18">
        <v>79.364405542939082</v>
      </c>
      <c r="H79" s="18">
        <v>81.201271511670797</v>
      </c>
      <c r="I79" s="18">
        <v>72.275020045125345</v>
      </c>
      <c r="J79" s="18">
        <v>86.919574332607425</v>
      </c>
      <c r="K79" s="18">
        <v>83.029255358010303</v>
      </c>
      <c r="L79" s="18">
        <v>82.511547646119226</v>
      </c>
      <c r="M79" s="18">
        <v>81.276088541351783</v>
      </c>
      <c r="N79" s="18">
        <v>83.066890722683155</v>
      </c>
      <c r="P79" s="18">
        <v>84.530783394242263</v>
      </c>
      <c r="Q79" s="18">
        <v>89.218621655964142</v>
      </c>
      <c r="R79" s="18">
        <v>94.427248777920752</v>
      </c>
      <c r="S79" s="18">
        <v>92.557587968139771</v>
      </c>
      <c r="T79" s="18">
        <v>69.220921870882989</v>
      </c>
      <c r="U79" s="18">
        <v>83.36999690153786</v>
      </c>
      <c r="V79" s="18">
        <v>82.711217712470443</v>
      </c>
      <c r="W79" s="18">
        <v>68.871710242966415</v>
      </c>
      <c r="X79" s="18">
        <v>87.496629289486108</v>
      </c>
      <c r="Y79" s="18">
        <v>83.09712620768606</v>
      </c>
      <c r="Z79" s="18">
        <v>79.614899463117112</v>
      </c>
      <c r="AA79" s="18">
        <v>84.406160866076647</v>
      </c>
      <c r="AB79" s="18">
        <v>83.701265938144502</v>
      </c>
    </row>
    <row r="80" spans="1:28">
      <c r="A80" s="17">
        <f t="shared" si="1"/>
        <v>40634</v>
      </c>
      <c r="B80" s="18">
        <v>76.223889520650317</v>
      </c>
      <c r="C80" s="18">
        <v>89.988813693537153</v>
      </c>
      <c r="D80" s="18">
        <v>86.332275382549057</v>
      </c>
      <c r="E80" s="18">
        <v>88.41107828013368</v>
      </c>
      <c r="F80" s="18">
        <v>62.993471664950775</v>
      </c>
      <c r="G80" s="18">
        <v>83.976676901113734</v>
      </c>
      <c r="H80" s="18">
        <v>77.796464256477663</v>
      </c>
      <c r="I80" s="18">
        <v>66.959249819616844</v>
      </c>
      <c r="J80" s="18">
        <v>87.131425643625676</v>
      </c>
      <c r="K80" s="18">
        <v>78.524950397516491</v>
      </c>
      <c r="L80" s="18">
        <v>75.204521801389134</v>
      </c>
      <c r="M80" s="18">
        <v>86.01650691893488</v>
      </c>
      <c r="N80" s="18">
        <v>80.419265167217745</v>
      </c>
      <c r="P80" s="18">
        <v>82.31569366197246</v>
      </c>
      <c r="Q80" s="18">
        <v>89.888908654544096</v>
      </c>
      <c r="R80" s="18">
        <v>91.296446008118863</v>
      </c>
      <c r="S80" s="18">
        <v>91.163549956515723</v>
      </c>
      <c r="T80" s="18">
        <v>70.232397209779663</v>
      </c>
      <c r="U80" s="18">
        <v>84.975141979936623</v>
      </c>
      <c r="V80" s="18">
        <v>82.22406812012639</v>
      </c>
      <c r="W80" s="18">
        <v>68.778091833711301</v>
      </c>
      <c r="X80" s="18">
        <v>87.717303040553091</v>
      </c>
      <c r="Y80" s="18">
        <v>83.545521962523722</v>
      </c>
      <c r="Z80" s="18">
        <v>79.609291830309274</v>
      </c>
      <c r="AA80" s="18">
        <v>85.469966981640638</v>
      </c>
      <c r="AB80" s="18">
        <v>83.811285976406182</v>
      </c>
    </row>
    <row r="81" spans="1:28">
      <c r="A81" s="17">
        <f t="shared" si="1"/>
        <v>40664</v>
      </c>
      <c r="B81" s="18">
        <v>84.615262111690498</v>
      </c>
      <c r="C81" s="18">
        <v>92.561039543247816</v>
      </c>
      <c r="D81" s="18">
        <v>93.067975909652318</v>
      </c>
      <c r="E81" s="18">
        <v>94.353995574379624</v>
      </c>
      <c r="F81" s="18">
        <v>78.484627107799042</v>
      </c>
      <c r="G81" s="18">
        <v>81.745347993656097</v>
      </c>
      <c r="H81" s="18">
        <v>80.779219450674915</v>
      </c>
      <c r="I81" s="18">
        <v>72.792201818010852</v>
      </c>
      <c r="J81" s="18">
        <v>88.001084430617013</v>
      </c>
      <c r="K81" s="18">
        <v>81.222123789137839</v>
      </c>
      <c r="L81" s="18">
        <v>75.984394734044258</v>
      </c>
      <c r="M81" s="18">
        <v>82.635431687850797</v>
      </c>
      <c r="N81" s="18">
        <v>83.69563145263983</v>
      </c>
      <c r="P81" s="18">
        <v>83.620998488227642</v>
      </c>
      <c r="Q81" s="18">
        <v>91.205169834180452</v>
      </c>
      <c r="R81" s="18">
        <v>92.980834978248325</v>
      </c>
      <c r="S81" s="18">
        <v>91.487227935933745</v>
      </c>
      <c r="T81" s="18">
        <v>70.540686796901412</v>
      </c>
      <c r="U81" s="18">
        <v>83.932369820603398</v>
      </c>
      <c r="V81" s="18">
        <v>82.30654251863146</v>
      </c>
      <c r="W81" s="18">
        <v>72.026891168412234</v>
      </c>
      <c r="X81" s="18">
        <v>87.914932917162332</v>
      </c>
      <c r="Y81" s="18">
        <v>83.811541443316358</v>
      </c>
      <c r="Z81" s="18">
        <v>79.733606232184712</v>
      </c>
      <c r="AA81" s="18">
        <v>86.131143097102225</v>
      </c>
      <c r="AB81" s="18">
        <v>84.147547126210753</v>
      </c>
    </row>
    <row r="82" spans="1:28">
      <c r="A82" s="17">
        <f t="shared" si="1"/>
        <v>40695</v>
      </c>
      <c r="B82" s="18">
        <v>81.07671686142919</v>
      </c>
      <c r="C82" s="18">
        <v>92.703541870983059</v>
      </c>
      <c r="D82" s="18">
        <v>92.269467608846881</v>
      </c>
      <c r="E82" s="18">
        <v>89.597300553714405</v>
      </c>
      <c r="F82" s="18">
        <v>75.892247560681454</v>
      </c>
      <c r="G82" s="18">
        <v>82.633841246324863</v>
      </c>
      <c r="H82" s="18">
        <v>83.186744767434419</v>
      </c>
      <c r="I82" s="18">
        <v>69.256779748122582</v>
      </c>
      <c r="J82" s="18">
        <v>88.220530149634726</v>
      </c>
      <c r="K82" s="18">
        <v>82.822410410355218</v>
      </c>
      <c r="L82" s="18">
        <v>79.113921959904658</v>
      </c>
      <c r="M82" s="18">
        <v>80.366670457765224</v>
      </c>
      <c r="N82" s="18">
        <v>83.658149617139813</v>
      </c>
      <c r="P82" s="18">
        <v>83.456205217706739</v>
      </c>
      <c r="Q82" s="18">
        <v>93.036471521251229</v>
      </c>
      <c r="R82" s="18">
        <v>92.341931930374955</v>
      </c>
      <c r="S82" s="18">
        <v>91.61225891040587</v>
      </c>
      <c r="T82" s="18">
        <v>72.632865737771638</v>
      </c>
      <c r="U82" s="18">
        <v>84.797215767075457</v>
      </c>
      <c r="V82" s="18">
        <v>83.234027453677413</v>
      </c>
      <c r="W82" s="18">
        <v>70.616792318897481</v>
      </c>
      <c r="X82" s="18">
        <v>88.121488592420249</v>
      </c>
      <c r="Y82" s="18">
        <v>83.985186068664859</v>
      </c>
      <c r="Z82" s="18">
        <v>80.047312705557445</v>
      </c>
      <c r="AA82" s="18">
        <v>85.202886190538123</v>
      </c>
      <c r="AB82" s="18">
        <v>84.408965000770522</v>
      </c>
    </row>
    <row r="83" spans="1:28">
      <c r="A83" s="17">
        <f t="shared" si="1"/>
        <v>40725</v>
      </c>
      <c r="B83" s="18">
        <v>88.188007643031568</v>
      </c>
      <c r="C83" s="18">
        <v>94.413413643986715</v>
      </c>
      <c r="D83" s="18">
        <v>93.997863789974943</v>
      </c>
      <c r="E83" s="18">
        <v>92.051188592262719</v>
      </c>
      <c r="F83" s="18">
        <v>62.51751857366019</v>
      </c>
      <c r="G83" s="18">
        <v>87.950337429654041</v>
      </c>
      <c r="H83" s="18">
        <v>83.524094774993245</v>
      </c>
      <c r="I83" s="18">
        <v>65.923040590962728</v>
      </c>
      <c r="J83" s="18">
        <v>88.232171983970261</v>
      </c>
      <c r="K83" s="18">
        <v>83.650610574326549</v>
      </c>
      <c r="L83" s="18">
        <v>80.933492045681376</v>
      </c>
      <c r="M83" s="18">
        <v>86.22484761596489</v>
      </c>
      <c r="N83" s="18">
        <v>85.132783384084746</v>
      </c>
      <c r="P83" s="18">
        <v>81.57318583930126</v>
      </c>
      <c r="Q83" s="18">
        <v>94.727660425465317</v>
      </c>
      <c r="R83" s="18">
        <v>91.662536156318367</v>
      </c>
      <c r="S83" s="18">
        <v>91.34069615153031</v>
      </c>
      <c r="T83" s="18">
        <v>74.560419317356931</v>
      </c>
      <c r="U83" s="18">
        <v>85.418974489430184</v>
      </c>
      <c r="V83" s="18">
        <v>86.06514808501133</v>
      </c>
      <c r="W83" s="18">
        <v>68.464111602306971</v>
      </c>
      <c r="X83" s="18">
        <v>88.334935051396485</v>
      </c>
      <c r="Y83" s="18">
        <v>84.901356884978057</v>
      </c>
      <c r="Z83" s="18">
        <v>80.373648094099636</v>
      </c>
      <c r="AA83" s="18">
        <v>84.286072525109191</v>
      </c>
      <c r="AB83" s="18">
        <v>84.877238192406068</v>
      </c>
    </row>
    <row r="84" spans="1:28">
      <c r="A84" s="17">
        <f t="shared" si="1"/>
        <v>40756</v>
      </c>
      <c r="B84" s="18">
        <v>90.791407457174273</v>
      </c>
      <c r="C84" s="18">
        <v>99.490497886273388</v>
      </c>
      <c r="D84" s="18">
        <v>98.101709208031252</v>
      </c>
      <c r="E84" s="18">
        <v>93.273426221881422</v>
      </c>
      <c r="F84" s="18">
        <v>84.140350840990351</v>
      </c>
      <c r="G84" s="18">
        <v>85.165714793773134</v>
      </c>
      <c r="H84" s="18">
        <v>84.570044305347977</v>
      </c>
      <c r="I84" s="18">
        <v>70.181079488440602</v>
      </c>
      <c r="J84" s="18">
        <v>88.579576675510452</v>
      </c>
      <c r="K84" s="18">
        <v>82.979727898272955</v>
      </c>
      <c r="L84" s="18">
        <v>75.353737124058213</v>
      </c>
      <c r="M84" s="18">
        <v>89.84697394841443</v>
      </c>
      <c r="N84" s="18">
        <v>87.064733775858357</v>
      </c>
      <c r="P84" s="18">
        <v>84.440123702284239</v>
      </c>
      <c r="Q84" s="18">
        <v>100.30047106289854</v>
      </c>
      <c r="R84" s="18">
        <v>95.898411809165452</v>
      </c>
      <c r="S84" s="18">
        <v>92.446431346178386</v>
      </c>
      <c r="T84" s="18">
        <v>75.874814475175981</v>
      </c>
      <c r="U84" s="18">
        <v>85.863738052405012</v>
      </c>
      <c r="V84" s="18">
        <v>87.074849420578133</v>
      </c>
      <c r="W84" s="18">
        <v>73.033345216044353</v>
      </c>
      <c r="X84" s="18">
        <v>88.556033798883661</v>
      </c>
      <c r="Y84" s="18">
        <v>85.692446066721899</v>
      </c>
      <c r="Z84" s="18">
        <v>80.744377177269627</v>
      </c>
      <c r="AA84" s="18">
        <v>87.078290492163006</v>
      </c>
      <c r="AB84" s="18">
        <v>86.527931169718272</v>
      </c>
    </row>
    <row r="85" spans="1:28">
      <c r="A85" s="17">
        <f t="shared" si="1"/>
        <v>40787</v>
      </c>
      <c r="B85" s="18">
        <v>92.29097622786054</v>
      </c>
      <c r="C85" s="18">
        <v>88.431122595013662</v>
      </c>
      <c r="D85" s="18">
        <v>99.273461589901885</v>
      </c>
      <c r="E85" s="18">
        <v>92.825454509912561</v>
      </c>
      <c r="F85" s="18">
        <v>82.886482634001524</v>
      </c>
      <c r="G85" s="18">
        <v>83.755479118137316</v>
      </c>
      <c r="H85" s="18">
        <v>86.145775777817775</v>
      </c>
      <c r="I85" s="18">
        <v>77.156019983497643</v>
      </c>
      <c r="J85" s="18">
        <v>88.777857661657848</v>
      </c>
      <c r="K85" s="18">
        <v>84.759738841265559</v>
      </c>
      <c r="L85" s="18">
        <v>78.932626843845753</v>
      </c>
      <c r="M85" s="18">
        <v>86.342183827398529</v>
      </c>
      <c r="N85" s="18">
        <v>86.596599559447014</v>
      </c>
      <c r="P85" s="18">
        <v>86.753606358806834</v>
      </c>
      <c r="Q85" s="18">
        <v>90.417800050179778</v>
      </c>
      <c r="R85" s="18">
        <v>95.076833307842662</v>
      </c>
      <c r="S85" s="18">
        <v>92.17868406363813</v>
      </c>
      <c r="T85" s="18">
        <v>76.98093892424977</v>
      </c>
      <c r="U85" s="18">
        <v>86.209237101175347</v>
      </c>
      <c r="V85" s="18">
        <v>84.904747824915177</v>
      </c>
      <c r="W85" s="18">
        <v>74.401443386182223</v>
      </c>
      <c r="X85" s="18">
        <v>88.77962277829505</v>
      </c>
      <c r="Y85" s="18">
        <v>86.154601642784769</v>
      </c>
      <c r="Z85" s="18">
        <v>81.199888743483925</v>
      </c>
      <c r="AA85" s="18">
        <v>87.385395129625238</v>
      </c>
      <c r="AB85" s="18">
        <v>86.086126053731078</v>
      </c>
    </row>
    <row r="86" spans="1:28">
      <c r="A86" s="17">
        <f t="shared" si="1"/>
        <v>40817</v>
      </c>
      <c r="B86" s="18">
        <v>87.656554370126202</v>
      </c>
      <c r="C86" s="18">
        <v>96.900121155071105</v>
      </c>
      <c r="D86" s="18">
        <v>96.522245839950699</v>
      </c>
      <c r="E86" s="18">
        <v>93.645785747359909</v>
      </c>
      <c r="F86" s="18">
        <v>73.45993734529624</v>
      </c>
      <c r="G86" s="18">
        <v>85.078886919187553</v>
      </c>
      <c r="H86" s="18">
        <v>88.603446837555282</v>
      </c>
      <c r="I86" s="18">
        <v>73.432337286031085</v>
      </c>
      <c r="J86" s="18">
        <v>89.029507344015073</v>
      </c>
      <c r="K86" s="18">
        <v>86.893802761873999</v>
      </c>
      <c r="L86" s="18">
        <v>77.452906410401695</v>
      </c>
      <c r="M86" s="18">
        <v>94.637520317155435</v>
      </c>
      <c r="N86" s="18">
        <v>86.806935940852014</v>
      </c>
      <c r="P86" s="18">
        <v>85.848769627057933</v>
      </c>
      <c r="Q86" s="18">
        <v>95.704720323958682</v>
      </c>
      <c r="R86" s="18">
        <v>91.90484137129188</v>
      </c>
      <c r="S86" s="18">
        <v>91.506134298396773</v>
      </c>
      <c r="T86" s="18">
        <v>76.655351117468612</v>
      </c>
      <c r="U86" s="18">
        <v>85.912055999169027</v>
      </c>
      <c r="V86" s="18">
        <v>85.771342298405102</v>
      </c>
      <c r="W86" s="18">
        <v>75.537115855241481</v>
      </c>
      <c r="X86" s="18">
        <v>89.027435164432958</v>
      </c>
      <c r="Y86" s="18">
        <v>86.426224322794454</v>
      </c>
      <c r="Z86" s="18">
        <v>81.520947762745791</v>
      </c>
      <c r="AA86" s="18">
        <v>86.778265697441483</v>
      </c>
      <c r="AB86" s="18">
        <v>86.411486043172459</v>
      </c>
    </row>
    <row r="87" spans="1:28">
      <c r="A87" s="17">
        <f t="shared" si="1"/>
        <v>40848</v>
      </c>
      <c r="B87" s="18">
        <v>85.922415213149122</v>
      </c>
      <c r="C87" s="18">
        <v>98.088970088809518</v>
      </c>
      <c r="D87" s="18">
        <v>98.119528548868828</v>
      </c>
      <c r="E87" s="18">
        <v>93.013785019569326</v>
      </c>
      <c r="F87" s="18">
        <v>94.70431291887499</v>
      </c>
      <c r="G87" s="18">
        <v>89.49256745630916</v>
      </c>
      <c r="H87" s="18">
        <v>89.544831562332931</v>
      </c>
      <c r="I87" s="18">
        <v>74.6396128777765</v>
      </c>
      <c r="J87" s="18">
        <v>89.84250646488988</v>
      </c>
      <c r="K87" s="18">
        <v>93.111106126791555</v>
      </c>
      <c r="L87" s="18">
        <v>88.343247147444004</v>
      </c>
      <c r="M87" s="18">
        <v>86.467855308574599</v>
      </c>
      <c r="N87" s="18">
        <v>90.93088370663618</v>
      </c>
      <c r="P87" s="18">
        <v>87.380675618975744</v>
      </c>
      <c r="Q87" s="18">
        <v>95.870979601290458</v>
      </c>
      <c r="R87" s="18">
        <v>94.724615500645712</v>
      </c>
      <c r="S87" s="18">
        <v>92.708969368161561</v>
      </c>
      <c r="T87" s="18">
        <v>76.331662664286554</v>
      </c>
      <c r="U87" s="18">
        <v>86.629645346583317</v>
      </c>
      <c r="V87" s="18">
        <v>85.846448019045624</v>
      </c>
      <c r="W87" s="18">
        <v>73.072306777024636</v>
      </c>
      <c r="X87" s="18">
        <v>89.26953382402273</v>
      </c>
      <c r="Y87" s="18">
        <v>86.511528532619806</v>
      </c>
      <c r="Z87" s="18">
        <v>82.348128300494977</v>
      </c>
      <c r="AA87" s="18">
        <v>86.63068974470437</v>
      </c>
      <c r="AB87" s="18">
        <v>86.752765868218162</v>
      </c>
    </row>
    <row r="88" spans="1:28">
      <c r="A88" s="17">
        <f t="shared" si="1"/>
        <v>40878</v>
      </c>
      <c r="B88" s="18">
        <v>84.051730836151791</v>
      </c>
      <c r="C88" s="18">
        <v>99.142941025439825</v>
      </c>
      <c r="D88" s="18">
        <v>96.455921183670995</v>
      </c>
      <c r="E88" s="18">
        <v>91.951890226926253</v>
      </c>
      <c r="F88" s="18">
        <v>76.284018843725775</v>
      </c>
      <c r="G88" s="18">
        <v>105.92024926653944</v>
      </c>
      <c r="H88" s="18">
        <v>99.009254233390209</v>
      </c>
      <c r="I88" s="18">
        <v>78.149949855943177</v>
      </c>
      <c r="J88" s="18">
        <v>89.990169466178116</v>
      </c>
      <c r="K88" s="18">
        <v>106.86283439287887</v>
      </c>
      <c r="L88" s="18">
        <v>102.30449972978093</v>
      </c>
      <c r="M88" s="18">
        <v>87.263273655587625</v>
      </c>
      <c r="N88" s="18">
        <v>95.527846345610072</v>
      </c>
      <c r="P88" s="18">
        <v>83.524665184430702</v>
      </c>
      <c r="Q88" s="18">
        <v>94.929041914727037</v>
      </c>
      <c r="R88" s="18">
        <v>94.421904756459796</v>
      </c>
      <c r="S88" s="18">
        <v>92.85884597193423</v>
      </c>
      <c r="T88" s="18">
        <v>76.813494269352631</v>
      </c>
      <c r="U88" s="18">
        <v>86.995978195982076</v>
      </c>
      <c r="V88" s="18">
        <v>85.46679134945505</v>
      </c>
      <c r="W88" s="18">
        <v>73.730965059245747</v>
      </c>
      <c r="X88" s="18">
        <v>89.50662362703936</v>
      </c>
      <c r="Y88" s="18">
        <v>87.15024988059929</v>
      </c>
      <c r="Z88" s="18">
        <v>82.809424746080353</v>
      </c>
      <c r="AA88" s="18">
        <v>84.273391573163565</v>
      </c>
      <c r="AB88" s="18">
        <v>86.850907930521188</v>
      </c>
    </row>
    <row r="89" spans="1:28">
      <c r="A89" s="17">
        <f t="shared" si="1"/>
        <v>40909</v>
      </c>
      <c r="B89" s="18">
        <v>84.833925598035037</v>
      </c>
      <c r="C89" s="18">
        <v>98.015998771805741</v>
      </c>
      <c r="D89" s="18">
        <v>85.085076103277203</v>
      </c>
      <c r="E89" s="18">
        <v>92.08297476822203</v>
      </c>
      <c r="F89" s="18">
        <v>63.519777519971932</v>
      </c>
      <c r="G89" s="18">
        <v>79.953085243467513</v>
      </c>
      <c r="H89" s="18">
        <v>77.14705609176869</v>
      </c>
      <c r="I89" s="18">
        <v>73.086123743481153</v>
      </c>
      <c r="J89" s="18">
        <v>90.088131509115371</v>
      </c>
      <c r="K89" s="18">
        <v>77.329042639445959</v>
      </c>
      <c r="L89" s="18">
        <v>75.133679928826666</v>
      </c>
      <c r="M89" s="18">
        <v>80.470470827717406</v>
      </c>
      <c r="N89" s="18">
        <v>81.676536438097941</v>
      </c>
      <c r="P89" s="18">
        <v>85.858539735835265</v>
      </c>
      <c r="Q89" s="18">
        <v>96.588146199749559</v>
      </c>
      <c r="R89" s="18">
        <v>93.452617228903406</v>
      </c>
      <c r="S89" s="18">
        <v>92.572890866152207</v>
      </c>
      <c r="T89" s="18">
        <v>78.477440608626353</v>
      </c>
      <c r="U89" s="18">
        <v>86.504936872996993</v>
      </c>
      <c r="V89" s="18">
        <v>83.629627995555964</v>
      </c>
      <c r="W89" s="18">
        <v>74.514837515266606</v>
      </c>
      <c r="X89" s="18">
        <v>89.734956980824606</v>
      </c>
      <c r="Y89" s="18">
        <v>86.993093027697228</v>
      </c>
      <c r="Z89" s="18">
        <v>83.182443192612737</v>
      </c>
      <c r="AA89" s="18">
        <v>86.466447671520513</v>
      </c>
      <c r="AB89" s="18">
        <v>87.491248465861545</v>
      </c>
    </row>
    <row r="90" spans="1:28">
      <c r="A90" s="17">
        <f t="shared" si="1"/>
        <v>40940</v>
      </c>
      <c r="B90" s="18">
        <v>78.141222784028045</v>
      </c>
      <c r="C90" s="18">
        <v>89.560689384330601</v>
      </c>
      <c r="D90" s="18">
        <v>89.843636607036004</v>
      </c>
      <c r="E90" s="18">
        <v>90.340685088306543</v>
      </c>
      <c r="F90" s="18">
        <v>79.873976796083866</v>
      </c>
      <c r="G90" s="18">
        <v>84.238948196267103</v>
      </c>
      <c r="H90" s="18">
        <v>83.349992025901003</v>
      </c>
      <c r="I90" s="18">
        <v>73.769703130411173</v>
      </c>
      <c r="J90" s="18">
        <v>89.58999854881769</v>
      </c>
      <c r="K90" s="18">
        <v>84.074321023729965</v>
      </c>
      <c r="L90" s="18">
        <v>82.894599290655009</v>
      </c>
      <c r="M90" s="18">
        <v>87.889839473615666</v>
      </c>
      <c r="N90" s="18">
        <v>84.513237617461826</v>
      </c>
      <c r="P90" s="18">
        <v>85.828911937876313</v>
      </c>
      <c r="Q90" s="18">
        <v>94.320276162956986</v>
      </c>
      <c r="R90" s="18">
        <v>94.052506926177017</v>
      </c>
      <c r="S90" s="18">
        <v>92.806703519341866</v>
      </c>
      <c r="T90" s="18">
        <v>80.456883893046907</v>
      </c>
      <c r="U90" s="18">
        <v>87.275692216119594</v>
      </c>
      <c r="V90" s="18">
        <v>84.603789429761051</v>
      </c>
      <c r="W90" s="18">
        <v>75.40998988022281</v>
      </c>
      <c r="X90" s="18">
        <v>89.958587369351193</v>
      </c>
      <c r="Y90" s="18">
        <v>88.194175598291352</v>
      </c>
      <c r="Z90" s="18">
        <v>83.647236564942844</v>
      </c>
      <c r="AA90" s="18">
        <v>85.648249036262484</v>
      </c>
      <c r="AB90" s="18">
        <v>87.668646384254572</v>
      </c>
    </row>
    <row r="91" spans="1:28">
      <c r="A91" s="17">
        <f t="shared" si="1"/>
        <v>40969</v>
      </c>
      <c r="B91" s="18">
        <v>85.397091224072312</v>
      </c>
      <c r="C91" s="18">
        <v>97.864427834902742</v>
      </c>
      <c r="D91" s="18">
        <v>96.203113139869771</v>
      </c>
      <c r="E91" s="18">
        <v>97.305724934561695</v>
      </c>
      <c r="F91" s="18">
        <v>78.039712373744692</v>
      </c>
      <c r="G91" s="18">
        <v>84.214243974558755</v>
      </c>
      <c r="H91" s="18">
        <v>82.689516051612031</v>
      </c>
      <c r="I91" s="18">
        <v>78.793515324920733</v>
      </c>
      <c r="J91" s="18">
        <v>89.562733548822024</v>
      </c>
      <c r="K91" s="18">
        <v>87.700721319199872</v>
      </c>
      <c r="L91" s="18">
        <v>86.570993564308893</v>
      </c>
      <c r="M91" s="18">
        <v>83.829923689087721</v>
      </c>
      <c r="N91" s="18">
        <v>87.831554002538226</v>
      </c>
      <c r="P91" s="18">
        <v>87.10986021052058</v>
      </c>
      <c r="Q91" s="18">
        <v>97.821380807888559</v>
      </c>
      <c r="R91" s="18">
        <v>95.576291251628376</v>
      </c>
      <c r="S91" s="18">
        <v>94.297340170127669</v>
      </c>
      <c r="T91" s="18">
        <v>83.037324482253794</v>
      </c>
      <c r="U91" s="18">
        <v>88.558875975540815</v>
      </c>
      <c r="V91" s="18">
        <v>84.159355614077555</v>
      </c>
      <c r="W91" s="18">
        <v>74.62490645215675</v>
      </c>
      <c r="X91" s="18">
        <v>90.181281906590982</v>
      </c>
      <c r="Y91" s="18">
        <v>87.927894699996074</v>
      </c>
      <c r="Z91" s="18">
        <v>83.852489201273684</v>
      </c>
      <c r="AA91" s="18">
        <v>86.984484174896764</v>
      </c>
      <c r="AB91" s="18">
        <v>88.387431831829872</v>
      </c>
    </row>
    <row r="92" spans="1:28">
      <c r="A92" s="17">
        <f t="shared" si="1"/>
        <v>41000</v>
      </c>
      <c r="B92" s="18">
        <v>80.311785759566277</v>
      </c>
      <c r="C92" s="18">
        <v>96.668367765053702</v>
      </c>
      <c r="D92" s="18">
        <v>85.854473630701889</v>
      </c>
      <c r="E92" s="18">
        <v>90.179080394605521</v>
      </c>
      <c r="F92" s="18">
        <v>75.352981690617938</v>
      </c>
      <c r="G92" s="18">
        <v>85.91620818666614</v>
      </c>
      <c r="H92" s="18">
        <v>78.450231675334607</v>
      </c>
      <c r="I92" s="18">
        <v>73.671556816631551</v>
      </c>
      <c r="J92" s="18">
        <v>89.795042164759707</v>
      </c>
      <c r="K92" s="18">
        <v>82.517280181371191</v>
      </c>
      <c r="L92" s="18">
        <v>79.177716126751093</v>
      </c>
      <c r="M92" s="18">
        <v>85.175730482171303</v>
      </c>
      <c r="N92" s="18">
        <v>84.075041500098308</v>
      </c>
      <c r="P92" s="18">
        <v>86.527297405145191</v>
      </c>
      <c r="Q92" s="18">
        <v>97.135918271066174</v>
      </c>
      <c r="R92" s="18">
        <v>91.213982029271975</v>
      </c>
      <c r="S92" s="18">
        <v>93.271795006957447</v>
      </c>
      <c r="T92" s="18">
        <v>83.247908218866456</v>
      </c>
      <c r="U92" s="18">
        <v>87.062647231723162</v>
      </c>
      <c r="V92" s="18">
        <v>83.213878454449656</v>
      </c>
      <c r="W92" s="18">
        <v>75.089294879103036</v>
      </c>
      <c r="X92" s="18">
        <v>90.402592894480819</v>
      </c>
      <c r="Y92" s="18">
        <v>87.86520711011957</v>
      </c>
      <c r="Z92" s="18">
        <v>83.920686849823596</v>
      </c>
      <c r="AA92" s="18">
        <v>84.989440891623161</v>
      </c>
      <c r="AB92" s="18">
        <v>87.718354068651763</v>
      </c>
    </row>
    <row r="93" spans="1:28">
      <c r="A93" s="17">
        <f t="shared" si="1"/>
        <v>41030</v>
      </c>
      <c r="B93" s="18">
        <v>88.826203684659106</v>
      </c>
      <c r="C93" s="18">
        <v>98.06399904866548</v>
      </c>
      <c r="D93" s="18">
        <v>93.923955043633526</v>
      </c>
      <c r="E93" s="18">
        <v>96.305764130917154</v>
      </c>
      <c r="F93" s="18">
        <v>91.70581051828195</v>
      </c>
      <c r="G93" s="18">
        <v>85.379504236379816</v>
      </c>
      <c r="H93" s="18">
        <v>82.128277086874633</v>
      </c>
      <c r="I93" s="18">
        <v>79.052944555554944</v>
      </c>
      <c r="J93" s="18">
        <v>90.727365151810048</v>
      </c>
      <c r="K93" s="18">
        <v>85.681582408369934</v>
      </c>
      <c r="L93" s="18">
        <v>80.239333994429842</v>
      </c>
      <c r="M93" s="18">
        <v>83.438779694960758</v>
      </c>
      <c r="N93" s="18">
        <v>87.932446002178281</v>
      </c>
      <c r="P93" s="18">
        <v>87.591720652945398</v>
      </c>
      <c r="Q93" s="18">
        <v>97.072738601290794</v>
      </c>
      <c r="R93" s="18">
        <v>94.168251262553412</v>
      </c>
      <c r="S93" s="18">
        <v>93.691200490148148</v>
      </c>
      <c r="T93" s="18">
        <v>81.530409891727658</v>
      </c>
      <c r="U93" s="18">
        <v>88.022047689444548</v>
      </c>
      <c r="V93" s="18">
        <v>84.167329021258226</v>
      </c>
      <c r="W93" s="18">
        <v>78.059618017050909</v>
      </c>
      <c r="X93" s="18">
        <v>90.650924342561083</v>
      </c>
      <c r="Y93" s="18">
        <v>88.467909290699083</v>
      </c>
      <c r="Z93" s="18">
        <v>84.196361531879106</v>
      </c>
      <c r="AA93" s="18">
        <v>87.26361071960774</v>
      </c>
      <c r="AB93" s="18">
        <v>88.475520063410713</v>
      </c>
    </row>
    <row r="94" spans="1:28">
      <c r="A94" s="17">
        <f t="shared" si="1"/>
        <v>41061</v>
      </c>
      <c r="B94" s="18">
        <v>85.672987146197187</v>
      </c>
      <c r="C94" s="18">
        <v>96.220319983736928</v>
      </c>
      <c r="D94" s="18">
        <v>95.075263149906192</v>
      </c>
      <c r="E94" s="18">
        <v>92.048961385119725</v>
      </c>
      <c r="F94" s="18">
        <v>82.615288572233609</v>
      </c>
      <c r="G94" s="18">
        <v>87.318355529308647</v>
      </c>
      <c r="H94" s="18">
        <v>83.589612882001774</v>
      </c>
      <c r="I94" s="18">
        <v>75.808543128360199</v>
      </c>
      <c r="J94" s="18">
        <v>91.012326788839886</v>
      </c>
      <c r="K94" s="18">
        <v>87.401496233652864</v>
      </c>
      <c r="L94" s="18">
        <v>83.532824436029401</v>
      </c>
      <c r="M94" s="18">
        <v>84.162071830454195</v>
      </c>
      <c r="N94" s="18">
        <v>87.82308105504157</v>
      </c>
      <c r="P94" s="18">
        <v>87.642754338583671</v>
      </c>
      <c r="Q94" s="18">
        <v>97.133058935372802</v>
      </c>
      <c r="R94" s="18">
        <v>95.648166883013502</v>
      </c>
      <c r="S94" s="18">
        <v>94.188695407144124</v>
      </c>
      <c r="T94" s="18">
        <v>78.712028924927921</v>
      </c>
      <c r="U94" s="18">
        <v>89.558034741006892</v>
      </c>
      <c r="V94" s="18">
        <v>84.049858384297167</v>
      </c>
      <c r="W94" s="18">
        <v>77.119747139481731</v>
      </c>
      <c r="X94" s="18">
        <v>90.920379069967822</v>
      </c>
      <c r="Y94" s="18">
        <v>88.483049472890684</v>
      </c>
      <c r="Z94" s="18">
        <v>84.432440586474129</v>
      </c>
      <c r="AA94" s="18">
        <v>89.433464860353482</v>
      </c>
      <c r="AB94" s="18">
        <v>88.5138285877361</v>
      </c>
    </row>
    <row r="95" spans="1:28">
      <c r="A95" s="17">
        <f t="shared" si="1"/>
        <v>41091</v>
      </c>
      <c r="B95" s="18">
        <v>94.22234617357681</v>
      </c>
      <c r="C95" s="18">
        <v>97.09078180322922</v>
      </c>
      <c r="D95" s="18">
        <v>95.761408295169304</v>
      </c>
      <c r="E95" s="18">
        <v>94.83944081534878</v>
      </c>
      <c r="F95" s="18">
        <v>61.071050951431019</v>
      </c>
      <c r="G95" s="18">
        <v>91.235120065701565</v>
      </c>
      <c r="H95" s="18">
        <v>81.389368896032906</v>
      </c>
      <c r="I95" s="18">
        <v>74.506260945637663</v>
      </c>
      <c r="J95" s="18">
        <v>91.105623250503911</v>
      </c>
      <c r="K95" s="18">
        <v>87.430601285016607</v>
      </c>
      <c r="L95" s="18">
        <v>85.517736916369557</v>
      </c>
      <c r="M95" s="18">
        <v>91.966138797755931</v>
      </c>
      <c r="N95" s="18">
        <v>88.265106378824285</v>
      </c>
      <c r="P95" s="18">
        <v>87.579740389728954</v>
      </c>
      <c r="Q95" s="18">
        <v>97.889340839414643</v>
      </c>
      <c r="R95" s="18">
        <v>93.301914586603914</v>
      </c>
      <c r="S95" s="18">
        <v>94.171270770861199</v>
      </c>
      <c r="T95" s="18">
        <v>72.176159081486119</v>
      </c>
      <c r="U95" s="18">
        <v>88.47158866888995</v>
      </c>
      <c r="V95" s="18">
        <v>84.197468978976019</v>
      </c>
      <c r="W95" s="18">
        <v>77.210019763359412</v>
      </c>
      <c r="X95" s="18">
        <v>91.218856263233903</v>
      </c>
      <c r="Y95" s="18">
        <v>88.764259665471243</v>
      </c>
      <c r="Z95" s="18">
        <v>84.918758745750992</v>
      </c>
      <c r="AA95" s="18">
        <v>89.863121129610249</v>
      </c>
      <c r="AB95" s="18">
        <v>88.002993883783461</v>
      </c>
    </row>
    <row r="96" spans="1:28">
      <c r="A96" s="17">
        <f t="shared" si="1"/>
        <v>41122</v>
      </c>
      <c r="B96" s="18">
        <v>92.18898990773414</v>
      </c>
      <c r="C96" s="18">
        <v>94.009047961605958</v>
      </c>
      <c r="D96" s="18">
        <v>97.119383531049507</v>
      </c>
      <c r="E96" s="18">
        <v>95.025979998978158</v>
      </c>
      <c r="F96" s="18">
        <v>75.66829043917889</v>
      </c>
      <c r="G96" s="18">
        <v>86.186849568857099</v>
      </c>
      <c r="H96" s="18">
        <v>82.005643197634498</v>
      </c>
      <c r="I96" s="18">
        <v>74.574867756353498</v>
      </c>
      <c r="J96" s="18">
        <v>91.507260401781693</v>
      </c>
      <c r="K96" s="18">
        <v>85.742519112499579</v>
      </c>
      <c r="L96" s="18">
        <v>79.97108213313517</v>
      </c>
      <c r="M96" s="18">
        <v>93.544789164614556</v>
      </c>
      <c r="N96" s="18">
        <v>87.370968505563155</v>
      </c>
      <c r="P96" s="18">
        <v>86.153511997171137</v>
      </c>
      <c r="Q96" s="18">
        <v>95.375259824093078</v>
      </c>
      <c r="R96" s="18">
        <v>95.112515470226938</v>
      </c>
      <c r="S96" s="18">
        <v>94.318045804615252</v>
      </c>
      <c r="T96" s="18">
        <v>67.62381404056822</v>
      </c>
      <c r="U96" s="18">
        <v>87.296077438083145</v>
      </c>
      <c r="V96" s="18">
        <v>84.672295211726237</v>
      </c>
      <c r="W96" s="18">
        <v>77.069536773651436</v>
      </c>
      <c r="X96" s="18">
        <v>91.481107507276874</v>
      </c>
      <c r="Y96" s="18">
        <v>88.344075787992992</v>
      </c>
      <c r="Z96" s="18">
        <v>85.520062280115923</v>
      </c>
      <c r="AA96" s="18">
        <v>90.153259787806846</v>
      </c>
      <c r="AB96" s="18">
        <v>86.779684501517124</v>
      </c>
    </row>
    <row r="97" spans="1:28">
      <c r="A97" s="17">
        <f t="shared" si="1"/>
        <v>41153</v>
      </c>
      <c r="B97" s="18">
        <v>91.448649814373965</v>
      </c>
      <c r="C97" s="18">
        <v>97.068595491386063</v>
      </c>
      <c r="D97" s="18">
        <v>98.392613934450125</v>
      </c>
      <c r="E97" s="18">
        <v>95.117002083080308</v>
      </c>
      <c r="F97" s="18">
        <v>75.309272778585424</v>
      </c>
      <c r="G97" s="18">
        <v>86.115009064140295</v>
      </c>
      <c r="H97" s="18">
        <v>86.771307418926099</v>
      </c>
      <c r="I97" s="18">
        <v>78.858241111285395</v>
      </c>
      <c r="J97" s="18">
        <v>91.71543392551223</v>
      </c>
      <c r="K97" s="18">
        <v>88.255430827897698</v>
      </c>
      <c r="L97" s="18">
        <v>83.864088803624824</v>
      </c>
      <c r="M97" s="18">
        <v>89.391468295970782</v>
      </c>
      <c r="N97" s="18">
        <v>88.845808527261028</v>
      </c>
      <c r="P97" s="18">
        <v>86.280964681582333</v>
      </c>
      <c r="Q97" s="18">
        <v>99.517493473952598</v>
      </c>
      <c r="R97" s="18">
        <v>94.3876697454739</v>
      </c>
      <c r="S97" s="18">
        <v>94.56195588402791</v>
      </c>
      <c r="T97" s="18">
        <v>70.12693260086219</v>
      </c>
      <c r="U97" s="18">
        <v>88.993493384019544</v>
      </c>
      <c r="V97" s="18">
        <v>85.860241265142548</v>
      </c>
      <c r="W97" s="18">
        <v>76.773915840100841</v>
      </c>
      <c r="X97" s="18">
        <v>91.702275463399559</v>
      </c>
      <c r="Y97" s="18">
        <v>89.494660745589727</v>
      </c>
      <c r="Z97" s="18">
        <v>86.085247886911716</v>
      </c>
      <c r="AA97" s="18">
        <v>90.191192422502027</v>
      </c>
      <c r="AB97" s="18">
        <v>88.553424373203242</v>
      </c>
    </row>
    <row r="98" spans="1:28">
      <c r="A98" s="17">
        <f t="shared" si="1"/>
        <v>41183</v>
      </c>
      <c r="B98" s="18">
        <v>87.662045740585981</v>
      </c>
      <c r="C98" s="18">
        <v>99.602197898082281</v>
      </c>
      <c r="D98" s="18">
        <v>98.567506929335408</v>
      </c>
      <c r="E98" s="18">
        <v>95.299346628299034</v>
      </c>
      <c r="F98" s="18">
        <v>71.028457880190103</v>
      </c>
      <c r="G98" s="18">
        <v>86.557540071612948</v>
      </c>
      <c r="H98" s="18">
        <v>89.536333709293544</v>
      </c>
      <c r="I98" s="18">
        <v>73.587859657084536</v>
      </c>
      <c r="J98" s="18">
        <v>91.940684482547681</v>
      </c>
      <c r="K98" s="18">
        <v>90.17630443765762</v>
      </c>
      <c r="L98" s="18">
        <v>82.382964748198404</v>
      </c>
      <c r="M98" s="18">
        <v>97.331194669402663</v>
      </c>
      <c r="N98" s="18">
        <v>88.738931083629723</v>
      </c>
      <c r="P98" s="18">
        <v>86.209929623068319</v>
      </c>
      <c r="Q98" s="18">
        <v>98.506741578324323</v>
      </c>
      <c r="R98" s="18">
        <v>94.283272916848944</v>
      </c>
      <c r="S98" s="18">
        <v>93.538475720004641</v>
      </c>
      <c r="T98" s="18">
        <v>75.475857388730503</v>
      </c>
      <c r="U98" s="18">
        <v>87.855120475802124</v>
      </c>
      <c r="V98" s="18">
        <v>86.65465667590604</v>
      </c>
      <c r="W98" s="18">
        <v>75.720606896191569</v>
      </c>
      <c r="X98" s="18">
        <v>91.915928394188498</v>
      </c>
      <c r="Y98" s="18">
        <v>89.531774562385706</v>
      </c>
      <c r="Z98" s="18">
        <v>86.513063307979849</v>
      </c>
      <c r="AA98" s="18">
        <v>89.050132246629119</v>
      </c>
      <c r="AB98" s="18">
        <v>88.679968850325324</v>
      </c>
    </row>
    <row r="99" spans="1:28">
      <c r="A99" s="17">
        <f t="shared" si="1"/>
        <v>41214</v>
      </c>
      <c r="B99" s="18">
        <v>85.599680457739382</v>
      </c>
      <c r="C99" s="18">
        <v>102.30698553946944</v>
      </c>
      <c r="D99" s="18">
        <v>96.891693547366202</v>
      </c>
      <c r="E99" s="18">
        <v>94.435218459584732</v>
      </c>
      <c r="F99" s="18">
        <v>98.416678591372147</v>
      </c>
      <c r="G99" s="18">
        <v>92.403566545949602</v>
      </c>
      <c r="H99" s="18">
        <v>91.326495018169226</v>
      </c>
      <c r="I99" s="18">
        <v>78.991425286433881</v>
      </c>
      <c r="J99" s="18">
        <v>92.746375639083325</v>
      </c>
      <c r="K99" s="18">
        <v>96.948873230526218</v>
      </c>
      <c r="L99" s="18">
        <v>93.499249696813294</v>
      </c>
      <c r="M99" s="18">
        <v>87.737347902119467</v>
      </c>
      <c r="N99" s="18">
        <v>93.59522315522689</v>
      </c>
      <c r="P99" s="18">
        <v>87.308409496767354</v>
      </c>
      <c r="Q99" s="18">
        <v>100.16907615768605</v>
      </c>
      <c r="R99" s="18">
        <v>93.681982520911717</v>
      </c>
      <c r="S99" s="18">
        <v>94.435933078833543</v>
      </c>
      <c r="T99" s="18">
        <v>80.401993635388592</v>
      </c>
      <c r="U99" s="18">
        <v>89.403609665242342</v>
      </c>
      <c r="V99" s="18">
        <v>87.727762472716847</v>
      </c>
      <c r="W99" s="18">
        <v>77.996259485448533</v>
      </c>
      <c r="X99" s="18">
        <v>92.133938603531547</v>
      </c>
      <c r="Y99" s="18">
        <v>89.913219714547338</v>
      </c>
      <c r="Z99" s="18">
        <v>87.106528343106476</v>
      </c>
      <c r="AA99" s="18">
        <v>88.001824021058596</v>
      </c>
      <c r="AB99" s="18">
        <v>89.334885729174246</v>
      </c>
    </row>
    <row r="100" spans="1:28">
      <c r="A100" s="17">
        <f t="shared" si="1"/>
        <v>41244</v>
      </c>
      <c r="B100" s="18">
        <v>86.132275599383917</v>
      </c>
      <c r="C100" s="18">
        <v>100.97562486265849</v>
      </c>
      <c r="D100" s="18">
        <v>93.662539287555646</v>
      </c>
      <c r="E100" s="18">
        <v>93.60220271059336</v>
      </c>
      <c r="F100" s="18">
        <v>78.813883997813761</v>
      </c>
      <c r="G100" s="18">
        <v>108.92252361786919</v>
      </c>
      <c r="H100" s="18">
        <v>104.02758450160255</v>
      </c>
      <c r="I100" s="18">
        <v>86.188974684035131</v>
      </c>
      <c r="J100" s="18">
        <v>92.866382268320677</v>
      </c>
      <c r="K100" s="18">
        <v>111.14801631652405</v>
      </c>
      <c r="L100" s="18">
        <v>107.40363688940261</v>
      </c>
      <c r="M100" s="18">
        <v>89.345250124191935</v>
      </c>
      <c r="N100" s="18">
        <v>98.121486753786613</v>
      </c>
      <c r="P100" s="18">
        <v>86.345563420727942</v>
      </c>
      <c r="Q100" s="18">
        <v>95.917605493131973</v>
      </c>
      <c r="R100" s="18">
        <v>91.50149237773725</v>
      </c>
      <c r="S100" s="18">
        <v>94.728074679402027</v>
      </c>
      <c r="T100" s="18">
        <v>80.148429343020709</v>
      </c>
      <c r="U100" s="18">
        <v>89.438829941908054</v>
      </c>
      <c r="V100" s="18">
        <v>89.475155051283025</v>
      </c>
      <c r="W100" s="18">
        <v>81.301283498155925</v>
      </c>
      <c r="X100" s="18">
        <v>92.35652888450737</v>
      </c>
      <c r="Y100" s="18">
        <v>90.426869340210686</v>
      </c>
      <c r="Z100" s="18">
        <v>86.812588037672711</v>
      </c>
      <c r="AA100" s="18">
        <v>86.237777990189571</v>
      </c>
      <c r="AB100" s="18">
        <v>89.183434279959883</v>
      </c>
    </row>
    <row r="101" spans="1:28">
      <c r="A101" s="17">
        <f t="shared" si="1"/>
        <v>41275</v>
      </c>
      <c r="B101" s="18">
        <v>90.91637329606128</v>
      </c>
      <c r="C101" s="18">
        <v>106.09104113672365</v>
      </c>
      <c r="D101" s="18">
        <v>85.548138653494405</v>
      </c>
      <c r="E101" s="18">
        <v>95.664169852576336</v>
      </c>
      <c r="F101" s="18">
        <v>65.490827586854593</v>
      </c>
      <c r="G101" s="18">
        <v>83.421113193791527</v>
      </c>
      <c r="H101" s="18">
        <v>83.368065492440081</v>
      </c>
      <c r="I101" s="18">
        <v>78.69291751679242</v>
      </c>
      <c r="J101" s="18">
        <v>92.941092784979162</v>
      </c>
      <c r="K101" s="18">
        <v>80.105903477190836</v>
      </c>
      <c r="L101" s="18">
        <v>78.352951930713658</v>
      </c>
      <c r="M101" s="18">
        <v>82.950851342636923</v>
      </c>
      <c r="N101" s="18">
        <v>85.150639757556561</v>
      </c>
      <c r="P101" s="18">
        <v>91.639603901352629</v>
      </c>
      <c r="Q101" s="18">
        <v>104.18637191608352</v>
      </c>
      <c r="R101" s="18">
        <v>93.878011251793353</v>
      </c>
      <c r="S101" s="18">
        <v>96.084565884561911</v>
      </c>
      <c r="T101" s="18">
        <v>80.846696175354893</v>
      </c>
      <c r="U101" s="18">
        <v>90.513114345728795</v>
      </c>
      <c r="V101" s="18">
        <v>90.573630049099989</v>
      </c>
      <c r="W101" s="18">
        <v>80.335339997972852</v>
      </c>
      <c r="X101" s="18">
        <v>92.583613275212414</v>
      </c>
      <c r="Y101" s="18">
        <v>90.417591748351271</v>
      </c>
      <c r="Z101" s="18">
        <v>86.947738274203672</v>
      </c>
      <c r="AA101" s="18">
        <v>89.314921319223359</v>
      </c>
      <c r="AB101" s="18">
        <v>91.318616870659838</v>
      </c>
    </row>
    <row r="102" spans="1:28">
      <c r="A102" s="17">
        <f t="shared" si="1"/>
        <v>41306</v>
      </c>
      <c r="B102" s="18">
        <v>81.212898733441889</v>
      </c>
      <c r="C102" s="18">
        <v>90.041928678347617</v>
      </c>
      <c r="D102" s="18">
        <v>87.093388318669071</v>
      </c>
      <c r="E102" s="18">
        <v>91.410009916092491</v>
      </c>
      <c r="F102" s="18">
        <v>81.586006356416121</v>
      </c>
      <c r="G102" s="18">
        <v>85.852208076768093</v>
      </c>
      <c r="H102" s="18">
        <v>88.034559545061768</v>
      </c>
      <c r="I102" s="18">
        <v>80.1730085677478</v>
      </c>
      <c r="J102" s="18">
        <v>92.43822094047573</v>
      </c>
      <c r="K102" s="18">
        <v>86.15211104881206</v>
      </c>
      <c r="L102" s="18">
        <v>85.791338148827435</v>
      </c>
      <c r="M102" s="18">
        <v>93.938344069909135</v>
      </c>
      <c r="N102" s="18">
        <v>86.444856135546729</v>
      </c>
      <c r="P102" s="18">
        <v>88.632095432816143</v>
      </c>
      <c r="Q102" s="18">
        <v>97.679900711378593</v>
      </c>
      <c r="R102" s="18">
        <v>94.249025977879512</v>
      </c>
      <c r="S102" s="18">
        <v>96.163743642970957</v>
      </c>
      <c r="T102" s="18">
        <v>81.273034168386985</v>
      </c>
      <c r="U102" s="18">
        <v>90.980925501630693</v>
      </c>
      <c r="V102" s="18">
        <v>90.630240028694828</v>
      </c>
      <c r="W102" s="18">
        <v>81.996635270067728</v>
      </c>
      <c r="X102" s="18">
        <v>92.834203781159573</v>
      </c>
      <c r="Y102" s="18">
        <v>90.75906393361862</v>
      </c>
      <c r="Z102" s="18">
        <v>86.984133726234077</v>
      </c>
      <c r="AA102" s="18">
        <v>91.220589464816641</v>
      </c>
      <c r="AB102" s="18">
        <v>90.726823647483542</v>
      </c>
    </row>
    <row r="103" spans="1:28">
      <c r="A103" s="17">
        <f t="shared" si="1"/>
        <v>41334</v>
      </c>
      <c r="B103" s="18">
        <v>84.847080883138318</v>
      </c>
      <c r="C103" s="18">
        <v>97.82403082512991</v>
      </c>
      <c r="D103" s="18">
        <v>86.846796956019631</v>
      </c>
      <c r="E103" s="18">
        <v>98.167662401539985</v>
      </c>
      <c r="F103" s="18">
        <v>78.164777249846722</v>
      </c>
      <c r="G103" s="18">
        <v>85.789693427372384</v>
      </c>
      <c r="H103" s="18">
        <v>87.523124529775998</v>
      </c>
      <c r="I103" s="18">
        <v>89.105061859541351</v>
      </c>
      <c r="J103" s="18">
        <v>92.454683024363362</v>
      </c>
      <c r="K103" s="18">
        <v>90.053150801923806</v>
      </c>
      <c r="L103" s="18">
        <v>90.057618708373781</v>
      </c>
      <c r="M103" s="18">
        <v>88.000782120812502</v>
      </c>
      <c r="N103" s="18">
        <v>88.579576474698641</v>
      </c>
      <c r="P103" s="18">
        <v>90.721316146308055</v>
      </c>
      <c r="Q103" s="18">
        <v>97.704708152133136</v>
      </c>
      <c r="R103" s="18">
        <v>90.289451037840891</v>
      </c>
      <c r="S103" s="18">
        <v>96.14980538506876</v>
      </c>
      <c r="T103" s="18">
        <v>82.092559101508726</v>
      </c>
      <c r="U103" s="18">
        <v>90.858203493723394</v>
      </c>
      <c r="V103" s="18">
        <v>88.948668651508896</v>
      </c>
      <c r="W103" s="18">
        <v>84.01967536914843</v>
      </c>
      <c r="X103" s="18">
        <v>93.116860327057907</v>
      </c>
      <c r="Y103" s="18">
        <v>90.622714464019595</v>
      </c>
      <c r="Z103" s="18">
        <v>87.639506249806004</v>
      </c>
      <c r="AA103" s="18">
        <v>91.461268120218179</v>
      </c>
      <c r="AB103" s="18">
        <v>90.358877654671076</v>
      </c>
    </row>
    <row r="104" spans="1:28">
      <c r="A104" s="17">
        <f t="shared" si="1"/>
        <v>41365</v>
      </c>
      <c r="B104" s="18">
        <v>94.531704277450856</v>
      </c>
      <c r="C104" s="18">
        <v>99.520705024700234</v>
      </c>
      <c r="D104" s="18">
        <v>95.753596084468711</v>
      </c>
      <c r="E104" s="18">
        <v>96.334392984225389</v>
      </c>
      <c r="F104" s="18">
        <v>75.536066681383133</v>
      </c>
      <c r="G104" s="18">
        <v>91.431894972070253</v>
      </c>
      <c r="H104" s="18">
        <v>85.34067368042318</v>
      </c>
      <c r="I104" s="18">
        <v>84.000786396712854</v>
      </c>
      <c r="J104" s="18">
        <v>92.768630997512162</v>
      </c>
      <c r="K104" s="18">
        <v>86.266580882961364</v>
      </c>
      <c r="L104" s="18">
        <v>83.598649641120147</v>
      </c>
      <c r="M104" s="18">
        <v>91.666169755835099</v>
      </c>
      <c r="N104" s="18">
        <v>89.831404869766402</v>
      </c>
      <c r="P104" s="18">
        <v>96.920485891533787</v>
      </c>
      <c r="Q104" s="18">
        <v>100.18937677110497</v>
      </c>
      <c r="R104" s="18">
        <v>96.740017149103039</v>
      </c>
      <c r="S104" s="18">
        <v>98.304164712205335</v>
      </c>
      <c r="T104" s="18">
        <v>83.680340569323235</v>
      </c>
      <c r="U104" s="18">
        <v>91.707404671871942</v>
      </c>
      <c r="V104" s="18">
        <v>90.50166224103738</v>
      </c>
      <c r="W104" s="18">
        <v>85.219128780508584</v>
      </c>
      <c r="X104" s="18">
        <v>93.39422850800932</v>
      </c>
      <c r="Y104" s="18">
        <v>92.159457384415163</v>
      </c>
      <c r="Z104" s="18">
        <v>88.775957444726004</v>
      </c>
      <c r="AA104" s="18">
        <v>91.744904209714747</v>
      </c>
      <c r="AB104" s="18">
        <v>92.362180451574261</v>
      </c>
    </row>
    <row r="105" spans="1:28">
      <c r="A105" s="17">
        <f t="shared" si="1"/>
        <v>41395</v>
      </c>
      <c r="B105" s="18">
        <v>95.158682703318817</v>
      </c>
      <c r="C105" s="18">
        <v>104.85586213040605</v>
      </c>
      <c r="D105" s="18">
        <v>95.590598637470393</v>
      </c>
      <c r="E105" s="18">
        <v>100.52544652189665</v>
      </c>
      <c r="F105" s="18">
        <v>97.121829825060587</v>
      </c>
      <c r="G105" s="18">
        <v>89.501550966216897</v>
      </c>
      <c r="H105" s="18">
        <v>88.942066226335015</v>
      </c>
      <c r="I105" s="18">
        <v>83.911977629758283</v>
      </c>
      <c r="J105" s="18">
        <v>93.747022318932807</v>
      </c>
      <c r="K105" s="18">
        <v>89.49839727890236</v>
      </c>
      <c r="L105" s="18">
        <v>85.385537429080358</v>
      </c>
      <c r="M105" s="18">
        <v>89.226878484540038</v>
      </c>
      <c r="N105" s="18">
        <v>92.493891937570368</v>
      </c>
      <c r="P105" s="18">
        <v>93.888573883245513</v>
      </c>
      <c r="Q105" s="18">
        <v>103.88793277762238</v>
      </c>
      <c r="R105" s="18">
        <v>95.601539860449222</v>
      </c>
      <c r="S105" s="18">
        <v>97.884316142144428</v>
      </c>
      <c r="T105" s="18">
        <v>86.497526263226931</v>
      </c>
      <c r="U105" s="18">
        <v>92.215620001038374</v>
      </c>
      <c r="V105" s="18">
        <v>91.320034492475472</v>
      </c>
      <c r="W105" s="18">
        <v>83.056650953380043</v>
      </c>
      <c r="X105" s="18">
        <v>93.673207475049153</v>
      </c>
      <c r="Y105" s="18">
        <v>92.692248316856833</v>
      </c>
      <c r="Z105" s="18">
        <v>89.460991980678571</v>
      </c>
      <c r="AA105" s="18">
        <v>93.594920107019959</v>
      </c>
      <c r="AB105" s="18">
        <v>93.067568073462567</v>
      </c>
    </row>
    <row r="106" spans="1:28">
      <c r="A106" s="17">
        <f t="shared" si="1"/>
        <v>41426</v>
      </c>
      <c r="B106" s="18">
        <v>93.57400006476837</v>
      </c>
      <c r="C106" s="18">
        <v>100.51351510092663</v>
      </c>
      <c r="D106" s="18">
        <v>93.743050747885263</v>
      </c>
      <c r="E106" s="18">
        <v>94.785086159340494</v>
      </c>
      <c r="F106" s="18">
        <v>91.059047778302315</v>
      </c>
      <c r="G106" s="18">
        <v>90.729453898191807</v>
      </c>
      <c r="H106" s="18">
        <v>92.051593651199099</v>
      </c>
      <c r="I106" s="18">
        <v>80.505418292669489</v>
      </c>
      <c r="J106" s="18">
        <v>94.001583280500739</v>
      </c>
      <c r="K106" s="18">
        <v>91.444522824091607</v>
      </c>
      <c r="L106" s="18">
        <v>89.13626126316538</v>
      </c>
      <c r="M106" s="18">
        <v>87.536614223615956</v>
      </c>
      <c r="N106" s="18">
        <v>91.903817465591203</v>
      </c>
      <c r="P106" s="18">
        <v>95.188885879398612</v>
      </c>
      <c r="Q106" s="18">
        <v>101.49259171854656</v>
      </c>
      <c r="R106" s="18">
        <v>94.273554598163543</v>
      </c>
      <c r="S106" s="18">
        <v>96.560046136540137</v>
      </c>
      <c r="T106" s="18">
        <v>86.961441408502921</v>
      </c>
      <c r="U106" s="18">
        <v>92.774406392176743</v>
      </c>
      <c r="V106" s="18">
        <v>92.423097088252618</v>
      </c>
      <c r="W106" s="18">
        <v>81.728005926479526</v>
      </c>
      <c r="X106" s="18">
        <v>93.916600537854208</v>
      </c>
      <c r="Y106" s="18">
        <v>92.412602092613866</v>
      </c>
      <c r="Z106" s="18">
        <v>89.739877774331291</v>
      </c>
      <c r="AA106" s="18">
        <v>93.584597873014701</v>
      </c>
      <c r="AB106" s="18">
        <v>92.418081219491881</v>
      </c>
    </row>
    <row r="107" spans="1:28">
      <c r="A107" s="17">
        <f t="shared" si="1"/>
        <v>41456</v>
      </c>
      <c r="B107" s="18">
        <v>100.41610873200881</v>
      </c>
      <c r="C107" s="18">
        <v>106.40265641521709</v>
      </c>
      <c r="D107" s="18">
        <v>101.20694740556337</v>
      </c>
      <c r="E107" s="18">
        <v>98.71250157911723</v>
      </c>
      <c r="F107" s="18">
        <v>75.100704066785198</v>
      </c>
      <c r="G107" s="18">
        <v>96.252526405193763</v>
      </c>
      <c r="H107" s="18">
        <v>90.577144792806365</v>
      </c>
      <c r="I107" s="18">
        <v>79.962677182720839</v>
      </c>
      <c r="J107" s="18">
        <v>94.0075879097529</v>
      </c>
      <c r="K107" s="18">
        <v>92.126015848970482</v>
      </c>
      <c r="L107" s="18">
        <v>90.929769452897986</v>
      </c>
      <c r="M107" s="18">
        <v>95.05218643294441</v>
      </c>
      <c r="N107" s="18">
        <v>94.423748111397742</v>
      </c>
      <c r="P107" s="18">
        <v>93.852421968879213</v>
      </c>
      <c r="Q107" s="18">
        <v>107.11635770253103</v>
      </c>
      <c r="R107" s="18">
        <v>98.174992222306187</v>
      </c>
      <c r="S107" s="18">
        <v>97.614841529021618</v>
      </c>
      <c r="T107" s="18">
        <v>88.007706261835267</v>
      </c>
      <c r="U107" s="18">
        <v>92.901177304265886</v>
      </c>
      <c r="V107" s="18">
        <v>93.515819715232951</v>
      </c>
      <c r="W107" s="18">
        <v>82.367320394684754</v>
      </c>
      <c r="X107" s="18">
        <v>94.14006612427174</v>
      </c>
      <c r="Y107" s="18">
        <v>93.509866425026246</v>
      </c>
      <c r="Z107" s="18">
        <v>90.020422364117081</v>
      </c>
      <c r="AA107" s="18">
        <v>92.864986528653091</v>
      </c>
      <c r="AB107" s="18">
        <v>93.985752381346657</v>
      </c>
    </row>
    <row r="108" spans="1:28">
      <c r="A108" s="17">
        <f t="shared" si="1"/>
        <v>41487</v>
      </c>
      <c r="B108" s="18">
        <v>98.984042788087251</v>
      </c>
      <c r="C108" s="18">
        <v>101.88315331720771</v>
      </c>
      <c r="D108" s="18">
        <v>95.970913883441796</v>
      </c>
      <c r="E108" s="18">
        <v>98.352621462388143</v>
      </c>
      <c r="F108" s="18">
        <v>99.988135176769291</v>
      </c>
      <c r="G108" s="18">
        <v>91.502814002340202</v>
      </c>
      <c r="H108" s="18">
        <v>91.496400810176553</v>
      </c>
      <c r="I108" s="18">
        <v>78.237353742681819</v>
      </c>
      <c r="J108" s="18">
        <v>94.37768768196571</v>
      </c>
      <c r="K108" s="18">
        <v>91.09929376157973</v>
      </c>
      <c r="L108" s="18">
        <v>84.63478949796361</v>
      </c>
      <c r="M108" s="18">
        <v>98.087546523819185</v>
      </c>
      <c r="N108" s="18">
        <v>93.281422379542448</v>
      </c>
      <c r="P108" s="18">
        <v>92.528981102319719</v>
      </c>
      <c r="Q108" s="18">
        <v>102.9926992457838</v>
      </c>
      <c r="R108" s="18">
        <v>93.524554380913273</v>
      </c>
      <c r="S108" s="18">
        <v>97.270225107039096</v>
      </c>
      <c r="T108" s="18">
        <v>89.058539918518107</v>
      </c>
      <c r="U108" s="18">
        <v>92.617560095481352</v>
      </c>
      <c r="V108" s="18">
        <v>94.211157690129156</v>
      </c>
      <c r="W108" s="18">
        <v>80.376365067511358</v>
      </c>
      <c r="X108" s="18">
        <v>94.358885746258764</v>
      </c>
      <c r="Y108" s="18">
        <v>93.612229104974887</v>
      </c>
      <c r="Z108" s="18">
        <v>90.073430275864396</v>
      </c>
      <c r="AA108" s="18">
        <v>94.448069036704709</v>
      </c>
      <c r="AB108" s="18">
        <v>92.409876960022089</v>
      </c>
    </row>
    <row r="109" spans="1:28">
      <c r="A109" s="17">
        <f t="shared" si="1"/>
        <v>41518</v>
      </c>
      <c r="B109" s="18">
        <v>98.731321820551585</v>
      </c>
      <c r="C109" s="18">
        <v>98.927896995329405</v>
      </c>
      <c r="D109" s="18">
        <v>100.53176740204054</v>
      </c>
      <c r="E109" s="18">
        <v>98.680607395710638</v>
      </c>
      <c r="F109" s="18">
        <v>94.985885357778486</v>
      </c>
      <c r="G109" s="18">
        <v>89.476543046388329</v>
      </c>
      <c r="H109" s="18">
        <v>97.911773315292365</v>
      </c>
      <c r="I109" s="18">
        <v>86.711703436626692</v>
      </c>
      <c r="J109" s="18">
        <v>94.592126486928535</v>
      </c>
      <c r="K109" s="18">
        <v>93.628267153106108</v>
      </c>
      <c r="L109" s="18">
        <v>88.612436053841577</v>
      </c>
      <c r="M109" s="18">
        <v>93.358105938761824</v>
      </c>
      <c r="N109" s="18">
        <v>94.102460392746508</v>
      </c>
      <c r="P109" s="18">
        <v>93.676046441366111</v>
      </c>
      <c r="Q109" s="18">
        <v>100.8710160621678</v>
      </c>
      <c r="R109" s="18">
        <v>96.262757191841217</v>
      </c>
      <c r="S109" s="18">
        <v>97.684832311707595</v>
      </c>
      <c r="T109" s="18">
        <v>89.072238520929176</v>
      </c>
      <c r="U109" s="18">
        <v>92.445596118361536</v>
      </c>
      <c r="V109" s="18">
        <v>96.633668276833063</v>
      </c>
      <c r="W109" s="18">
        <v>85.525517600554352</v>
      </c>
      <c r="X109" s="18">
        <v>94.573038003539295</v>
      </c>
      <c r="Y109" s="18">
        <v>94.853860134405721</v>
      </c>
      <c r="Z109" s="18">
        <v>90.777251059598868</v>
      </c>
      <c r="AA109" s="18">
        <v>94.33369967854118</v>
      </c>
      <c r="AB109" s="18">
        <v>93.780347628946927</v>
      </c>
    </row>
    <row r="110" spans="1:28">
      <c r="A110" s="17">
        <f t="shared" si="1"/>
        <v>41548</v>
      </c>
      <c r="B110" s="18">
        <v>95.980628656142244</v>
      </c>
      <c r="C110" s="18">
        <v>104.0416591137574</v>
      </c>
      <c r="D110" s="18">
        <v>101.67249950031744</v>
      </c>
      <c r="E110" s="18">
        <v>99.883740099433766</v>
      </c>
      <c r="F110" s="18">
        <v>81.737334866754466</v>
      </c>
      <c r="G110" s="18">
        <v>91.94230443315324</v>
      </c>
      <c r="H110" s="18">
        <v>97.935200894419864</v>
      </c>
      <c r="I110" s="18">
        <v>84.572262188382268</v>
      </c>
      <c r="J110" s="18">
        <v>94.867702434979222</v>
      </c>
      <c r="K110" s="18">
        <v>96.364501330337092</v>
      </c>
      <c r="L110" s="18">
        <v>86.927449098016496</v>
      </c>
      <c r="M110" s="18">
        <v>104.36792213139962</v>
      </c>
      <c r="N110" s="18">
        <v>94.233066846080348</v>
      </c>
      <c r="P110" s="18">
        <v>94.755571519723276</v>
      </c>
      <c r="Q110" s="18">
        <v>102.27647764346169</v>
      </c>
      <c r="R110" s="18">
        <v>97.085689477319974</v>
      </c>
      <c r="S110" s="18">
        <v>97.93050119073861</v>
      </c>
      <c r="T110" s="18">
        <v>88.614751623148251</v>
      </c>
      <c r="U110" s="18">
        <v>93.324622696059961</v>
      </c>
      <c r="V110" s="18">
        <v>94.252382289285791</v>
      </c>
      <c r="W110" s="18">
        <v>87.007254869380034</v>
      </c>
      <c r="X110" s="18">
        <v>94.807073130216835</v>
      </c>
      <c r="Y110" s="18">
        <v>95.600425626063014</v>
      </c>
      <c r="Z110" s="18">
        <v>91.260707223380237</v>
      </c>
      <c r="AA110" s="18">
        <v>95.246179940854532</v>
      </c>
      <c r="AB110" s="18">
        <v>94.331252676215442</v>
      </c>
    </row>
    <row r="111" spans="1:28">
      <c r="A111" s="17">
        <f t="shared" si="1"/>
        <v>41579</v>
      </c>
      <c r="B111" s="18">
        <v>91.142757705463296</v>
      </c>
      <c r="C111" s="18">
        <v>107.2742784242707</v>
      </c>
      <c r="D111" s="18">
        <v>99.676499145422824</v>
      </c>
      <c r="E111" s="18">
        <v>98.335919874685331</v>
      </c>
      <c r="F111" s="18">
        <v>108.59664914748106</v>
      </c>
      <c r="G111" s="18">
        <v>98.476405905667988</v>
      </c>
      <c r="H111" s="18">
        <v>98.358586938447345</v>
      </c>
      <c r="I111" s="18">
        <v>88.288905002453106</v>
      </c>
      <c r="J111" s="18">
        <v>95.735354122394469</v>
      </c>
      <c r="K111" s="18">
        <v>104.16092062314605</v>
      </c>
      <c r="L111" s="18">
        <v>98.841350009922721</v>
      </c>
      <c r="M111" s="18">
        <v>96.043981287031642</v>
      </c>
      <c r="N111" s="18">
        <v>99.358740194335496</v>
      </c>
      <c r="P111" s="18">
        <v>93.203898106426038</v>
      </c>
      <c r="Q111" s="18">
        <v>105.08504958279138</v>
      </c>
      <c r="R111" s="18">
        <v>96.238226980638146</v>
      </c>
      <c r="S111" s="18">
        <v>98.174776362846572</v>
      </c>
      <c r="T111" s="18">
        <v>90.180017179083308</v>
      </c>
      <c r="U111" s="18">
        <v>94.778496759922788</v>
      </c>
      <c r="V111" s="18">
        <v>94.449866622560862</v>
      </c>
      <c r="W111" s="18">
        <v>87.733134496794136</v>
      </c>
      <c r="X111" s="18">
        <v>95.079765325267317</v>
      </c>
      <c r="Y111" s="18">
        <v>96.603679314608726</v>
      </c>
      <c r="Z111" s="18">
        <v>92.256026206806212</v>
      </c>
      <c r="AA111" s="18">
        <v>96.096012062890551</v>
      </c>
      <c r="AB111" s="18">
        <v>94.792044167040743</v>
      </c>
    </row>
    <row r="112" spans="1:28">
      <c r="A112" s="17">
        <f t="shared" si="1"/>
        <v>41609</v>
      </c>
      <c r="B112" s="18">
        <v>92.49126759914671</v>
      </c>
      <c r="C112" s="18">
        <v>112.0267624552159</v>
      </c>
      <c r="D112" s="18">
        <v>99.750344647523448</v>
      </c>
      <c r="E112" s="18">
        <v>97.488018182929608</v>
      </c>
      <c r="F112" s="18">
        <v>87.075311972177204</v>
      </c>
      <c r="G112" s="18">
        <v>114.53517233208508</v>
      </c>
      <c r="H112" s="18">
        <v>111.16896086858294</v>
      </c>
      <c r="I112" s="18">
        <v>94.36917097847234</v>
      </c>
      <c r="J112" s="18">
        <v>95.887856889396019</v>
      </c>
      <c r="K112" s="18">
        <v>119.66766142562852</v>
      </c>
      <c r="L112" s="18">
        <v>114.10969613886147</v>
      </c>
      <c r="M112" s="18">
        <v>99.863337107092804</v>
      </c>
      <c r="N112" s="18">
        <v>105.24531848164169</v>
      </c>
      <c r="P112" s="18">
        <v>92.978986986209918</v>
      </c>
      <c r="Q112" s="18">
        <v>105.92100733362861</v>
      </c>
      <c r="R112" s="18">
        <v>97.066721254067957</v>
      </c>
      <c r="S112" s="18">
        <v>98.518358025090564</v>
      </c>
      <c r="T112" s="18">
        <v>90.157724875790805</v>
      </c>
      <c r="U112" s="18">
        <v>93.794553278974703</v>
      </c>
      <c r="V112" s="18">
        <v>95.247923599848463</v>
      </c>
      <c r="W112" s="18">
        <v>89.166214068076599</v>
      </c>
      <c r="X112" s="18">
        <v>95.342006638284388</v>
      </c>
      <c r="Y112" s="18">
        <v>97.32358791169662</v>
      </c>
      <c r="Z112" s="18">
        <v>92.441804793037974</v>
      </c>
      <c r="AA112" s="18">
        <v>96.182571076747891</v>
      </c>
      <c r="AB112" s="18">
        <v>95.497521315559325</v>
      </c>
    </row>
    <row r="113" spans="1:28">
      <c r="A113" s="17">
        <f t="shared" si="1"/>
        <v>41640</v>
      </c>
      <c r="B113" s="18">
        <v>95.370911116671749</v>
      </c>
      <c r="C113" s="18">
        <v>105.86622772770031</v>
      </c>
      <c r="D113" s="18">
        <v>88.018181179826854</v>
      </c>
      <c r="E113" s="18">
        <v>99.795064634961278</v>
      </c>
      <c r="F113" s="18">
        <v>74.093404941590606</v>
      </c>
      <c r="G113" s="18">
        <v>87.061848390419911</v>
      </c>
      <c r="H113" s="18">
        <v>89.099371941655349</v>
      </c>
      <c r="I113" s="18">
        <v>84.504306068363562</v>
      </c>
      <c r="J113" s="18">
        <v>95.984747574491493</v>
      </c>
      <c r="K113" s="18">
        <v>86.373168433424752</v>
      </c>
      <c r="L113" s="18">
        <v>84.252301568798828</v>
      </c>
      <c r="M113" s="18">
        <v>89.884639135297846</v>
      </c>
      <c r="N113" s="18">
        <v>89.115082958423727</v>
      </c>
      <c r="P113" s="18">
        <v>96.049132762826019</v>
      </c>
      <c r="Q113" s="18">
        <v>103.64537943693168</v>
      </c>
      <c r="R113" s="18">
        <v>96.29462512170636</v>
      </c>
      <c r="S113" s="18">
        <v>100.17859870088699</v>
      </c>
      <c r="T113" s="18">
        <v>91.34919858232773</v>
      </c>
      <c r="U113" s="18">
        <v>94.573542344206501</v>
      </c>
      <c r="V113" s="18">
        <v>96.768445444206534</v>
      </c>
      <c r="W113" s="18">
        <v>86.177765237446451</v>
      </c>
      <c r="X113" s="18">
        <v>95.629549752407343</v>
      </c>
      <c r="Y113" s="18">
        <v>97.734932270823577</v>
      </c>
      <c r="Z113" s="18">
        <v>94.040137862710822</v>
      </c>
      <c r="AA113" s="18">
        <v>96.77511428522223</v>
      </c>
      <c r="AB113" s="18">
        <v>95.722259334071467</v>
      </c>
    </row>
    <row r="114" spans="1:28">
      <c r="A114" s="17">
        <f t="shared" si="1"/>
        <v>41671</v>
      </c>
      <c r="B114" s="18">
        <v>89.223572624021102</v>
      </c>
      <c r="C114" s="18">
        <v>97.427530397684308</v>
      </c>
      <c r="D114" s="18">
        <v>90.9346932212745</v>
      </c>
      <c r="E114" s="18">
        <v>95.410816101259215</v>
      </c>
      <c r="F114" s="18">
        <v>94.035728927972215</v>
      </c>
      <c r="G114" s="18">
        <v>90.773717849928289</v>
      </c>
      <c r="H114" s="18">
        <v>95.962513524523757</v>
      </c>
      <c r="I114" s="18">
        <v>87.653077517784467</v>
      </c>
      <c r="J114" s="18">
        <v>95.443014296232732</v>
      </c>
      <c r="K114" s="18">
        <v>93.771336533408061</v>
      </c>
      <c r="L114" s="18">
        <v>91.509383184715858</v>
      </c>
      <c r="M114" s="18">
        <v>99.063205863486587</v>
      </c>
      <c r="N114" s="18">
        <v>92.719933957842827</v>
      </c>
      <c r="P114" s="18">
        <v>96.556142822650401</v>
      </c>
      <c r="Q114" s="18">
        <v>104.901526920427</v>
      </c>
      <c r="R114" s="18">
        <v>98.172066226272165</v>
      </c>
      <c r="S114" s="18">
        <v>100.00757464239778</v>
      </c>
      <c r="T114" s="18">
        <v>92.403649111313868</v>
      </c>
      <c r="U114" s="18">
        <v>95.997534900868658</v>
      </c>
      <c r="V114" s="18">
        <v>99.119799281452075</v>
      </c>
      <c r="W114" s="18">
        <v>89.771765853111873</v>
      </c>
      <c r="X114" s="18">
        <v>95.875333813988945</v>
      </c>
      <c r="Y114" s="18">
        <v>99.095175625665846</v>
      </c>
      <c r="Z114" s="18">
        <v>93.230818119884091</v>
      </c>
      <c r="AA114" s="18">
        <v>95.92111313946225</v>
      </c>
      <c r="AB114" s="18">
        <v>97.152282463024804</v>
      </c>
    </row>
    <row r="115" spans="1:28">
      <c r="A115" s="17">
        <f t="shared" si="1"/>
        <v>41699</v>
      </c>
      <c r="B115" s="18">
        <v>92.136569219266178</v>
      </c>
      <c r="C115" s="18">
        <v>102.77914067399243</v>
      </c>
      <c r="D115" s="18">
        <v>98.349121458239352</v>
      </c>
      <c r="E115" s="18">
        <v>102.85341790211504</v>
      </c>
      <c r="F115" s="18">
        <v>89.673515261867848</v>
      </c>
      <c r="G115" s="18">
        <v>91.229960064331678</v>
      </c>
      <c r="H115" s="18">
        <v>97.696783721335891</v>
      </c>
      <c r="I115" s="18">
        <v>98.640140422063766</v>
      </c>
      <c r="J115" s="18">
        <v>95.396616884589179</v>
      </c>
      <c r="K115" s="18">
        <v>98.526779596347083</v>
      </c>
      <c r="L115" s="18">
        <v>95.324144929517686</v>
      </c>
      <c r="M115" s="18">
        <v>91.900643726854312</v>
      </c>
      <c r="N115" s="18">
        <v>95.652858708141267</v>
      </c>
      <c r="P115" s="18">
        <v>93.540794284837474</v>
      </c>
      <c r="Q115" s="18">
        <v>102.94435907625636</v>
      </c>
      <c r="R115" s="18">
        <v>97.531206888399552</v>
      </c>
      <c r="S115" s="18">
        <v>100.00636670095886</v>
      </c>
      <c r="T115" s="18">
        <v>92.808924335121105</v>
      </c>
      <c r="U115" s="18">
        <v>95.429887147417631</v>
      </c>
      <c r="V115" s="18">
        <v>99.154501490405622</v>
      </c>
      <c r="W115" s="18">
        <v>92.839401123998655</v>
      </c>
      <c r="X115" s="18">
        <v>96.077894972722021</v>
      </c>
      <c r="Y115" s="18">
        <v>99.447499668370966</v>
      </c>
      <c r="Z115" s="18">
        <v>93.135570297293128</v>
      </c>
      <c r="AA115" s="18">
        <v>95.703704571006881</v>
      </c>
      <c r="AB115" s="18">
        <v>95.997607360040263</v>
      </c>
    </row>
    <row r="116" spans="1:28">
      <c r="A116" s="17">
        <f t="shared" si="1"/>
        <v>41730</v>
      </c>
      <c r="B116" s="18">
        <v>89.546708094262456</v>
      </c>
      <c r="C116" s="18">
        <v>95.373782122092663</v>
      </c>
      <c r="D116" s="18">
        <v>93.747048814877971</v>
      </c>
      <c r="E116" s="18">
        <v>98.473209265162012</v>
      </c>
      <c r="F116" s="18">
        <v>81.8762844053565</v>
      </c>
      <c r="G116" s="18">
        <v>95.247564293703803</v>
      </c>
      <c r="H116" s="18">
        <v>94.889809316531696</v>
      </c>
      <c r="I116" s="18">
        <v>90.613638947026786</v>
      </c>
      <c r="J116" s="18">
        <v>95.619213327329376</v>
      </c>
      <c r="K116" s="18">
        <v>93.28502169431529</v>
      </c>
      <c r="L116" s="18">
        <v>87.815521738702429</v>
      </c>
      <c r="M116" s="18">
        <v>94.730503746349697</v>
      </c>
      <c r="N116" s="18">
        <v>92.141493873105489</v>
      </c>
      <c r="P116" s="18">
        <v>96.508831663162994</v>
      </c>
      <c r="Q116" s="18">
        <v>96.441619182108155</v>
      </c>
      <c r="R116" s="18">
        <v>99.199097355463508</v>
      </c>
      <c r="S116" s="18">
        <v>101.51382260171304</v>
      </c>
      <c r="T116" s="18">
        <v>90.934398946612276</v>
      </c>
      <c r="U116" s="18">
        <v>96.740270280630753</v>
      </c>
      <c r="V116" s="18">
        <v>100.64795536913405</v>
      </c>
      <c r="W116" s="18">
        <v>91.47403923423488</v>
      </c>
      <c r="X116" s="18">
        <v>96.294547953398961</v>
      </c>
      <c r="Y116" s="18">
        <v>99.812220348032426</v>
      </c>
      <c r="Z116" s="18">
        <v>93.409033047280545</v>
      </c>
      <c r="AA116" s="18">
        <v>94.803661557603675</v>
      </c>
      <c r="AB116" s="18">
        <v>96.381790114601074</v>
      </c>
    </row>
    <row r="117" spans="1:28">
      <c r="A117" s="17">
        <f t="shared" si="1"/>
        <v>41760</v>
      </c>
      <c r="B117" s="18">
        <v>97.788933542704498</v>
      </c>
      <c r="C117" s="18">
        <v>98.172747264914534</v>
      </c>
      <c r="D117" s="18">
        <v>99.582880151535505</v>
      </c>
      <c r="E117" s="18">
        <v>104.24378978571669</v>
      </c>
      <c r="F117" s="18">
        <v>101.51069248366954</v>
      </c>
      <c r="G117" s="18">
        <v>93.878161685496906</v>
      </c>
      <c r="H117" s="18">
        <v>97.253597322012951</v>
      </c>
      <c r="I117" s="18">
        <v>91.341669749961127</v>
      </c>
      <c r="J117" s="18">
        <v>96.578919577757844</v>
      </c>
      <c r="K117" s="18">
        <v>96.706274323472314</v>
      </c>
      <c r="L117" s="18">
        <v>88.229439418955337</v>
      </c>
      <c r="M117" s="18">
        <v>88.63018478510142</v>
      </c>
      <c r="N117" s="18">
        <v>95.55350020332007</v>
      </c>
      <c r="P117" s="18">
        <v>96.689088657050618</v>
      </c>
      <c r="Q117" s="18">
        <v>97.546937728122472</v>
      </c>
      <c r="R117" s="18">
        <v>99.646931513360286</v>
      </c>
      <c r="S117" s="18">
        <v>101.96413241365777</v>
      </c>
      <c r="T117" s="18">
        <v>90.686778261721827</v>
      </c>
      <c r="U117" s="18">
        <v>96.84333691553141</v>
      </c>
      <c r="V117" s="18">
        <v>100.04870936815998</v>
      </c>
      <c r="W117" s="18">
        <v>90.84180955451906</v>
      </c>
      <c r="X117" s="18">
        <v>96.50560297269864</v>
      </c>
      <c r="Y117" s="18">
        <v>100.14784290852414</v>
      </c>
      <c r="Z117" s="18">
        <v>92.282320862770675</v>
      </c>
      <c r="AA117" s="18">
        <v>93.340723308764566</v>
      </c>
      <c r="AB117" s="18">
        <v>96.210335081997584</v>
      </c>
    </row>
    <row r="118" spans="1:28">
      <c r="A118" s="17">
        <f t="shared" si="1"/>
        <v>41791</v>
      </c>
      <c r="B118" s="18">
        <v>93.686426811650776</v>
      </c>
      <c r="C118" s="18">
        <v>99.940007673862112</v>
      </c>
      <c r="D118" s="18">
        <v>94.214160252336811</v>
      </c>
      <c r="E118" s="18">
        <v>99.670049262652569</v>
      </c>
      <c r="F118" s="18">
        <v>97.351342154572635</v>
      </c>
      <c r="G118" s="18">
        <v>93.956485547998199</v>
      </c>
      <c r="H118" s="18">
        <v>98.760008773451673</v>
      </c>
      <c r="I118" s="18">
        <v>92.199537620054244</v>
      </c>
      <c r="J118" s="18">
        <v>96.841752350332115</v>
      </c>
      <c r="K118" s="18">
        <v>98.912229105002524</v>
      </c>
      <c r="L118" s="18">
        <v>93.415193214358993</v>
      </c>
      <c r="M118" s="18">
        <v>88.04803359574484</v>
      </c>
      <c r="N118" s="18">
        <v>95.37663655743593</v>
      </c>
      <c r="P118" s="18">
        <v>95.040531190583138</v>
      </c>
      <c r="Q118" s="18">
        <v>101.26984005588531</v>
      </c>
      <c r="R118" s="18">
        <v>94.994337420648236</v>
      </c>
      <c r="S118" s="18">
        <v>101.48759109642683</v>
      </c>
      <c r="T118" s="18">
        <v>93.216212083644649</v>
      </c>
      <c r="U118" s="18">
        <v>96.047228304781555</v>
      </c>
      <c r="V118" s="18">
        <v>98.823447061632862</v>
      </c>
      <c r="W118" s="18">
        <v>93.454336889097107</v>
      </c>
      <c r="X118" s="18">
        <v>96.759069885873643</v>
      </c>
      <c r="Y118" s="18">
        <v>99.512672405055383</v>
      </c>
      <c r="Z118" s="18">
        <v>93.508311040336991</v>
      </c>
      <c r="AA118" s="18">
        <v>94.569884757720615</v>
      </c>
      <c r="AB118" s="18">
        <v>95.779531319799176</v>
      </c>
    </row>
    <row r="119" spans="1:28">
      <c r="A119" s="17">
        <f t="shared" si="1"/>
        <v>41821</v>
      </c>
      <c r="B119" s="18">
        <v>103.93353608084368</v>
      </c>
      <c r="C119" s="18">
        <v>99.139358088521675</v>
      </c>
      <c r="D119" s="18">
        <v>103.75542774080613</v>
      </c>
      <c r="E119" s="18">
        <v>103.1721979532761</v>
      </c>
      <c r="F119" s="18">
        <v>82.572217113255547</v>
      </c>
      <c r="G119" s="18">
        <v>100.19906223434865</v>
      </c>
      <c r="H119" s="18">
        <v>94.297356066804213</v>
      </c>
      <c r="I119" s="18">
        <v>88.424630536908325</v>
      </c>
      <c r="J119" s="18">
        <v>96.894982540382273</v>
      </c>
      <c r="K119" s="18">
        <v>98.956387539858923</v>
      </c>
      <c r="L119" s="18">
        <v>95.651128216247756</v>
      </c>
      <c r="M119" s="18">
        <v>98.356031234475921</v>
      </c>
      <c r="N119" s="18">
        <v>97.637585560360208</v>
      </c>
      <c r="P119" s="18">
        <v>97.798847599119355</v>
      </c>
      <c r="Q119" s="18">
        <v>99.942657521232348</v>
      </c>
      <c r="R119" s="18">
        <v>100.66117350367192</v>
      </c>
      <c r="S119" s="18">
        <v>102.03491353444835</v>
      </c>
      <c r="T119" s="18">
        <v>95.863578179805074</v>
      </c>
      <c r="U119" s="18">
        <v>96.69759054999345</v>
      </c>
      <c r="V119" s="18">
        <v>97.256185974041514</v>
      </c>
      <c r="W119" s="18">
        <v>90.423759735381651</v>
      </c>
      <c r="X119" s="18">
        <v>97.046007889987408</v>
      </c>
      <c r="Y119" s="18">
        <v>100.03924815730767</v>
      </c>
      <c r="Z119" s="18">
        <v>94.220194633079075</v>
      </c>
      <c r="AA119" s="18">
        <v>95.851053497923118</v>
      </c>
      <c r="AB119" s="18">
        <v>97.025596237292334</v>
      </c>
    </row>
    <row r="120" spans="1:28">
      <c r="A120" s="17">
        <f t="shared" si="1"/>
        <v>41852</v>
      </c>
      <c r="B120" s="18">
        <v>99.945420048224832</v>
      </c>
      <c r="C120" s="18">
        <v>101.1416431462093</v>
      </c>
      <c r="D120" s="18">
        <v>97.479799614380454</v>
      </c>
      <c r="E120" s="18">
        <v>101.95404400958034</v>
      </c>
      <c r="F120" s="18">
        <v>110.50302095109117</v>
      </c>
      <c r="G120" s="18">
        <v>95.613371900951719</v>
      </c>
      <c r="H120" s="18">
        <v>93.672781733925362</v>
      </c>
      <c r="I120" s="18">
        <v>93.847462146509613</v>
      </c>
      <c r="J120" s="18">
        <v>97.303345765644494</v>
      </c>
      <c r="K120" s="18">
        <v>97.802374927923495</v>
      </c>
      <c r="L120" s="18">
        <v>90.088578870279562</v>
      </c>
      <c r="M120" s="18">
        <v>99.46011778266967</v>
      </c>
      <c r="N120" s="18">
        <v>97.583813692607464</v>
      </c>
      <c r="P120" s="18">
        <v>92.838613457254638</v>
      </c>
      <c r="Q120" s="18">
        <v>102.16704593157395</v>
      </c>
      <c r="R120" s="18">
        <v>94.903005920681309</v>
      </c>
      <c r="S120" s="18">
        <v>100.81637337101537</v>
      </c>
      <c r="T120" s="18">
        <v>97.84561892358326</v>
      </c>
      <c r="U120" s="18">
        <v>96.785095955828254</v>
      </c>
      <c r="V120" s="18">
        <v>96.402283151773844</v>
      </c>
      <c r="W120" s="18">
        <v>95.983507456004531</v>
      </c>
      <c r="X120" s="18">
        <v>97.290248352940793</v>
      </c>
      <c r="Y120" s="18">
        <v>99.953869280756024</v>
      </c>
      <c r="Z120" s="18">
        <v>95.289888875237381</v>
      </c>
      <c r="AA120" s="18">
        <v>95.991241610369642</v>
      </c>
      <c r="AB120" s="18">
        <v>96.469365405761309</v>
      </c>
    </row>
    <row r="121" spans="1:28">
      <c r="A121" s="17">
        <f t="shared" si="1"/>
        <v>41883</v>
      </c>
      <c r="B121" s="18">
        <v>99.981231243840995</v>
      </c>
      <c r="C121" s="18">
        <v>99.670556719968971</v>
      </c>
      <c r="D121" s="18">
        <v>103.67643266390461</v>
      </c>
      <c r="E121" s="18">
        <v>101.68132431440951</v>
      </c>
      <c r="F121" s="18">
        <v>104.60704131126688</v>
      </c>
      <c r="G121" s="18">
        <v>94.20993722359708</v>
      </c>
      <c r="H121" s="18">
        <v>99.181862705102546</v>
      </c>
      <c r="I121" s="18">
        <v>95.75862095205963</v>
      </c>
      <c r="J121" s="18">
        <v>97.532544170135054</v>
      </c>
      <c r="K121" s="18">
        <v>99.96581631691069</v>
      </c>
      <c r="L121" s="18">
        <v>94.02496448508802</v>
      </c>
      <c r="M121" s="18">
        <v>96.215316409506826</v>
      </c>
      <c r="N121" s="18">
        <v>98.513656932635627</v>
      </c>
      <c r="P121" s="18">
        <v>95.083919759346671</v>
      </c>
      <c r="Q121" s="18">
        <v>101.64331158871869</v>
      </c>
      <c r="R121" s="18">
        <v>99.54828936563375</v>
      </c>
      <c r="S121" s="18">
        <v>100.45502593012526</v>
      </c>
      <c r="T121" s="18">
        <v>98.002414893560669</v>
      </c>
      <c r="U121" s="18">
        <v>97.406993447867308</v>
      </c>
      <c r="V121" s="18">
        <v>97.665603967848469</v>
      </c>
      <c r="W121" s="18">
        <v>95.538467872555131</v>
      </c>
      <c r="X121" s="18">
        <v>97.50101527924781</v>
      </c>
      <c r="Y121" s="18">
        <v>101.01139881045708</v>
      </c>
      <c r="Z121" s="18">
        <v>96.117809884422527</v>
      </c>
      <c r="AA121" s="18">
        <v>97.209712605739568</v>
      </c>
      <c r="AB121" s="18">
        <v>98.238561322754776</v>
      </c>
    </row>
    <row r="122" spans="1:28">
      <c r="A122" s="17">
        <f t="shared" si="1"/>
        <v>41913</v>
      </c>
      <c r="B122" s="18">
        <v>99.429785662186561</v>
      </c>
      <c r="C122" s="18">
        <v>104.04733578193999</v>
      </c>
      <c r="D122" s="18">
        <v>104.89439737875121</v>
      </c>
      <c r="E122" s="18">
        <v>102.36921908278389</v>
      </c>
      <c r="F122" s="18">
        <v>88.379528602878892</v>
      </c>
      <c r="G122" s="18">
        <v>97.214000324216897</v>
      </c>
      <c r="H122" s="18">
        <v>103.3597062764825</v>
      </c>
      <c r="I122" s="18">
        <v>89.790067786850642</v>
      </c>
      <c r="J122" s="18">
        <v>97.802861930815098</v>
      </c>
      <c r="K122" s="18">
        <v>102.65706917419071</v>
      </c>
      <c r="L122" s="18">
        <v>92.775016843859632</v>
      </c>
      <c r="M122" s="18">
        <v>107.19901734694865</v>
      </c>
      <c r="N122" s="18">
        <v>98.419915597780587</v>
      </c>
      <c r="P122" s="18">
        <v>98.347497091818312</v>
      </c>
      <c r="Q122" s="18">
        <v>102.02330588181798</v>
      </c>
      <c r="R122" s="18">
        <v>100.23992185219851</v>
      </c>
      <c r="S122" s="18">
        <v>100.43282203507179</v>
      </c>
      <c r="T122" s="18">
        <v>96.428504119755104</v>
      </c>
      <c r="U122" s="18">
        <v>98.74814672852655</v>
      </c>
      <c r="V122" s="18">
        <v>99.236937350548359</v>
      </c>
      <c r="W122" s="18">
        <v>92.020549010307747</v>
      </c>
      <c r="X122" s="18">
        <v>97.688387970557628</v>
      </c>
      <c r="Y122" s="18">
        <v>101.63471028306171</v>
      </c>
      <c r="Z122" s="18">
        <v>97.324970488470598</v>
      </c>
      <c r="AA122" s="18">
        <v>97.535630976562842</v>
      </c>
      <c r="AB122" s="18">
        <v>98.698645605729439</v>
      </c>
    </row>
    <row r="123" spans="1:28">
      <c r="A123" s="17">
        <f t="shared" si="1"/>
        <v>41944</v>
      </c>
      <c r="B123" s="18">
        <v>92.111643245915701</v>
      </c>
      <c r="C123" s="18">
        <v>101.45965337703124</v>
      </c>
      <c r="D123" s="18">
        <v>99.285183014828505</v>
      </c>
      <c r="E123" s="18">
        <v>99.780179354064529</v>
      </c>
      <c r="F123" s="18">
        <v>113.96243716202419</v>
      </c>
      <c r="G123" s="18">
        <v>102.32129666190927</v>
      </c>
      <c r="H123" s="18">
        <v>103.59064574884445</v>
      </c>
      <c r="I123" s="18">
        <v>97.767137579119805</v>
      </c>
      <c r="J123" s="18">
        <v>98.671300570398927</v>
      </c>
      <c r="K123" s="18">
        <v>109.89249183761282</v>
      </c>
      <c r="L123" s="18">
        <v>104.24249992380943</v>
      </c>
      <c r="M123" s="18">
        <v>97.859613998694925</v>
      </c>
      <c r="N123" s="18">
        <v>102.26690170869684</v>
      </c>
      <c r="P123" s="18">
        <v>94.289015685988915</v>
      </c>
      <c r="Q123" s="18">
        <v>99.46346799834464</v>
      </c>
      <c r="R123" s="18">
        <v>95.740036395205081</v>
      </c>
      <c r="S123" s="18">
        <v>99.530747608601615</v>
      </c>
      <c r="T123" s="18">
        <v>95.04898036373649</v>
      </c>
      <c r="U123" s="18">
        <v>98.167985532947171</v>
      </c>
      <c r="V123" s="18">
        <v>99.515680451599565</v>
      </c>
      <c r="W123" s="18">
        <v>97.41988834023141</v>
      </c>
      <c r="X123" s="18">
        <v>97.97968427825225</v>
      </c>
      <c r="Y123" s="18">
        <v>101.91740620129831</v>
      </c>
      <c r="Z123" s="18">
        <v>97.626420517307992</v>
      </c>
      <c r="AA123" s="18">
        <v>97.649671426565178</v>
      </c>
      <c r="AB123" s="18">
        <v>97.591426941616376</v>
      </c>
    </row>
    <row r="124" spans="1:28">
      <c r="A124" s="17">
        <f t="shared" si="1"/>
        <v>41974</v>
      </c>
      <c r="B124" s="18">
        <v>97.373065485544586</v>
      </c>
      <c r="C124" s="18">
        <v>107.80667530814921</v>
      </c>
      <c r="D124" s="18">
        <v>102.49294237443398</v>
      </c>
      <c r="E124" s="18">
        <v>99.084838258813008</v>
      </c>
      <c r="F124" s="18">
        <v>90.313874241738532</v>
      </c>
      <c r="G124" s="18">
        <v>119.60864029763469</v>
      </c>
      <c r="H124" s="18">
        <v>116.86057851976166</v>
      </c>
      <c r="I124" s="18">
        <v>101.02300327187032</v>
      </c>
      <c r="J124" s="18">
        <v>98.792140324458828</v>
      </c>
      <c r="K124" s="18">
        <v>125.40920496414788</v>
      </c>
      <c r="L124" s="18">
        <v>121.9742714612253</v>
      </c>
      <c r="M124" s="18">
        <v>99.848562146235551</v>
      </c>
      <c r="N124" s="18">
        <v>109.18992844095443</v>
      </c>
      <c r="P124" s="18">
        <v>97.785388200494722</v>
      </c>
      <c r="Q124" s="18">
        <v>100.8352069606488</v>
      </c>
      <c r="R124" s="18">
        <v>99.499576301954562</v>
      </c>
      <c r="S124" s="18">
        <v>100.06018128949061</v>
      </c>
      <c r="T124" s="18">
        <v>94.290829756102283</v>
      </c>
      <c r="U124" s="18">
        <v>97.876434365937456</v>
      </c>
      <c r="V124" s="18">
        <v>99.985466739629118</v>
      </c>
      <c r="W124" s="18">
        <v>95.618002291683439</v>
      </c>
      <c r="X124" s="18">
        <v>98.214096190492157</v>
      </c>
      <c r="Y124" s="18">
        <v>101.95117848726123</v>
      </c>
      <c r="Z124" s="18">
        <v>99.116968226764214</v>
      </c>
      <c r="AA124" s="18">
        <v>95.844358034426548</v>
      </c>
      <c r="AB124" s="18">
        <v>98.903907004616144</v>
      </c>
    </row>
    <row r="125" spans="1:28">
      <c r="A125" s="17">
        <f t="shared" si="1"/>
        <v>42005</v>
      </c>
      <c r="B125" s="18">
        <v>97.73379277207782</v>
      </c>
      <c r="C125" s="18">
        <v>105.22813603051819</v>
      </c>
      <c r="D125" s="18">
        <v>87.925217332630822</v>
      </c>
      <c r="E125" s="18">
        <v>98.801108911272379</v>
      </c>
      <c r="F125" s="18">
        <v>77.69938672403984</v>
      </c>
      <c r="G125" s="18">
        <v>90.805440055486869</v>
      </c>
      <c r="H125" s="18">
        <v>91.482969286506616</v>
      </c>
      <c r="I125" s="18">
        <v>100.88329133900378</v>
      </c>
      <c r="J125" s="18">
        <v>98.842692880401898</v>
      </c>
      <c r="K125" s="18">
        <v>89.777940315286926</v>
      </c>
      <c r="L125" s="18">
        <v>88.192925846248841</v>
      </c>
      <c r="M125" s="18">
        <v>90.794788033888324</v>
      </c>
      <c r="N125" s="18">
        <v>91.805308681117509</v>
      </c>
      <c r="P125" s="18">
        <v>98.892323115027196</v>
      </c>
      <c r="Q125" s="18">
        <v>103.09564900137369</v>
      </c>
      <c r="R125" s="18">
        <v>96.332901228157965</v>
      </c>
      <c r="S125" s="18">
        <v>99.319936671101061</v>
      </c>
      <c r="T125" s="18">
        <v>95.846416547020468</v>
      </c>
      <c r="U125" s="18">
        <v>98.60699128373291</v>
      </c>
      <c r="V125" s="18">
        <v>99.786187312677313</v>
      </c>
      <c r="W125" s="18">
        <v>102.51203383093835</v>
      </c>
      <c r="X125" s="18">
        <v>98.510737626038264</v>
      </c>
      <c r="Y125" s="18">
        <v>101.46171111863013</v>
      </c>
      <c r="Z125" s="18">
        <v>98.91087008087905</v>
      </c>
      <c r="AA125" s="18">
        <v>97.925708997793279</v>
      </c>
      <c r="AB125" s="18">
        <v>98.818928300208981</v>
      </c>
    </row>
    <row r="126" spans="1:28">
      <c r="A126" s="17">
        <f t="shared" si="1"/>
        <v>42036</v>
      </c>
      <c r="B126" s="18">
        <v>91.856489297659166</v>
      </c>
      <c r="C126" s="18">
        <v>90.777377647416444</v>
      </c>
      <c r="D126" s="18">
        <v>92.02642848868993</v>
      </c>
      <c r="E126" s="18">
        <v>95.172381161752412</v>
      </c>
      <c r="F126" s="18">
        <v>99.51224671994035</v>
      </c>
      <c r="G126" s="18">
        <v>93.239971064276489</v>
      </c>
      <c r="H126" s="18">
        <v>94.802393156788355</v>
      </c>
      <c r="I126" s="18">
        <v>94.757470179154652</v>
      </c>
      <c r="J126" s="18">
        <v>98.271378502966272</v>
      </c>
      <c r="K126" s="18">
        <v>95.296312631504719</v>
      </c>
      <c r="L126" s="18">
        <v>97.174221609616779</v>
      </c>
      <c r="M126" s="18">
        <v>101.9823537390601</v>
      </c>
      <c r="N126" s="18">
        <v>94.987249084553767</v>
      </c>
      <c r="P126" s="18">
        <v>98.701699596130425</v>
      </c>
      <c r="Q126" s="18">
        <v>98.028412713017516</v>
      </c>
      <c r="R126" s="18">
        <v>99.336354433638434</v>
      </c>
      <c r="S126" s="18">
        <v>99.683549672684705</v>
      </c>
      <c r="T126" s="18">
        <v>97.047671102435316</v>
      </c>
      <c r="U126" s="18">
        <v>98.682577013068567</v>
      </c>
      <c r="V126" s="18">
        <v>98.529226436670797</v>
      </c>
      <c r="W126" s="18">
        <v>97.262686679940302</v>
      </c>
      <c r="X126" s="18">
        <v>98.746533057489529</v>
      </c>
      <c r="Y126" s="18">
        <v>100.83879043059621</v>
      </c>
      <c r="Z126" s="18">
        <v>99.23442238905325</v>
      </c>
      <c r="AA126" s="18">
        <v>98.850040886635753</v>
      </c>
      <c r="AB126" s="18">
        <v>99.369105712677467</v>
      </c>
    </row>
    <row r="127" spans="1:28">
      <c r="A127" s="17">
        <f t="shared" si="1"/>
        <v>42064</v>
      </c>
      <c r="B127" s="18">
        <v>95.869584987834131</v>
      </c>
      <c r="C127" s="18">
        <v>101.86888131576086</v>
      </c>
      <c r="D127" s="18">
        <v>99.281774725155387</v>
      </c>
      <c r="E127" s="18">
        <v>102.1300651825086</v>
      </c>
      <c r="F127" s="18">
        <v>95.603733749586766</v>
      </c>
      <c r="G127" s="18">
        <v>94.690315540492534</v>
      </c>
      <c r="H127" s="18">
        <v>97.570724008588087</v>
      </c>
      <c r="I127" s="18">
        <v>105.02517153976028</v>
      </c>
      <c r="J127" s="18">
        <v>98.247778915295342</v>
      </c>
      <c r="K127" s="18">
        <v>99.275639135941248</v>
      </c>
      <c r="L127" s="18">
        <v>101.80386717606325</v>
      </c>
      <c r="M127" s="18">
        <v>94.198711454235792</v>
      </c>
      <c r="N127" s="18">
        <v>98.564207072100146</v>
      </c>
      <c r="P127" s="18">
        <v>97.046563629146121</v>
      </c>
      <c r="Q127" s="18">
        <v>102.24489004137496</v>
      </c>
      <c r="R127" s="18">
        <v>98.46180602388597</v>
      </c>
      <c r="S127" s="18">
        <v>99.519816667033908</v>
      </c>
      <c r="T127" s="18">
        <v>98.609641523213199</v>
      </c>
      <c r="U127" s="18">
        <v>98.713923151265845</v>
      </c>
      <c r="V127" s="18">
        <v>98.907177037464606</v>
      </c>
      <c r="W127" s="18">
        <v>99.153432182856946</v>
      </c>
      <c r="X127" s="18">
        <v>98.981984850654541</v>
      </c>
      <c r="Y127" s="18">
        <v>100.33607160132962</v>
      </c>
      <c r="Z127" s="18">
        <v>99.473243539430939</v>
      </c>
      <c r="AA127" s="18">
        <v>98.383074603670011</v>
      </c>
      <c r="AB127" s="18">
        <v>98.82837828433837</v>
      </c>
    </row>
    <row r="128" spans="1:28">
      <c r="A128" s="17">
        <f t="shared" si="1"/>
        <v>42095</v>
      </c>
      <c r="B128" s="18">
        <v>92.793217196032785</v>
      </c>
      <c r="C128" s="18">
        <v>101.30629441847867</v>
      </c>
      <c r="D128" s="18">
        <v>93.828327964352354</v>
      </c>
      <c r="E128" s="18">
        <v>95.860607652076524</v>
      </c>
      <c r="F128" s="18">
        <v>90.788311066639096</v>
      </c>
      <c r="G128" s="18">
        <v>96.827053862583341</v>
      </c>
      <c r="H128" s="18">
        <v>93.336277729808344</v>
      </c>
      <c r="I128" s="18">
        <v>99.12213869563908</v>
      </c>
      <c r="J128" s="18">
        <v>98.540320829258548</v>
      </c>
      <c r="K128" s="18">
        <v>93.490691649665308</v>
      </c>
      <c r="L128" s="18">
        <v>93.088952774661422</v>
      </c>
      <c r="M128" s="18">
        <v>99.324997791158424</v>
      </c>
      <c r="N128" s="18">
        <v>95.323219192274991</v>
      </c>
      <c r="P128" s="18">
        <v>100.47024758941178</v>
      </c>
      <c r="Q128" s="18">
        <v>102.78680936774151</v>
      </c>
      <c r="R128" s="18">
        <v>99.348982934284436</v>
      </c>
      <c r="S128" s="18">
        <v>98.915082814160854</v>
      </c>
      <c r="T128" s="18">
        <v>100.88175464197214</v>
      </c>
      <c r="U128" s="18">
        <v>98.726915280600636</v>
      </c>
      <c r="V128" s="18">
        <v>98.906775773478614</v>
      </c>
      <c r="W128" s="18">
        <v>99.668287203291712</v>
      </c>
      <c r="X128" s="18">
        <v>99.233618561614477</v>
      </c>
      <c r="Y128" s="18">
        <v>99.91693698534705</v>
      </c>
      <c r="Z128" s="18">
        <v>98.827673382066976</v>
      </c>
      <c r="AA128" s="18">
        <v>99.323520669419025</v>
      </c>
      <c r="AB128" s="18">
        <v>99.863374071133236</v>
      </c>
    </row>
    <row r="129" spans="1:28">
      <c r="A129" s="17">
        <f t="shared" si="1"/>
        <v>42125</v>
      </c>
      <c r="B129" s="18">
        <v>98.836042459719934</v>
      </c>
      <c r="C129" s="18">
        <v>101.78602570238286</v>
      </c>
      <c r="D129" s="18">
        <v>97.943119363480406</v>
      </c>
      <c r="E129" s="18">
        <v>101.87883932770482</v>
      </c>
      <c r="F129" s="18">
        <v>112.46845297890553</v>
      </c>
      <c r="G129" s="18">
        <v>96.580712313846092</v>
      </c>
      <c r="H129" s="18">
        <v>95.812677782730333</v>
      </c>
      <c r="I129" s="18">
        <v>99.081566840013593</v>
      </c>
      <c r="J129" s="18">
        <v>99.558533706228204</v>
      </c>
      <c r="K129" s="18">
        <v>96.729370680444845</v>
      </c>
      <c r="L129" s="18">
        <v>96.009847533083715</v>
      </c>
      <c r="M129" s="18">
        <v>93.104581068024601</v>
      </c>
      <c r="N129" s="18">
        <v>98.90568369882071</v>
      </c>
      <c r="P129" s="18">
        <v>98.128938531166071</v>
      </c>
      <c r="Q129" s="18">
        <v>101.54879955897277</v>
      </c>
      <c r="R129" s="18">
        <v>98.01209872347998</v>
      </c>
      <c r="S129" s="18">
        <v>100.12921093484006</v>
      </c>
      <c r="T129" s="18">
        <v>100.72032355079807</v>
      </c>
      <c r="U129" s="18">
        <v>99.769962350554337</v>
      </c>
      <c r="V129" s="18">
        <v>98.621971439665671</v>
      </c>
      <c r="W129" s="18">
        <v>99.053471334485721</v>
      </c>
      <c r="X129" s="18">
        <v>99.481225745696278</v>
      </c>
      <c r="Y129" s="18">
        <v>99.85982275983875</v>
      </c>
      <c r="Z129" s="18">
        <v>99.760029780510408</v>
      </c>
      <c r="AA129" s="18">
        <v>98.159874951937425</v>
      </c>
      <c r="AB129" s="18">
        <v>99.707098327512725</v>
      </c>
    </row>
    <row r="130" spans="1:28">
      <c r="A130" s="17">
        <f t="shared" si="1"/>
        <v>42156</v>
      </c>
      <c r="B130" s="18">
        <v>97.112780706308712</v>
      </c>
      <c r="C130" s="18">
        <v>98.783015783002341</v>
      </c>
      <c r="D130" s="18">
        <v>98.609006877873028</v>
      </c>
      <c r="E130" s="18">
        <v>98.139712606090384</v>
      </c>
      <c r="F130" s="18">
        <v>104.85723900046689</v>
      </c>
      <c r="G130" s="18">
        <v>97.706109828788087</v>
      </c>
      <c r="H130" s="18">
        <v>99.447306019262768</v>
      </c>
      <c r="I130" s="18">
        <v>99.976408975557391</v>
      </c>
      <c r="J130" s="18">
        <v>99.823862598544949</v>
      </c>
      <c r="K130" s="18">
        <v>99.25559504575881</v>
      </c>
      <c r="L130" s="18">
        <v>100.84997426609654</v>
      </c>
      <c r="M130" s="18">
        <v>91.836011543684464</v>
      </c>
      <c r="N130" s="18">
        <v>99.259658669060883</v>
      </c>
      <c r="P130" s="18">
        <v>98.577382885109387</v>
      </c>
      <c r="Q130" s="18">
        <v>100.21381842230888</v>
      </c>
      <c r="R130" s="18">
        <v>99.561888220425558</v>
      </c>
      <c r="S130" s="18">
        <v>99.984818150387852</v>
      </c>
      <c r="T130" s="18">
        <v>100.66931190289479</v>
      </c>
      <c r="U130" s="18">
        <v>99.82068125658185</v>
      </c>
      <c r="V130" s="18">
        <v>99.011048808668306</v>
      </c>
      <c r="W130" s="18">
        <v>100.9020069817759</v>
      </c>
      <c r="X130" s="18">
        <v>99.739836519006175</v>
      </c>
      <c r="Y130" s="18">
        <v>99.257703697839801</v>
      </c>
      <c r="Z130" s="18">
        <v>99.85901548809926</v>
      </c>
      <c r="AA130" s="18">
        <v>98.915328727906214</v>
      </c>
      <c r="AB130" s="18">
        <v>99.510025079288823</v>
      </c>
    </row>
    <row r="131" spans="1:28">
      <c r="A131" s="17">
        <f t="shared" si="1"/>
        <v>42186</v>
      </c>
      <c r="B131" s="18">
        <v>108.94053868128357</v>
      </c>
      <c r="C131" s="18">
        <v>97.452074481010982</v>
      </c>
      <c r="D131" s="18">
        <v>104.45305073726831</v>
      </c>
      <c r="E131" s="18">
        <v>101.52320444800256</v>
      </c>
      <c r="F131" s="18">
        <v>86.678669055932758</v>
      </c>
      <c r="G131" s="18">
        <v>103.64242267433063</v>
      </c>
      <c r="H131" s="18">
        <v>97.595891663790098</v>
      </c>
      <c r="I131" s="18">
        <v>105.98324546644027</v>
      </c>
      <c r="J131" s="18">
        <v>99.837706364559693</v>
      </c>
      <c r="K131" s="18">
        <v>100.82937552490492</v>
      </c>
      <c r="L131" s="18">
        <v>106.73591061093923</v>
      </c>
      <c r="M131" s="18">
        <v>103.63666010557608</v>
      </c>
      <c r="N131" s="18">
        <v>102.08301216928774</v>
      </c>
      <c r="P131" s="18">
        <v>103.3912679783996</v>
      </c>
      <c r="Q131" s="18">
        <v>98.154432970522691</v>
      </c>
      <c r="R131" s="18">
        <v>101.49517023492334</v>
      </c>
      <c r="S131" s="18">
        <v>100.27589758732336</v>
      </c>
      <c r="T131" s="18">
        <v>100.02154196306066</v>
      </c>
      <c r="U131" s="18">
        <v>99.992283727986049</v>
      </c>
      <c r="V131" s="18">
        <v>100.6497275652758</v>
      </c>
      <c r="W131" s="18">
        <v>107.52204916676436</v>
      </c>
      <c r="X131" s="18">
        <v>100.01979537008243</v>
      </c>
      <c r="Y131" s="18">
        <v>101.21185528032166</v>
      </c>
      <c r="Z131" s="18">
        <v>104.21542607251959</v>
      </c>
      <c r="AA131" s="18">
        <v>100.8611824947609</v>
      </c>
      <c r="AB131" s="18">
        <v>101.31214828326355</v>
      </c>
    </row>
    <row r="132" spans="1:28">
      <c r="A132" s="17">
        <f t="shared" si="1"/>
        <v>42217</v>
      </c>
      <c r="B132" s="18">
        <v>108.9633449931914</v>
      </c>
      <c r="C132" s="18">
        <v>97.539001266534484</v>
      </c>
      <c r="D132" s="18">
        <v>101.09080289831186</v>
      </c>
      <c r="E132" s="18">
        <v>101.4432326735855</v>
      </c>
      <c r="F132" s="18">
        <v>110.86771517246365</v>
      </c>
      <c r="G132" s="18">
        <v>99.201401713880728</v>
      </c>
      <c r="H132" s="18">
        <v>98.191673038856379</v>
      </c>
      <c r="I132" s="18">
        <v>97.95213427603494</v>
      </c>
      <c r="J132" s="18">
        <v>100.30983096570252</v>
      </c>
      <c r="K132" s="18">
        <v>99.103080911055585</v>
      </c>
      <c r="L132" s="18">
        <v>100.15181310392234</v>
      </c>
      <c r="M132" s="18">
        <v>103.88896719235841</v>
      </c>
      <c r="N132" s="18">
        <v>101.27128457261725</v>
      </c>
      <c r="P132" s="18">
        <v>100.3691935218904</v>
      </c>
      <c r="Q132" s="18">
        <v>98.218112230004422</v>
      </c>
      <c r="R132" s="18">
        <v>98.28883444942052</v>
      </c>
      <c r="S132" s="18">
        <v>100.06582064547516</v>
      </c>
      <c r="T132" s="18">
        <v>98.393040468176025</v>
      </c>
      <c r="U132" s="18">
        <v>100.11920725570465</v>
      </c>
      <c r="V132" s="18">
        <v>101.00560109177785</v>
      </c>
      <c r="W132" s="18">
        <v>99.518484581637324</v>
      </c>
      <c r="X132" s="18">
        <v>100.29862605458719</v>
      </c>
      <c r="Y132" s="18">
        <v>100.60973650527581</v>
      </c>
      <c r="Z132" s="18">
        <v>105.02721138732845</v>
      </c>
      <c r="AA132" s="18">
        <v>100.40858154116086</v>
      </c>
      <c r="AB132" s="18">
        <v>99.911044277117824</v>
      </c>
    </row>
    <row r="133" spans="1:28">
      <c r="A133" s="17">
        <f t="shared" si="1"/>
        <v>42248</v>
      </c>
      <c r="B133" s="18">
        <v>106.82915964391862</v>
      </c>
      <c r="C133" s="18">
        <v>97.382589415022224</v>
      </c>
      <c r="D133" s="18">
        <v>106.2608318034373</v>
      </c>
      <c r="E133" s="18">
        <v>102.72843158328564</v>
      </c>
      <c r="F133" s="18">
        <v>105.53545259787862</v>
      </c>
      <c r="G133" s="18">
        <v>97.119960531669477</v>
      </c>
      <c r="H133" s="18">
        <v>103.29971240111742</v>
      </c>
      <c r="I133" s="18">
        <v>97.566521771514175</v>
      </c>
      <c r="J133" s="18">
        <v>100.68977787860275</v>
      </c>
      <c r="K133" s="18">
        <v>99.819515214970238</v>
      </c>
      <c r="L133" s="18">
        <v>100.80007818000054</v>
      </c>
      <c r="M133" s="18">
        <v>98.986703898055012</v>
      </c>
      <c r="N133" s="18">
        <v>101.27068336145896</v>
      </c>
      <c r="P133" s="18">
        <v>101.85899573646991</v>
      </c>
      <c r="Q133" s="18">
        <v>99.243106959217442</v>
      </c>
      <c r="R133" s="18">
        <v>102.20936977372106</v>
      </c>
      <c r="S133" s="18">
        <v>101.31024676472813</v>
      </c>
      <c r="T133" s="18">
        <v>99.062044358135367</v>
      </c>
      <c r="U133" s="18">
        <v>100.47525255382659</v>
      </c>
      <c r="V133" s="18">
        <v>101.57012663318214</v>
      </c>
      <c r="W133" s="18">
        <v>98.331677042307732</v>
      </c>
      <c r="X133" s="18">
        <v>100.64237119774575</v>
      </c>
      <c r="Y133" s="18">
        <v>100.70978028312214</v>
      </c>
      <c r="Z133" s="18">
        <v>102.7973175302586</v>
      </c>
      <c r="AA133" s="18">
        <v>100.22052858975977</v>
      </c>
      <c r="AB133" s="18">
        <v>101.03559516069325</v>
      </c>
    </row>
    <row r="134" spans="1:28">
      <c r="A134" s="17">
        <f t="shared" si="1"/>
        <v>42278</v>
      </c>
      <c r="B134" s="18">
        <v>102.64842824761928</v>
      </c>
      <c r="C134" s="18">
        <v>101.94804387544131</v>
      </c>
      <c r="D134" s="18">
        <v>107.51884641390339</v>
      </c>
      <c r="E134" s="18">
        <v>103.20256552279818</v>
      </c>
      <c r="F134" s="18">
        <v>93.308510377569661</v>
      </c>
      <c r="G134" s="18">
        <v>100.30330170184121</v>
      </c>
      <c r="H134" s="18">
        <v>106.38234008324548</v>
      </c>
      <c r="I134" s="18">
        <v>97.161754342877458</v>
      </c>
      <c r="J134" s="18">
        <v>101.20480813437868</v>
      </c>
      <c r="K134" s="18">
        <v>100.62684506197452</v>
      </c>
      <c r="L134" s="18">
        <v>94.565728721213475</v>
      </c>
      <c r="M134" s="18">
        <v>111.68716734798647</v>
      </c>
      <c r="N134" s="18">
        <v>100.66143898811247</v>
      </c>
      <c r="P134" s="18">
        <v>101.64378591471686</v>
      </c>
      <c r="Q134" s="18">
        <v>99.697535498523038</v>
      </c>
      <c r="R134" s="18">
        <v>102.61605593698282</v>
      </c>
      <c r="S134" s="18">
        <v>101.28093002786451</v>
      </c>
      <c r="T134" s="18">
        <v>101.94013523981673</v>
      </c>
      <c r="U134" s="18">
        <v>102.02335737794286</v>
      </c>
      <c r="V134" s="18">
        <v>102.11227622901235</v>
      </c>
      <c r="W134" s="18">
        <v>99.286037216267957</v>
      </c>
      <c r="X134" s="18">
        <v>101.00732627955131</v>
      </c>
      <c r="Y134" s="18">
        <v>99.733070449015997</v>
      </c>
      <c r="Z134" s="18">
        <v>99.118326686916788</v>
      </c>
      <c r="AA134" s="18">
        <v>101.53370747753721</v>
      </c>
      <c r="AB134" s="18">
        <v>101.06242884703225</v>
      </c>
    </row>
    <row r="135" spans="1:28">
      <c r="A135" s="17">
        <f t="shared" si="1"/>
        <v>42309</v>
      </c>
      <c r="B135" s="18">
        <v>96.440000803768072</v>
      </c>
      <c r="C135" s="18">
        <v>100.46720277253563</v>
      </c>
      <c r="D135" s="18">
        <v>104.84736459839499</v>
      </c>
      <c r="E135" s="18">
        <v>99.869041066605334</v>
      </c>
      <c r="F135" s="18">
        <v>123.25459504388587</v>
      </c>
      <c r="G135" s="18">
        <v>105.54007547209214</v>
      </c>
      <c r="H135" s="18">
        <v>104.69000984757308</v>
      </c>
      <c r="I135" s="18">
        <v>99.472961324987224</v>
      </c>
      <c r="J135" s="18">
        <v>102.2483829733402</v>
      </c>
      <c r="K135" s="18">
        <v>105.7304396541804</v>
      </c>
      <c r="L135" s="18">
        <v>102.78974805100354</v>
      </c>
      <c r="M135" s="18">
        <v>102.67506739261503</v>
      </c>
      <c r="N135" s="18">
        <v>104.61544209398291</v>
      </c>
      <c r="P135" s="18">
        <v>98.822196162342124</v>
      </c>
      <c r="Q135" s="18">
        <v>98.894592370807672</v>
      </c>
      <c r="R135" s="18">
        <v>101.2583573229569</v>
      </c>
      <c r="S135" s="18">
        <v>99.404945513678726</v>
      </c>
      <c r="T135" s="18">
        <v>103.00843672721038</v>
      </c>
      <c r="U135" s="18">
        <v>101.16821473553716</v>
      </c>
      <c r="V135" s="18">
        <v>100.63132992998844</v>
      </c>
      <c r="W135" s="18">
        <v>99.329321385037147</v>
      </c>
      <c r="X135" s="18">
        <v>101.52317595254414</v>
      </c>
      <c r="Y135" s="18">
        <v>98.216490068942761</v>
      </c>
      <c r="Z135" s="18">
        <v>96.463843369098782</v>
      </c>
      <c r="AA135" s="18">
        <v>102.30758902016241</v>
      </c>
      <c r="AB135" s="18">
        <v>99.929577377229592</v>
      </c>
    </row>
    <row r="136" spans="1:28">
      <c r="A136" s="17">
        <f t="shared" ref="A136:A199" si="2">+EDATE(A135,1)</f>
        <v>42339</v>
      </c>
      <c r="B136" s="18">
        <v>101.97662021058625</v>
      </c>
      <c r="C136" s="18">
        <v>105.46135729189589</v>
      </c>
      <c r="D136" s="18">
        <v>106.21522879650244</v>
      </c>
      <c r="E136" s="18">
        <v>99.250809864317802</v>
      </c>
      <c r="F136" s="18">
        <v>99.425687512690985</v>
      </c>
      <c r="G136" s="18">
        <v>124.34323524071252</v>
      </c>
      <c r="H136" s="18">
        <v>117.388024981733</v>
      </c>
      <c r="I136" s="18">
        <v>103.01733524901718</v>
      </c>
      <c r="J136" s="18">
        <v>102.424926250721</v>
      </c>
      <c r="K136" s="18">
        <v>120.06519417431247</v>
      </c>
      <c r="L136" s="18">
        <v>117.83693212715025</v>
      </c>
      <c r="M136" s="18">
        <v>107.88399043335718</v>
      </c>
      <c r="N136" s="18">
        <v>111.2528124166126</v>
      </c>
      <c r="P136" s="18">
        <v>102.09740534019012</v>
      </c>
      <c r="Q136" s="18">
        <v>97.873840866135609</v>
      </c>
      <c r="R136" s="18">
        <v>103.07818071812306</v>
      </c>
      <c r="S136" s="18">
        <v>100.1097445507217</v>
      </c>
      <c r="T136" s="18">
        <v>103.79968197526684</v>
      </c>
      <c r="U136" s="18">
        <v>101.90063401319883</v>
      </c>
      <c r="V136" s="18">
        <v>100.26855174213819</v>
      </c>
      <c r="W136" s="18">
        <v>97.46051239469648</v>
      </c>
      <c r="X136" s="18">
        <v>101.81476878498977</v>
      </c>
      <c r="Y136" s="18">
        <v>97.848030819740231</v>
      </c>
      <c r="Z136" s="18">
        <v>96.312620293837867</v>
      </c>
      <c r="AA136" s="18">
        <v>103.11086203925693</v>
      </c>
      <c r="AB136" s="18">
        <v>100.65229627950404</v>
      </c>
    </row>
    <row r="137" spans="1:28">
      <c r="A137" s="17">
        <f t="shared" si="2"/>
        <v>42370</v>
      </c>
      <c r="B137" s="18">
        <v>95.254528897646153</v>
      </c>
      <c r="C137" s="18">
        <v>99.495344975442151</v>
      </c>
      <c r="D137" s="18">
        <v>92.707844521832001</v>
      </c>
      <c r="E137" s="18">
        <v>99.50637080388482</v>
      </c>
      <c r="F137" s="18">
        <v>85.417545969822797</v>
      </c>
      <c r="G137" s="18">
        <v>94.184835909029857</v>
      </c>
      <c r="H137" s="18">
        <v>94.578996195644095</v>
      </c>
      <c r="I137" s="18">
        <v>99.810825763281613</v>
      </c>
      <c r="J137" s="18">
        <v>102.17612931669227</v>
      </c>
      <c r="K137" s="18">
        <v>86.687716284706312</v>
      </c>
      <c r="L137" s="18">
        <v>88.429399135746095</v>
      </c>
      <c r="M137" s="18">
        <v>95.87624954544637</v>
      </c>
      <c r="N137" s="18">
        <v>93.442599984903623</v>
      </c>
      <c r="P137" s="18">
        <v>97.006486126374696</v>
      </c>
      <c r="Q137" s="18">
        <v>97.758448979871687</v>
      </c>
      <c r="R137" s="18">
        <v>101.51515757211627</v>
      </c>
      <c r="S137" s="18">
        <v>100.46269082799087</v>
      </c>
      <c r="T137" s="18">
        <v>105.52979292792398</v>
      </c>
      <c r="U137" s="18">
        <v>102.34809340795681</v>
      </c>
      <c r="V137" s="18">
        <v>103.62158127302487</v>
      </c>
      <c r="W137" s="18">
        <v>100.90903427505604</v>
      </c>
      <c r="X137" s="18">
        <v>101.88006886138881</v>
      </c>
      <c r="Y137" s="18">
        <v>97.935731766219817</v>
      </c>
      <c r="Z137" s="18">
        <v>99.882457253022523</v>
      </c>
      <c r="AA137" s="18">
        <v>103.62982921082494</v>
      </c>
      <c r="AB137" s="18">
        <v>100.90678262475605</v>
      </c>
    </row>
    <row r="138" spans="1:28">
      <c r="A138" s="17">
        <f t="shared" si="2"/>
        <v>42401</v>
      </c>
      <c r="B138" s="18">
        <v>94.099262392532154</v>
      </c>
      <c r="C138" s="18">
        <v>97.802522357406943</v>
      </c>
      <c r="D138" s="18">
        <v>99.671055776822442</v>
      </c>
      <c r="E138" s="18">
        <v>98.816404302525015</v>
      </c>
      <c r="F138" s="18">
        <v>108.96216504808601</v>
      </c>
      <c r="G138" s="18">
        <v>97.686210394277268</v>
      </c>
      <c r="H138" s="18">
        <v>94.07846579335299</v>
      </c>
      <c r="I138" s="18">
        <v>100.32593489595902</v>
      </c>
      <c r="J138" s="18">
        <v>101.59030751006706</v>
      </c>
      <c r="K138" s="18">
        <v>92.876020201598749</v>
      </c>
      <c r="L138" s="18">
        <v>99.147891404431036</v>
      </c>
      <c r="M138" s="18">
        <v>108.25876225605664</v>
      </c>
      <c r="N138" s="18">
        <v>99.215220796407095</v>
      </c>
      <c r="P138" s="18">
        <v>100.39987609590196</v>
      </c>
      <c r="Q138" s="18">
        <v>102.38106720307559</v>
      </c>
      <c r="R138" s="18">
        <v>104.56018052714005</v>
      </c>
      <c r="S138" s="18">
        <v>101.0689968402865</v>
      </c>
      <c r="T138" s="18">
        <v>105.75925173048873</v>
      </c>
      <c r="U138" s="18">
        <v>101.14928446672383</v>
      </c>
      <c r="V138" s="18">
        <v>97.073054738127169</v>
      </c>
      <c r="W138" s="18">
        <v>103.38175567100647</v>
      </c>
      <c r="X138" s="18">
        <v>102.10636222756746</v>
      </c>
      <c r="Y138" s="18">
        <v>98.457424872894123</v>
      </c>
      <c r="Z138" s="18">
        <v>101.68393647275079</v>
      </c>
      <c r="AA138" s="18">
        <v>105.81052629143075</v>
      </c>
      <c r="AB138" s="18">
        <v>102.5206993969759</v>
      </c>
    </row>
    <row r="139" spans="1:28">
      <c r="A139" s="17">
        <f t="shared" si="2"/>
        <v>42430</v>
      </c>
      <c r="B139" s="18">
        <v>94.336743544672885</v>
      </c>
      <c r="C139" s="18">
        <v>97.149561894017822</v>
      </c>
      <c r="D139" s="18">
        <v>98.951701253936136</v>
      </c>
      <c r="E139" s="18">
        <v>101.0638402242046</v>
      </c>
      <c r="F139" s="18">
        <v>102.0864007486135</v>
      </c>
      <c r="G139" s="18">
        <v>96.832617576863754</v>
      </c>
      <c r="H139" s="18">
        <v>96.154314918559365</v>
      </c>
      <c r="I139" s="18">
        <v>107.37533176542564</v>
      </c>
      <c r="J139" s="18">
        <v>101.6712203279923</v>
      </c>
      <c r="K139" s="18">
        <v>95.99007956108899</v>
      </c>
      <c r="L139" s="18">
        <v>104.92517893868212</v>
      </c>
      <c r="M139" s="18">
        <v>100.04868953139434</v>
      </c>
      <c r="N139" s="18">
        <v>99.742562981833856</v>
      </c>
      <c r="P139" s="18">
        <v>100.01110058204456</v>
      </c>
      <c r="Q139" s="18">
        <v>98.008212119095646</v>
      </c>
      <c r="R139" s="18">
        <v>102.71824503967866</v>
      </c>
      <c r="S139" s="18">
        <v>99.943474984323544</v>
      </c>
      <c r="T139" s="18">
        <v>105.04030926523336</v>
      </c>
      <c r="U139" s="18">
        <v>101.81312234774104</v>
      </c>
      <c r="V139" s="18">
        <v>97.254727709417523</v>
      </c>
      <c r="W139" s="18">
        <v>102.14002247106239</v>
      </c>
      <c r="X139" s="18">
        <v>102.43936581570236</v>
      </c>
      <c r="Y139" s="18">
        <v>97.137035051264704</v>
      </c>
      <c r="Z139" s="18">
        <v>102.87296286585099</v>
      </c>
      <c r="AA139" s="18">
        <v>104.40553948040009</v>
      </c>
      <c r="AB139" s="18">
        <v>101.72375423912143</v>
      </c>
    </row>
    <row r="140" spans="1:28">
      <c r="A140" s="17">
        <f t="shared" si="2"/>
        <v>42461</v>
      </c>
      <c r="B140" s="18">
        <v>95.630857869521662</v>
      </c>
      <c r="C140" s="18">
        <v>95.0578336723852</v>
      </c>
      <c r="D140" s="18">
        <v>101.654516818636</v>
      </c>
      <c r="E140" s="18">
        <v>95.898660071623993</v>
      </c>
      <c r="F140" s="18">
        <v>92.471044583907855</v>
      </c>
      <c r="G140" s="18">
        <v>100.27019688560289</v>
      </c>
      <c r="H140" s="18">
        <v>93.886441163350838</v>
      </c>
      <c r="I140" s="18">
        <v>99.14646544514018</v>
      </c>
      <c r="J140" s="18">
        <v>102.17209730211927</v>
      </c>
      <c r="K140" s="18">
        <v>91.583827284894326</v>
      </c>
      <c r="L140" s="18">
        <v>97.855984599773464</v>
      </c>
      <c r="M140" s="18">
        <v>105.72457806429566</v>
      </c>
      <c r="N140" s="18">
        <v>98.07288970735172</v>
      </c>
      <c r="P140" s="18">
        <v>99.293324302291168</v>
      </c>
      <c r="Q140" s="18">
        <v>97.168278196551555</v>
      </c>
      <c r="R140" s="18">
        <v>103.23527031123156</v>
      </c>
      <c r="S140" s="18">
        <v>98.282220203022845</v>
      </c>
      <c r="T140" s="18">
        <v>102.9817159808288</v>
      </c>
      <c r="U140" s="18">
        <v>101.9766729575738</v>
      </c>
      <c r="V140" s="18">
        <v>99.471461932135924</v>
      </c>
      <c r="W140" s="18">
        <v>99.546421841284555</v>
      </c>
      <c r="X140" s="18">
        <v>102.89631395921086</v>
      </c>
      <c r="Y140" s="18">
        <v>97.76770942879584</v>
      </c>
      <c r="Z140" s="18">
        <v>103.86598314266932</v>
      </c>
      <c r="AA140" s="18">
        <v>105.67598726887233</v>
      </c>
      <c r="AB140" s="18">
        <v>101.42323035514001</v>
      </c>
    </row>
    <row r="141" spans="1:28">
      <c r="A141" s="17">
        <f t="shared" si="2"/>
        <v>42491</v>
      </c>
      <c r="B141" s="18">
        <v>97.24538978141878</v>
      </c>
      <c r="C141" s="18">
        <v>96.590175128582914</v>
      </c>
      <c r="D141" s="18">
        <v>102.56930477840376</v>
      </c>
      <c r="E141" s="18">
        <v>99.656131165817158</v>
      </c>
      <c r="F141" s="18">
        <v>116.52234050286452</v>
      </c>
      <c r="G141" s="18">
        <v>97.830380752805141</v>
      </c>
      <c r="H141" s="18">
        <v>96.547610491974879</v>
      </c>
      <c r="I141" s="18">
        <v>101.91277430826116</v>
      </c>
      <c r="J141" s="18">
        <v>103.36233072493872</v>
      </c>
      <c r="K141" s="18">
        <v>94.396435319589742</v>
      </c>
      <c r="L141" s="18">
        <v>100.01334671817177</v>
      </c>
      <c r="M141" s="18">
        <v>99.89747107807105</v>
      </c>
      <c r="N141" s="18">
        <v>100.69555624560604</v>
      </c>
      <c r="P141" s="18">
        <v>96.810193940089349</v>
      </c>
      <c r="Q141" s="18">
        <v>97.102700677835188</v>
      </c>
      <c r="R141" s="18">
        <v>102.99364060444009</v>
      </c>
      <c r="S141" s="18">
        <v>98.765496853051218</v>
      </c>
      <c r="T141" s="18">
        <v>105.18620623494901</v>
      </c>
      <c r="U141" s="18">
        <v>101.63285914560738</v>
      </c>
      <c r="V141" s="18">
        <v>99.427646087181387</v>
      </c>
      <c r="W141" s="18">
        <v>102.24402588314297</v>
      </c>
      <c r="X141" s="18">
        <v>103.28576248038053</v>
      </c>
      <c r="Y141" s="18">
        <v>97.372772243022354</v>
      </c>
      <c r="Z141" s="18">
        <v>103.69345344436178</v>
      </c>
      <c r="AA141" s="18">
        <v>104.93006329023132</v>
      </c>
      <c r="AB141" s="18">
        <v>101.81482300498388</v>
      </c>
    </row>
    <row r="142" spans="1:28">
      <c r="A142" s="17">
        <f t="shared" si="2"/>
        <v>42522</v>
      </c>
      <c r="B142" s="18">
        <v>98.674827759029213</v>
      </c>
      <c r="C142" s="18">
        <v>95.088661890666401</v>
      </c>
      <c r="D142" s="18">
        <v>103.64923033154287</v>
      </c>
      <c r="E142" s="18">
        <v>97.720368742424483</v>
      </c>
      <c r="F142" s="18">
        <v>107.04311298063067</v>
      </c>
      <c r="G142" s="18">
        <v>100.2287019461195</v>
      </c>
      <c r="H142" s="18">
        <v>100.59177520433468</v>
      </c>
      <c r="I142" s="18">
        <v>101.42773964245093</v>
      </c>
      <c r="J142" s="18">
        <v>103.6776125724794</v>
      </c>
      <c r="K142" s="18">
        <v>96.857558136561877</v>
      </c>
      <c r="L142" s="18">
        <v>105.42540396298246</v>
      </c>
      <c r="M142" s="18">
        <v>98.173749451970068</v>
      </c>
      <c r="N142" s="18">
        <v>101.58396715148163</v>
      </c>
      <c r="P142" s="18">
        <v>100.54986672594192</v>
      </c>
      <c r="Q142" s="18">
        <v>97.004530095737223</v>
      </c>
      <c r="R142" s="18">
        <v>105.10997123895281</v>
      </c>
      <c r="S142" s="18">
        <v>99.952049539222202</v>
      </c>
      <c r="T142" s="18">
        <v>103.66071401924968</v>
      </c>
      <c r="U142" s="18">
        <v>102.56486643685344</v>
      </c>
      <c r="V142" s="18">
        <v>99.565611713499152</v>
      </c>
      <c r="W142" s="18">
        <v>102.23289837076483</v>
      </c>
      <c r="X142" s="18">
        <v>103.59245084178804</v>
      </c>
      <c r="Y142" s="18">
        <v>96.522997593011794</v>
      </c>
      <c r="Z142" s="18">
        <v>103.73019183311469</v>
      </c>
      <c r="AA142" s="18">
        <v>105.21845520904343</v>
      </c>
      <c r="AB142" s="18">
        <v>101.82332187692916</v>
      </c>
    </row>
    <row r="143" spans="1:28">
      <c r="A143" s="17">
        <f t="shared" si="2"/>
        <v>42552</v>
      </c>
      <c r="B143" s="18">
        <v>95.568946240167165</v>
      </c>
      <c r="C143" s="18">
        <v>97.551757288083124</v>
      </c>
      <c r="D143" s="18">
        <v>97.619384686178037</v>
      </c>
      <c r="E143" s="18">
        <v>98.95881823816552</v>
      </c>
      <c r="F143" s="18">
        <v>88.355111661267173</v>
      </c>
      <c r="G143" s="18">
        <v>103.82604928171691</v>
      </c>
      <c r="H143" s="18">
        <v>97.670135624317382</v>
      </c>
      <c r="I143" s="18">
        <v>105.16835065613064</v>
      </c>
      <c r="J143" s="18">
        <v>103.59610065434492</v>
      </c>
      <c r="K143" s="18">
        <v>96.680288162879378</v>
      </c>
      <c r="L143" s="18">
        <v>107.39979515450766</v>
      </c>
      <c r="M143" s="18">
        <v>108.04236051667091</v>
      </c>
      <c r="N143" s="18">
        <v>100.47651082342841</v>
      </c>
      <c r="P143" s="18">
        <v>91.496553880723255</v>
      </c>
      <c r="Q143" s="18">
        <v>98.40873232010685</v>
      </c>
      <c r="R143" s="18">
        <v>95.251855573085138</v>
      </c>
      <c r="S143" s="18">
        <v>97.88015770074648</v>
      </c>
      <c r="T143" s="18">
        <v>101.17217928092821</v>
      </c>
      <c r="U143" s="18">
        <v>100.38035986742651</v>
      </c>
      <c r="V143" s="18">
        <v>100.66052042517413</v>
      </c>
      <c r="W143" s="18">
        <v>105.93725970466821</v>
      </c>
      <c r="X143" s="18">
        <v>103.79998565136208</v>
      </c>
      <c r="Y143" s="18">
        <v>96.78233895512524</v>
      </c>
      <c r="Z143" s="18">
        <v>104.59763047422402</v>
      </c>
      <c r="AA143" s="18">
        <v>105.20235301552832</v>
      </c>
      <c r="AB143" s="18">
        <v>99.678198271758191</v>
      </c>
    </row>
    <row r="144" spans="1:28">
      <c r="A144" s="17">
        <f t="shared" si="2"/>
        <v>42583</v>
      </c>
      <c r="B144" s="18">
        <v>120.63034034575102</v>
      </c>
      <c r="C144" s="18">
        <v>96.182233306777093</v>
      </c>
      <c r="D144" s="18">
        <v>109.52939609195356</v>
      </c>
      <c r="E144" s="18">
        <v>102.3087120746281</v>
      </c>
      <c r="F144" s="18">
        <v>117.75813295526163</v>
      </c>
      <c r="G144" s="18">
        <v>102.50034399837928</v>
      </c>
      <c r="H144" s="18">
        <v>97.674481796430044</v>
      </c>
      <c r="I144" s="18">
        <v>101.48505552873901</v>
      </c>
      <c r="J144" s="18">
        <v>104.00162000799591</v>
      </c>
      <c r="K144" s="18">
        <v>95.575195909283948</v>
      </c>
      <c r="L144" s="18">
        <v>99.725810798648922</v>
      </c>
      <c r="M144" s="18">
        <v>109.12412076263452</v>
      </c>
      <c r="N144" s="18">
        <v>104.67836969335063</v>
      </c>
      <c r="P144" s="18">
        <v>110.00426144230772</v>
      </c>
      <c r="Q144" s="18">
        <v>96.859802058616594</v>
      </c>
      <c r="R144" s="18">
        <v>106.67524953327697</v>
      </c>
      <c r="S144" s="18">
        <v>100.87998796345002</v>
      </c>
      <c r="T144" s="18">
        <v>104.56412423414739</v>
      </c>
      <c r="U144" s="18">
        <v>103.34184708655947</v>
      </c>
      <c r="V144" s="18">
        <v>100.49261791507422</v>
      </c>
      <c r="W144" s="18">
        <v>102.53884226392196</v>
      </c>
      <c r="X144" s="18">
        <v>103.96438101565579</v>
      </c>
      <c r="Y144" s="18">
        <v>96.791035641950998</v>
      </c>
      <c r="Z144" s="18">
        <v>104.30124288744493</v>
      </c>
      <c r="AA144" s="18">
        <v>105.2779006606068</v>
      </c>
      <c r="AB144" s="18">
        <v>103.22353415624652</v>
      </c>
    </row>
    <row r="145" spans="1:28">
      <c r="A145" s="17">
        <f t="shared" si="2"/>
        <v>42614</v>
      </c>
      <c r="B145" s="18">
        <v>113.4500622972779</v>
      </c>
      <c r="C145" s="18">
        <v>95.414650025440267</v>
      </c>
      <c r="D145" s="18">
        <v>109.04442853824578</v>
      </c>
      <c r="E145" s="18">
        <v>101.90680185254813</v>
      </c>
      <c r="F145" s="18">
        <v>110.7432269457621</v>
      </c>
      <c r="G145" s="18">
        <v>100.15439159122359</v>
      </c>
      <c r="H145" s="18">
        <v>101.21645021512361</v>
      </c>
      <c r="I145" s="18">
        <v>101.9733671397767</v>
      </c>
      <c r="J145" s="18">
        <v>104.14267890073231</v>
      </c>
      <c r="K145" s="18">
        <v>96.808778533500956</v>
      </c>
      <c r="L145" s="18">
        <v>102.98274251195375</v>
      </c>
      <c r="M145" s="18">
        <v>105.71928174956642</v>
      </c>
      <c r="N145" s="18">
        <v>103.65567678590379</v>
      </c>
      <c r="P145" s="18">
        <v>108.128272488905</v>
      </c>
      <c r="Q145" s="18">
        <v>97.602112102898374</v>
      </c>
      <c r="R145" s="18">
        <v>105.22419934178937</v>
      </c>
      <c r="S145" s="18">
        <v>100.45959808209241</v>
      </c>
      <c r="T145" s="18">
        <v>104.12468890012516</v>
      </c>
      <c r="U145" s="18">
        <v>103.81018956097101</v>
      </c>
      <c r="V145" s="18">
        <v>99.592395638173741</v>
      </c>
      <c r="W145" s="18">
        <v>103.5970553562058</v>
      </c>
      <c r="X145" s="18">
        <v>104.05252619044816</v>
      </c>
      <c r="Y145" s="18">
        <v>98.026797438074496</v>
      </c>
      <c r="Z145" s="18">
        <v>105.34342995709123</v>
      </c>
      <c r="AA145" s="18">
        <v>106.96248341810801</v>
      </c>
      <c r="AB145" s="18">
        <v>103.64667999239768</v>
      </c>
    </row>
    <row r="146" spans="1:28">
      <c r="A146" s="17">
        <f t="shared" si="2"/>
        <v>42644</v>
      </c>
      <c r="B146" s="18">
        <v>107.9200508207135</v>
      </c>
      <c r="C146" s="18">
        <v>97.516080128067671</v>
      </c>
      <c r="D146" s="18">
        <v>107.73909672102515</v>
      </c>
      <c r="E146" s="18">
        <v>102.21497217585849</v>
      </c>
      <c r="F146" s="18">
        <v>92.425817432826364</v>
      </c>
      <c r="G146" s="18">
        <v>101.11079301780663</v>
      </c>
      <c r="H146" s="18">
        <v>103.29888548252515</v>
      </c>
      <c r="I146" s="18">
        <v>102.59392417063458</v>
      </c>
      <c r="J146" s="18">
        <v>104.74806425935721</v>
      </c>
      <c r="K146" s="18">
        <v>98.487514458313001</v>
      </c>
      <c r="L146" s="18">
        <v>100.14853677755981</v>
      </c>
      <c r="M146" s="18">
        <v>116.58877618007912</v>
      </c>
      <c r="N146" s="18">
        <v>101.99606847159617</v>
      </c>
      <c r="P146" s="18">
        <v>106.76507614367499</v>
      </c>
      <c r="Q146" s="18">
        <v>95.261687035145698</v>
      </c>
      <c r="R146" s="18">
        <v>102.70697451098478</v>
      </c>
      <c r="S146" s="18">
        <v>100.47335408262821</v>
      </c>
      <c r="T146" s="18">
        <v>100.33821700190171</v>
      </c>
      <c r="U146" s="18">
        <v>103.07177743637672</v>
      </c>
      <c r="V146" s="18">
        <v>99.361082137569255</v>
      </c>
      <c r="W146" s="18">
        <v>104.52500803594398</v>
      </c>
      <c r="X146" s="18">
        <v>104.46369830834324</v>
      </c>
      <c r="Y146" s="18">
        <v>98.177784377834456</v>
      </c>
      <c r="Z146" s="18">
        <v>105.06367509260086</v>
      </c>
      <c r="AA146" s="18">
        <v>106.08552029128873</v>
      </c>
      <c r="AB146" s="18">
        <v>102.51529967372643</v>
      </c>
    </row>
    <row r="147" spans="1:28">
      <c r="A147" s="17">
        <f t="shared" si="2"/>
        <v>42675</v>
      </c>
      <c r="B147" s="18">
        <v>110.02006631637377</v>
      </c>
      <c r="C147" s="18">
        <v>95.23375707080379</v>
      </c>
      <c r="D147" s="18">
        <v>107.27865118070854</v>
      </c>
      <c r="E147" s="18">
        <v>101.61277106939698</v>
      </c>
      <c r="F147" s="18">
        <v>123.44088301002078</v>
      </c>
      <c r="G147" s="18">
        <v>108.55931320117469</v>
      </c>
      <c r="H147" s="18">
        <v>102.16272352442016</v>
      </c>
      <c r="I147" s="18">
        <v>103.09829268125716</v>
      </c>
      <c r="J147" s="18">
        <v>105.61078585349051</v>
      </c>
      <c r="K147" s="18">
        <v>104.7392292170842</v>
      </c>
      <c r="L147" s="18">
        <v>110.62990480023625</v>
      </c>
      <c r="M147" s="18">
        <v>106.61629724570633</v>
      </c>
      <c r="N147" s="18">
        <v>107.83828266826411</v>
      </c>
      <c r="P147" s="18">
        <v>112.53681724495799</v>
      </c>
      <c r="Q147" s="18">
        <v>93.779713751271515</v>
      </c>
      <c r="R147" s="18">
        <v>103.65010050204249</v>
      </c>
      <c r="S147" s="18">
        <v>100.92842242709945</v>
      </c>
      <c r="T147" s="18">
        <v>103.19598243928618</v>
      </c>
      <c r="U147" s="18">
        <v>104.1715584888987</v>
      </c>
      <c r="V147" s="18">
        <v>98.268951964785472</v>
      </c>
      <c r="W147" s="18">
        <v>103.09802754929342</v>
      </c>
      <c r="X147" s="18">
        <v>104.86806128072492</v>
      </c>
      <c r="Y147" s="18">
        <v>97.680339826895249</v>
      </c>
      <c r="Z147" s="18">
        <v>104.20605167933283</v>
      </c>
      <c r="AA147" s="18">
        <v>106.43647907415689</v>
      </c>
      <c r="AB147" s="18">
        <v>103.13944066130382</v>
      </c>
    </row>
    <row r="148" spans="1:28">
      <c r="A148" s="17">
        <f t="shared" si="2"/>
        <v>42705</v>
      </c>
      <c r="B148" s="18">
        <v>110.00908664737455</v>
      </c>
      <c r="C148" s="18">
        <v>102.29840363844029</v>
      </c>
      <c r="D148" s="18">
        <v>108.2710159729948</v>
      </c>
      <c r="E148" s="18">
        <v>100.23858433725943</v>
      </c>
      <c r="F148" s="18">
        <v>97.839584619712682</v>
      </c>
      <c r="G148" s="18">
        <v>129.04264574094969</v>
      </c>
      <c r="H148" s="18">
        <v>114.27694257732067</v>
      </c>
      <c r="I148" s="18">
        <v>111.30564102346474</v>
      </c>
      <c r="J148" s="18">
        <v>105.59691723144378</v>
      </c>
      <c r="K148" s="18">
        <v>120.10771098681401</v>
      </c>
      <c r="L148" s="18">
        <v>127.43924190064303</v>
      </c>
      <c r="M148" s="18">
        <v>112.43477372241584</v>
      </c>
      <c r="N148" s="18">
        <v>114.8693316746913</v>
      </c>
      <c r="P148" s="18">
        <v>109.83833393926648</v>
      </c>
      <c r="Q148" s="18">
        <v>94.045696835908473</v>
      </c>
      <c r="R148" s="18">
        <v>105.04478191754032</v>
      </c>
      <c r="S148" s="18">
        <v>100.80598555442251</v>
      </c>
      <c r="T148" s="18">
        <v>101.51218444371383</v>
      </c>
      <c r="U148" s="18">
        <v>105.96584909325995</v>
      </c>
      <c r="V148" s="18">
        <v>97.347571453190156</v>
      </c>
      <c r="W148" s="18">
        <v>105.47335159817098</v>
      </c>
      <c r="X148" s="18">
        <v>104.99688802908136</v>
      </c>
      <c r="Y148" s="18">
        <v>98.138386861226351</v>
      </c>
      <c r="Z148" s="18">
        <v>104.88222160087248</v>
      </c>
      <c r="AA148" s="18">
        <v>106.86997289381364</v>
      </c>
      <c r="AB148" s="18">
        <v>103.8512727314797</v>
      </c>
    </row>
    <row r="149" spans="1:28">
      <c r="A149" s="17">
        <f t="shared" si="2"/>
        <v>42736</v>
      </c>
      <c r="B149" s="18">
        <v>104.31456647796993</v>
      </c>
      <c r="C149" s="18">
        <v>94.168207793565657</v>
      </c>
      <c r="D149" s="18">
        <v>93.905930815378923</v>
      </c>
      <c r="E149" s="18">
        <v>99.434439674771824</v>
      </c>
      <c r="F149" s="18">
        <v>81.418752906335527</v>
      </c>
      <c r="G149" s="18">
        <v>94.493204151366513</v>
      </c>
      <c r="H149" s="18">
        <v>89.603287325535902</v>
      </c>
      <c r="I149" s="18">
        <v>104.43769091498795</v>
      </c>
      <c r="J149" s="18">
        <v>105.46329994092092</v>
      </c>
      <c r="K149" s="18">
        <v>86.471430096117999</v>
      </c>
      <c r="L149" s="18">
        <v>93.15158335448433</v>
      </c>
      <c r="M149" s="18">
        <v>98.715592887724952</v>
      </c>
      <c r="N149" s="18">
        <v>94.795036351533994</v>
      </c>
      <c r="P149" s="18">
        <v>106.86903495274822</v>
      </c>
      <c r="Q149" s="18">
        <v>92.809562582835454</v>
      </c>
      <c r="R149" s="18">
        <v>102.86927470144352</v>
      </c>
      <c r="S149" s="18">
        <v>100.56399518265357</v>
      </c>
      <c r="T149" s="18">
        <v>100.61354344423503</v>
      </c>
      <c r="U149" s="18">
        <v>102.49287313642412</v>
      </c>
      <c r="V149" s="18">
        <v>98.716349180350278</v>
      </c>
      <c r="W149" s="18">
        <v>105.03321268651915</v>
      </c>
      <c r="X149" s="18">
        <v>105.19900641140005</v>
      </c>
      <c r="Y149" s="18">
        <v>97.734451993824152</v>
      </c>
      <c r="Z149" s="18">
        <v>106.00656199274583</v>
      </c>
      <c r="AA149" s="18">
        <v>107.05399592403488</v>
      </c>
      <c r="AB149" s="18">
        <v>102.47905341851468</v>
      </c>
    </row>
    <row r="150" spans="1:28">
      <c r="A150" s="17">
        <f t="shared" si="2"/>
        <v>42767</v>
      </c>
      <c r="B150" s="18">
        <v>102.927455444323</v>
      </c>
      <c r="C150" s="18">
        <v>86.032386108682317</v>
      </c>
      <c r="D150" s="18">
        <v>95.492475220903771</v>
      </c>
      <c r="E150" s="18">
        <v>97.357116133482151</v>
      </c>
      <c r="F150" s="18">
        <v>104.20286487044706</v>
      </c>
      <c r="G150" s="18">
        <v>97.635991790718776</v>
      </c>
      <c r="H150" s="18">
        <v>92.768676212937805</v>
      </c>
      <c r="I150" s="18">
        <v>100.78642450310534</v>
      </c>
      <c r="J150" s="18">
        <v>104.94242278439569</v>
      </c>
      <c r="K150" s="18">
        <v>92.664323314740017</v>
      </c>
      <c r="L150" s="18">
        <v>101.92495908370299</v>
      </c>
      <c r="M150" s="18">
        <v>111.98452017143867</v>
      </c>
      <c r="N150" s="18">
        <v>98.859283121962875</v>
      </c>
      <c r="P150" s="18">
        <v>109.22622846104591</v>
      </c>
      <c r="Q150" s="18">
        <v>93.417664836572882</v>
      </c>
      <c r="R150" s="18">
        <v>103.02724297070375</v>
      </c>
      <c r="S150" s="18">
        <v>102.0209534384087</v>
      </c>
      <c r="T150" s="18">
        <v>101.06243173241796</v>
      </c>
      <c r="U150" s="18">
        <v>103.79174343117812</v>
      </c>
      <c r="V150" s="18">
        <v>97.6795757988899</v>
      </c>
      <c r="W150" s="18">
        <v>103.9495519112948</v>
      </c>
      <c r="X150" s="18">
        <v>105.46562040053209</v>
      </c>
      <c r="Y150" s="18">
        <v>98.304316713408198</v>
      </c>
      <c r="Z150" s="18">
        <v>105.04552660409068</v>
      </c>
      <c r="AA150" s="18">
        <v>111.09318579623459</v>
      </c>
      <c r="AB150" s="18">
        <v>103.39016429021757</v>
      </c>
    </row>
    <row r="151" spans="1:28">
      <c r="A151" s="17">
        <f t="shared" si="2"/>
        <v>42795</v>
      </c>
      <c r="B151" s="18">
        <v>108.16665035631357</v>
      </c>
      <c r="C151" s="18">
        <v>90.125405365314478</v>
      </c>
      <c r="D151" s="18">
        <v>103.79884082816693</v>
      </c>
      <c r="E151" s="18">
        <v>104.11823654778671</v>
      </c>
      <c r="F151" s="18">
        <v>97.949351377961491</v>
      </c>
      <c r="G151" s="18">
        <v>100.10907402261378</v>
      </c>
      <c r="H151" s="18">
        <v>98.519670246618745</v>
      </c>
      <c r="I151" s="18">
        <v>109.61107309999313</v>
      </c>
      <c r="J151" s="18">
        <v>104.96387817380044</v>
      </c>
      <c r="K151" s="18">
        <v>97.161549391045838</v>
      </c>
      <c r="L151" s="18">
        <v>106.80885238066078</v>
      </c>
      <c r="M151" s="18">
        <v>102.5197283661399</v>
      </c>
      <c r="N151" s="18">
        <v>102.21858741191079</v>
      </c>
      <c r="P151" s="18">
        <v>108.76769261157884</v>
      </c>
      <c r="Q151" s="18">
        <v>90.715390631827589</v>
      </c>
      <c r="R151" s="18">
        <v>103.0169008198166</v>
      </c>
      <c r="S151" s="18">
        <v>102.02802958437154</v>
      </c>
      <c r="T151" s="18">
        <v>100.32521105586929</v>
      </c>
      <c r="U151" s="18">
        <v>103.87860002078449</v>
      </c>
      <c r="V151" s="18">
        <v>99.422978068066328</v>
      </c>
      <c r="W151" s="18">
        <v>105.35872414092553</v>
      </c>
      <c r="X151" s="18">
        <v>105.69579565058271</v>
      </c>
      <c r="Y151" s="18">
        <v>98.361861508229282</v>
      </c>
      <c r="Z151" s="18">
        <v>105.22737661870028</v>
      </c>
      <c r="AA151" s="18">
        <v>106.35699561324698</v>
      </c>
      <c r="AB151" s="18">
        <v>102.55448814685329</v>
      </c>
    </row>
    <row r="152" spans="1:28">
      <c r="A152" s="17">
        <f t="shared" si="2"/>
        <v>42826</v>
      </c>
      <c r="B152" s="18">
        <v>93.453359076484347</v>
      </c>
      <c r="C152" s="18">
        <v>89.491780165588551</v>
      </c>
      <c r="D152" s="18">
        <v>92.966340421703265</v>
      </c>
      <c r="E152" s="18">
        <v>98.973673818506796</v>
      </c>
      <c r="F152" s="18">
        <v>92.953979085412726</v>
      </c>
      <c r="G152" s="18">
        <v>101.96341686172754</v>
      </c>
      <c r="H152" s="18">
        <v>92.304590076035481</v>
      </c>
      <c r="I152" s="18">
        <v>106.90368481145507</v>
      </c>
      <c r="J152" s="18">
        <v>105.14952053319494</v>
      </c>
      <c r="K152" s="18">
        <v>92.062964043390465</v>
      </c>
      <c r="L152" s="18">
        <v>99.282078050896786</v>
      </c>
      <c r="M152" s="18">
        <v>106.13005429668819</v>
      </c>
      <c r="N152" s="18">
        <v>97.757741191795915</v>
      </c>
      <c r="P152" s="18">
        <v>102.53051101575186</v>
      </c>
      <c r="Q152" s="18">
        <v>91.743367929139183</v>
      </c>
      <c r="R152" s="18">
        <v>98.635157637969826</v>
      </c>
      <c r="S152" s="18">
        <v>102.11563572750417</v>
      </c>
      <c r="T152" s="18">
        <v>103.59520537290858</v>
      </c>
      <c r="U152" s="18">
        <v>104.515317624817</v>
      </c>
      <c r="V152" s="18">
        <v>97.788454930058052</v>
      </c>
      <c r="W152" s="18">
        <v>107.56667872563408</v>
      </c>
      <c r="X152" s="18">
        <v>105.91793697896304</v>
      </c>
      <c r="Y152" s="18">
        <v>98.146955456378222</v>
      </c>
      <c r="Z152" s="18">
        <v>105.26146607113829</v>
      </c>
      <c r="AA152" s="18">
        <v>106.10283455407156</v>
      </c>
      <c r="AB152" s="18">
        <v>102.63212983351606</v>
      </c>
    </row>
    <row r="153" spans="1:28">
      <c r="A153" s="17">
        <f t="shared" si="2"/>
        <v>42856</v>
      </c>
      <c r="B153" s="18">
        <v>105.22703164055298</v>
      </c>
      <c r="C153" s="18">
        <v>93.818293818873229</v>
      </c>
      <c r="D153" s="18">
        <v>99.979758260260709</v>
      </c>
      <c r="E153" s="18">
        <v>102.87212462088435</v>
      </c>
      <c r="F153" s="18">
        <v>113.2020209027126</v>
      </c>
      <c r="G153" s="18">
        <v>99.910489702346069</v>
      </c>
      <c r="H153" s="18">
        <v>98.230602672697117</v>
      </c>
      <c r="I153" s="18">
        <v>106.91857523549051</v>
      </c>
      <c r="J153" s="18">
        <v>106.26717906553043</v>
      </c>
      <c r="K153" s="18">
        <v>95.786037308815452</v>
      </c>
      <c r="L153" s="18">
        <v>102.73932330966898</v>
      </c>
      <c r="M153" s="18">
        <v>102.77184609662078</v>
      </c>
      <c r="N153" s="18">
        <v>102.05933772551332</v>
      </c>
      <c r="P153" s="18">
        <v>104.99678914334407</v>
      </c>
      <c r="Q153" s="18">
        <v>94.441380008650142</v>
      </c>
      <c r="R153" s="18">
        <v>100.26869512794936</v>
      </c>
      <c r="S153" s="18">
        <v>102.35271422902798</v>
      </c>
      <c r="T153" s="18">
        <v>102.91206826619195</v>
      </c>
      <c r="U153" s="18">
        <v>103.73575755745949</v>
      </c>
      <c r="V153" s="18">
        <v>101.2512459990667</v>
      </c>
      <c r="W153" s="18">
        <v>107.39695432984391</v>
      </c>
      <c r="X153" s="18">
        <v>106.21791366545909</v>
      </c>
      <c r="Y153" s="18">
        <v>98.893379194176788</v>
      </c>
      <c r="Z153" s="18">
        <v>106.11140280255572</v>
      </c>
      <c r="AA153" s="18">
        <v>106.93974803300696</v>
      </c>
      <c r="AB153" s="18">
        <v>103.2221481222858</v>
      </c>
    </row>
    <row r="154" spans="1:28">
      <c r="A154" s="17">
        <f t="shared" si="2"/>
        <v>42887</v>
      </c>
      <c r="B154" s="18">
        <v>111.21401159550589</v>
      </c>
      <c r="C154" s="18">
        <v>90.116532588053218</v>
      </c>
      <c r="D154" s="18">
        <v>100.89736616398825</v>
      </c>
      <c r="E154" s="18">
        <v>100.63642557119994</v>
      </c>
      <c r="F154" s="18">
        <v>106.3898027968585</v>
      </c>
      <c r="G154" s="18">
        <v>103.27083907733525</v>
      </c>
      <c r="H154" s="18">
        <v>100.64897694943835</v>
      </c>
      <c r="I154" s="18">
        <v>110.94415895221834</v>
      </c>
      <c r="J154" s="18">
        <v>106.50510058835239</v>
      </c>
      <c r="K154" s="18">
        <v>99.928229536817355</v>
      </c>
      <c r="L154" s="18">
        <v>112.10866571407998</v>
      </c>
      <c r="M154" s="18">
        <v>100.54357534495833</v>
      </c>
      <c r="N154" s="18">
        <v>104.51063338055759</v>
      </c>
      <c r="P154" s="18">
        <v>113.69748384664472</v>
      </c>
      <c r="Q154" s="18">
        <v>91.756493779182222</v>
      </c>
      <c r="R154" s="18">
        <v>102.17392239072518</v>
      </c>
      <c r="S154" s="18">
        <v>102.71538199850656</v>
      </c>
      <c r="T154" s="18">
        <v>103.97439458285459</v>
      </c>
      <c r="U154" s="18">
        <v>105.2154053986734</v>
      </c>
      <c r="V154" s="18">
        <v>99.213721944272649</v>
      </c>
      <c r="W154" s="18">
        <v>111.86012755687018</v>
      </c>
      <c r="X154" s="18">
        <v>106.44937600723235</v>
      </c>
      <c r="Y154" s="18">
        <v>99.224475298403235</v>
      </c>
      <c r="Z154" s="18">
        <v>109.36636701494736</v>
      </c>
      <c r="AA154" s="18">
        <v>106.88566293309083</v>
      </c>
      <c r="AB154" s="18">
        <v>104.48079093854685</v>
      </c>
    </row>
    <row r="155" spans="1:28">
      <c r="A155" s="17">
        <f t="shared" si="2"/>
        <v>42917</v>
      </c>
      <c r="B155" s="18">
        <v>109.19253941317764</v>
      </c>
      <c r="C155" s="18">
        <v>91.764040972807848</v>
      </c>
      <c r="D155" s="18">
        <v>101.40922121068499</v>
      </c>
      <c r="E155" s="18">
        <v>103.89737505493393</v>
      </c>
      <c r="F155" s="18">
        <v>89.470996565273282</v>
      </c>
      <c r="G155" s="18">
        <v>109.50268738921784</v>
      </c>
      <c r="H155" s="18">
        <v>94.814766215541383</v>
      </c>
      <c r="I155" s="18">
        <v>106.65975348947757</v>
      </c>
      <c r="J155" s="18">
        <v>106.41159766450967</v>
      </c>
      <c r="K155" s="18">
        <v>99.243619443522817</v>
      </c>
      <c r="L155" s="18">
        <v>110.60172878213382</v>
      </c>
      <c r="M155" s="18">
        <v>110.91298044029672</v>
      </c>
      <c r="N155" s="18">
        <v>104.17582449402995</v>
      </c>
      <c r="P155" s="18">
        <v>105.24537182283582</v>
      </c>
      <c r="Q155" s="18">
        <v>91.968604465618242</v>
      </c>
      <c r="R155" s="18">
        <v>99.046857325934596</v>
      </c>
      <c r="S155" s="18">
        <v>102.41339542417151</v>
      </c>
      <c r="T155" s="18">
        <v>100.55132519111061</v>
      </c>
      <c r="U155" s="18">
        <v>105.43588344368149</v>
      </c>
      <c r="V155" s="18">
        <v>97.7176464682952</v>
      </c>
      <c r="W155" s="18">
        <v>106.49527658847799</v>
      </c>
      <c r="X155" s="18">
        <v>106.63605892797786</v>
      </c>
      <c r="Y155" s="18">
        <v>99.154906289675949</v>
      </c>
      <c r="Z155" s="18">
        <v>107.53509881595811</v>
      </c>
      <c r="AA155" s="18">
        <v>108.08298464817059</v>
      </c>
      <c r="AB155" s="18">
        <v>103.08321405643956</v>
      </c>
    </row>
    <row r="156" spans="1:28">
      <c r="A156" s="17">
        <f t="shared" si="2"/>
        <v>42948</v>
      </c>
      <c r="B156" s="18">
        <v>123.45291694839833</v>
      </c>
      <c r="C156" s="18">
        <v>90.853860424803983</v>
      </c>
      <c r="D156" s="18">
        <v>105.33041370655936</v>
      </c>
      <c r="E156" s="18">
        <v>105.35972835612624</v>
      </c>
      <c r="F156" s="18">
        <v>112.92854753768292</v>
      </c>
      <c r="G156" s="18">
        <v>105.41378595438813</v>
      </c>
      <c r="H156" s="18">
        <v>93.690308095053282</v>
      </c>
      <c r="I156" s="18">
        <v>108.15083855387455</v>
      </c>
      <c r="J156" s="18">
        <v>107.06680418997934</v>
      </c>
      <c r="K156" s="18">
        <v>98.13537154230545</v>
      </c>
      <c r="L156" s="18">
        <v>104.70642795460626</v>
      </c>
      <c r="M156" s="18">
        <v>112.07385680330238</v>
      </c>
      <c r="N156" s="18">
        <v>105.78533770581244</v>
      </c>
      <c r="P156" s="18">
        <v>111.80311107259317</v>
      </c>
      <c r="Q156" s="18">
        <v>91.012327842472459</v>
      </c>
      <c r="R156" s="18">
        <v>101.84584483007602</v>
      </c>
      <c r="S156" s="18">
        <v>103.39787430793007</v>
      </c>
      <c r="T156" s="18">
        <v>100.75311136534175</v>
      </c>
      <c r="U156" s="18">
        <v>105.66866828736489</v>
      </c>
      <c r="V156" s="18">
        <v>96.383679966225827</v>
      </c>
      <c r="W156" s="18">
        <v>108.6013152283718</v>
      </c>
      <c r="X156" s="18">
        <v>106.98586492627284</v>
      </c>
      <c r="Y156" s="18">
        <v>99.291053710135174</v>
      </c>
      <c r="Z156" s="18">
        <v>109.12189259380118</v>
      </c>
      <c r="AA156" s="18">
        <v>107.67063921330893</v>
      </c>
      <c r="AB156" s="18">
        <v>104.14110799420942</v>
      </c>
    </row>
    <row r="157" spans="1:28">
      <c r="A157" s="17">
        <f t="shared" si="2"/>
        <v>42979</v>
      </c>
      <c r="B157" s="18">
        <v>116.66387547268285</v>
      </c>
      <c r="C157" s="18">
        <v>87.784398357890254</v>
      </c>
      <c r="D157" s="18">
        <v>105.99870460981637</v>
      </c>
      <c r="E157" s="18">
        <v>105.99070171955798</v>
      </c>
      <c r="F157" s="18">
        <v>107.78078984405293</v>
      </c>
      <c r="G157" s="18">
        <v>102.16618571331809</v>
      </c>
      <c r="H157" s="18">
        <v>99.458892421803398</v>
      </c>
      <c r="I157" s="18">
        <v>107.72333068041968</v>
      </c>
      <c r="J157" s="18">
        <v>107.42647154341338</v>
      </c>
      <c r="K157" s="18">
        <v>97.726008293816662</v>
      </c>
      <c r="L157" s="18">
        <v>104.61925697602777</v>
      </c>
      <c r="M157" s="18">
        <v>105.19534595942272</v>
      </c>
      <c r="N157" s="18">
        <v>104.16395289063922</v>
      </c>
      <c r="P157" s="18">
        <v>110.89017767572864</v>
      </c>
      <c r="Q157" s="18">
        <v>89.679809002134164</v>
      </c>
      <c r="R157" s="18">
        <v>101.91703614377354</v>
      </c>
      <c r="S157" s="18">
        <v>104.19985024147485</v>
      </c>
      <c r="T157" s="18">
        <v>102.35870017004825</v>
      </c>
      <c r="U157" s="18">
        <v>105.75150746115929</v>
      </c>
      <c r="V157" s="18">
        <v>98.218343537682955</v>
      </c>
      <c r="W157" s="18">
        <v>110.0537287551282</v>
      </c>
      <c r="X157" s="18">
        <v>107.2826071258413</v>
      </c>
      <c r="Y157" s="18">
        <v>99.472706142451045</v>
      </c>
      <c r="Z157" s="18">
        <v>107.38654684079603</v>
      </c>
      <c r="AA157" s="18">
        <v>106.61444486958035</v>
      </c>
      <c r="AB157" s="18">
        <v>104.2065570318556</v>
      </c>
    </row>
    <row r="158" spans="1:28">
      <c r="A158" s="17">
        <f t="shared" si="2"/>
        <v>43009</v>
      </c>
      <c r="B158" s="18">
        <v>109.90316479842066</v>
      </c>
      <c r="C158" s="18">
        <v>96.677083030069568</v>
      </c>
      <c r="D158" s="18">
        <v>105.6101176983325</v>
      </c>
      <c r="E158" s="18">
        <v>105.82399117813344</v>
      </c>
      <c r="F158" s="18">
        <v>93.79966065698477</v>
      </c>
      <c r="G158" s="18">
        <v>101.50856846075465</v>
      </c>
      <c r="H158" s="18">
        <v>100.23792644952032</v>
      </c>
      <c r="I158" s="18">
        <v>109.25405491540599</v>
      </c>
      <c r="J158" s="18">
        <v>108.15604810690303</v>
      </c>
      <c r="K158" s="18">
        <v>98.392204907085912</v>
      </c>
      <c r="L158" s="18">
        <v>103.20489018300825</v>
      </c>
      <c r="M158" s="18">
        <v>118.05330361180015</v>
      </c>
      <c r="N158" s="18">
        <v>103.21959091549921</v>
      </c>
      <c r="P158" s="18">
        <v>108.74102061538218</v>
      </c>
      <c r="Q158" s="18">
        <v>94.123868639854038</v>
      </c>
      <c r="R158" s="18">
        <v>99.932175892840888</v>
      </c>
      <c r="S158" s="18">
        <v>103.88315854302613</v>
      </c>
      <c r="T158" s="18">
        <v>100.49939761674473</v>
      </c>
      <c r="U158" s="18">
        <v>103.05402964419986</v>
      </c>
      <c r="V158" s="18">
        <v>96.833290057538719</v>
      </c>
      <c r="W158" s="18">
        <v>111.26116575495976</v>
      </c>
      <c r="X158" s="18">
        <v>107.80395587636178</v>
      </c>
      <c r="Y158" s="18">
        <v>98.661604085241265</v>
      </c>
      <c r="Z158" s="18">
        <v>108.17806901903634</v>
      </c>
      <c r="AA158" s="18">
        <v>108.01822766277304</v>
      </c>
      <c r="AB158" s="18">
        <v>103.61237853359799</v>
      </c>
    </row>
    <row r="159" spans="1:28">
      <c r="A159" s="17">
        <f t="shared" si="2"/>
        <v>43040</v>
      </c>
      <c r="B159" s="18">
        <v>108.26391775917179</v>
      </c>
      <c r="C159" s="18">
        <v>90.232378580879185</v>
      </c>
      <c r="D159" s="18">
        <v>106.02313026244985</v>
      </c>
      <c r="E159" s="18">
        <v>105.66682930260876</v>
      </c>
      <c r="F159" s="18">
        <v>119.12772630206258</v>
      </c>
      <c r="G159" s="18">
        <v>109.97783596942286</v>
      </c>
      <c r="H159" s="18">
        <v>103.36391996841266</v>
      </c>
      <c r="I159" s="18">
        <v>110.36858091468282</v>
      </c>
      <c r="J159" s="18">
        <v>108.91279175569046</v>
      </c>
      <c r="K159" s="18">
        <v>105.887067179344</v>
      </c>
      <c r="L159" s="18">
        <v>115.62532301482442</v>
      </c>
      <c r="M159" s="18">
        <v>107.6295014637019</v>
      </c>
      <c r="N159" s="18">
        <v>108.87876820555336</v>
      </c>
      <c r="P159" s="18">
        <v>110.45501596841254</v>
      </c>
      <c r="Q159" s="18">
        <v>88.453441237718764</v>
      </c>
      <c r="R159" s="18">
        <v>102.13099197377815</v>
      </c>
      <c r="S159" s="18">
        <v>104.43948248904312</v>
      </c>
      <c r="T159" s="18">
        <v>99.587831540795932</v>
      </c>
      <c r="U159" s="18">
        <v>105.44515717563374</v>
      </c>
      <c r="V159" s="18">
        <v>99.609686074179749</v>
      </c>
      <c r="W159" s="18">
        <v>110.59503635007701</v>
      </c>
      <c r="X159" s="18">
        <v>108.17616612787113</v>
      </c>
      <c r="Y159" s="18">
        <v>98.968343918840702</v>
      </c>
      <c r="Z159" s="18">
        <v>108.6687489799325</v>
      </c>
      <c r="AA159" s="18">
        <v>107.75928343066812</v>
      </c>
      <c r="AB159" s="18">
        <v>104.02662252123251</v>
      </c>
    </row>
    <row r="160" spans="1:28">
      <c r="A160" s="17">
        <f t="shared" si="2"/>
        <v>43070</v>
      </c>
      <c r="B160" s="18">
        <v>108.8080764729052</v>
      </c>
      <c r="C160" s="18">
        <v>97.270610852137708</v>
      </c>
      <c r="D160" s="18">
        <v>104.77385358412701</v>
      </c>
      <c r="E160" s="18">
        <v>104.40734737116961</v>
      </c>
      <c r="F160" s="18">
        <v>98.659108684146304</v>
      </c>
      <c r="G160" s="18">
        <v>129.18825274118549</v>
      </c>
      <c r="H160" s="18">
        <v>126.19186277043599</v>
      </c>
      <c r="I160" s="18">
        <v>120.44381686640324</v>
      </c>
      <c r="J160" s="18">
        <v>108.99267297876641</v>
      </c>
      <c r="K160" s="18">
        <v>124.37225153625107</v>
      </c>
      <c r="L160" s="18">
        <v>132.43481290633218</v>
      </c>
      <c r="M160" s="18">
        <v>116.65271004626014</v>
      </c>
      <c r="N160" s="18">
        <v>116.82921270763875</v>
      </c>
      <c r="P160" s="18">
        <v>108.36512826984091</v>
      </c>
      <c r="Q160" s="18">
        <v>88.213067102661597</v>
      </c>
      <c r="R160" s="18">
        <v>101.32205296735999</v>
      </c>
      <c r="S160" s="18">
        <v>104.40751818304157</v>
      </c>
      <c r="T160" s="18">
        <v>101.65038119141185</v>
      </c>
      <c r="U160" s="18">
        <v>106.15538865301627</v>
      </c>
      <c r="V160" s="18">
        <v>106.99850737940126</v>
      </c>
      <c r="W160" s="18">
        <v>114.03021090941064</v>
      </c>
      <c r="X160" s="18">
        <v>108.42748522696304</v>
      </c>
      <c r="Y160" s="18">
        <v>101.61700228248907</v>
      </c>
      <c r="Z160" s="18">
        <v>109.29884435672204</v>
      </c>
      <c r="AA160" s="18">
        <v>110.60501281016866</v>
      </c>
      <c r="AB160" s="18">
        <v>105.4246512151783</v>
      </c>
    </row>
    <row r="161" spans="1:28">
      <c r="A161" s="17">
        <f t="shared" si="2"/>
        <v>43101</v>
      </c>
      <c r="B161" s="18">
        <v>106.45267075392518</v>
      </c>
      <c r="C161" s="18">
        <v>89.092438305923409</v>
      </c>
      <c r="D161" s="18">
        <v>92.032166466261742</v>
      </c>
      <c r="E161" s="18">
        <v>102.99939870047095</v>
      </c>
      <c r="F161" s="18">
        <v>80.545480930425185</v>
      </c>
      <c r="G161" s="18">
        <v>98.707038601124566</v>
      </c>
      <c r="H161" s="18">
        <v>88.723687202574283</v>
      </c>
      <c r="I161" s="18">
        <v>106.63536093554973</v>
      </c>
      <c r="J161" s="18">
        <v>108.79263868731539</v>
      </c>
      <c r="K161" s="18">
        <v>88.810265578663476</v>
      </c>
      <c r="L161" s="18">
        <v>95.561873445732473</v>
      </c>
      <c r="M161" s="18">
        <v>98.56217866608948</v>
      </c>
      <c r="N161" s="18">
        <v>96.279523074053103</v>
      </c>
      <c r="P161" s="18">
        <v>109.39209412232699</v>
      </c>
      <c r="Q161" s="18">
        <v>88.124039804027561</v>
      </c>
      <c r="R161" s="18">
        <v>101.04640063069425</v>
      </c>
      <c r="S161" s="18">
        <v>104.17890280343491</v>
      </c>
      <c r="T161" s="18">
        <v>98.339527289197278</v>
      </c>
      <c r="U161" s="18">
        <v>106.62512148036669</v>
      </c>
      <c r="V161" s="18">
        <v>98.033423233795119</v>
      </c>
      <c r="W161" s="18">
        <v>106.66682524894051</v>
      </c>
      <c r="X161" s="18">
        <v>108.55284129145713</v>
      </c>
      <c r="Y161" s="18">
        <v>100.13672192957725</v>
      </c>
      <c r="Z161" s="18">
        <v>109.50815610994349</v>
      </c>
      <c r="AA161" s="18">
        <v>107.40214314626184</v>
      </c>
      <c r="AB161" s="18">
        <v>104.11563536595163</v>
      </c>
    </row>
    <row r="162" spans="1:28">
      <c r="A162" s="17">
        <f t="shared" si="2"/>
        <v>43132</v>
      </c>
      <c r="B162" s="18">
        <v>104.64287486942602</v>
      </c>
      <c r="C162" s="18">
        <v>80.36148467681582</v>
      </c>
      <c r="D162" s="18">
        <v>94.631421624729342</v>
      </c>
      <c r="E162" s="18">
        <v>98.502400755784649</v>
      </c>
      <c r="F162" s="18">
        <v>102.81839059402384</v>
      </c>
      <c r="G162" s="18">
        <v>100.954298533002</v>
      </c>
      <c r="H162" s="18">
        <v>94.659001492540469</v>
      </c>
      <c r="I162" s="18">
        <v>106.37037654259065</v>
      </c>
      <c r="J162" s="18">
        <v>108.38985195182171</v>
      </c>
      <c r="K162" s="18">
        <v>95.22415590421808</v>
      </c>
      <c r="L162" s="18">
        <v>106.60062324796668</v>
      </c>
      <c r="M162" s="18">
        <v>105.52498996805473</v>
      </c>
      <c r="N162" s="18">
        <v>100.41883660345418</v>
      </c>
      <c r="P162" s="18">
        <v>110.43390227633407</v>
      </c>
      <c r="Q162" s="18">
        <v>87.582649894929105</v>
      </c>
      <c r="R162" s="18">
        <v>102.03855376815463</v>
      </c>
      <c r="S162" s="18">
        <v>103.18316746789414</v>
      </c>
      <c r="T162" s="18">
        <v>99.508460870940866</v>
      </c>
      <c r="U162" s="18">
        <v>107.15588652807466</v>
      </c>
      <c r="V162" s="18">
        <v>99.971000711969154</v>
      </c>
      <c r="W162" s="18">
        <v>109.71859532941042</v>
      </c>
      <c r="X162" s="18">
        <v>108.87971887812023</v>
      </c>
      <c r="Y162" s="18">
        <v>100.81772106572402</v>
      </c>
      <c r="Z162" s="18">
        <v>110.11381074694447</v>
      </c>
      <c r="AA162" s="18">
        <v>106.51292614967223</v>
      </c>
      <c r="AB162" s="18">
        <v>105.02974677709051</v>
      </c>
    </row>
    <row r="163" spans="1:28">
      <c r="A163" s="17">
        <f t="shared" si="2"/>
        <v>43160</v>
      </c>
      <c r="B163" s="18">
        <v>107.20576143992555</v>
      </c>
      <c r="C163" s="18">
        <v>88.263316975089495</v>
      </c>
      <c r="D163" s="18">
        <v>99.861525972220889</v>
      </c>
      <c r="E163" s="18">
        <v>105.56342258929108</v>
      </c>
      <c r="F163" s="18">
        <v>97.212601318268597</v>
      </c>
      <c r="G163" s="18">
        <v>103.74036900180047</v>
      </c>
      <c r="H163" s="18">
        <v>99.641111647007591</v>
      </c>
      <c r="I163" s="18">
        <v>113.2899877192922</v>
      </c>
      <c r="J163" s="18">
        <v>108.62310556511645</v>
      </c>
      <c r="K163" s="18">
        <v>101.54542350267843</v>
      </c>
      <c r="L163" s="18">
        <v>111.77805235724563</v>
      </c>
      <c r="M163" s="18">
        <v>101.48378913569329</v>
      </c>
      <c r="N163" s="18">
        <v>103.87000484461264</v>
      </c>
      <c r="P163" s="18">
        <v>112.59373978101617</v>
      </c>
      <c r="Q163" s="18">
        <v>88.583722475938686</v>
      </c>
      <c r="R163" s="18">
        <v>103.29037338964591</v>
      </c>
      <c r="S163" s="18">
        <v>104.55412716198691</v>
      </c>
      <c r="T163" s="18">
        <v>98.914831769352347</v>
      </c>
      <c r="U163" s="18">
        <v>108.1771153462108</v>
      </c>
      <c r="V163" s="18">
        <v>100.1588282148864</v>
      </c>
      <c r="W163" s="18">
        <v>109.94143704455304</v>
      </c>
      <c r="X163" s="18">
        <v>109.33756612644608</v>
      </c>
      <c r="Y163" s="18">
        <v>102.43792262975097</v>
      </c>
      <c r="Z163" s="18">
        <v>110.58436163712891</v>
      </c>
      <c r="AA163" s="18">
        <v>104.27744561235713</v>
      </c>
      <c r="AB163" s="18">
        <v>105.81938529188048</v>
      </c>
    </row>
    <row r="164" spans="1:28">
      <c r="A164" s="17">
        <f t="shared" si="2"/>
        <v>43191</v>
      </c>
      <c r="B164" s="18">
        <v>104.37237761296194</v>
      </c>
      <c r="C164" s="18">
        <v>86.506346750874997</v>
      </c>
      <c r="D164" s="18">
        <v>101.03566271646227</v>
      </c>
      <c r="E164" s="18">
        <v>102.4784978242873</v>
      </c>
      <c r="F164" s="18">
        <v>88.193581048135641</v>
      </c>
      <c r="G164" s="18">
        <v>104.75207878800366</v>
      </c>
      <c r="H164" s="18">
        <v>96.041740216686193</v>
      </c>
      <c r="I164" s="18">
        <v>113.4810751018161</v>
      </c>
      <c r="J164" s="18">
        <v>109.0789639654153</v>
      </c>
      <c r="K164" s="18">
        <v>96.529227801656589</v>
      </c>
      <c r="L164" s="18">
        <v>104.72850128237606</v>
      </c>
      <c r="M164" s="18">
        <v>107.35127356829047</v>
      </c>
      <c r="N164" s="18">
        <v>101.69531491242554</v>
      </c>
      <c r="P164" s="18">
        <v>109.38561183546773</v>
      </c>
      <c r="Q164" s="18">
        <v>88.946925432568079</v>
      </c>
      <c r="R164" s="18">
        <v>102.258848608924</v>
      </c>
      <c r="S164" s="18">
        <v>104.56984363296149</v>
      </c>
      <c r="T164" s="18">
        <v>98.690031317200592</v>
      </c>
      <c r="U164" s="18">
        <v>106.50199394597864</v>
      </c>
      <c r="V164" s="18">
        <v>101.70205375872214</v>
      </c>
      <c r="W164" s="18">
        <v>114.13389513053238</v>
      </c>
      <c r="X164" s="18">
        <v>109.82240808384414</v>
      </c>
      <c r="Y164" s="18">
        <v>102.72664390951715</v>
      </c>
      <c r="Z164" s="18">
        <v>110.65511956527901</v>
      </c>
      <c r="AA164" s="18">
        <v>107.34993485486304</v>
      </c>
      <c r="AB164" s="18">
        <v>105.02408338524315</v>
      </c>
    </row>
    <row r="165" spans="1:28">
      <c r="A165" s="17">
        <f t="shared" si="2"/>
        <v>43221</v>
      </c>
      <c r="B165" s="18">
        <v>110.62207615038729</v>
      </c>
      <c r="C165" s="18">
        <v>89.099219740246241</v>
      </c>
      <c r="D165" s="18">
        <v>102.72792984200341</v>
      </c>
      <c r="E165" s="18">
        <v>104.95669112919144</v>
      </c>
      <c r="F165" s="18">
        <v>104.88173034731156</v>
      </c>
      <c r="G165" s="18">
        <v>103.24902193374858</v>
      </c>
      <c r="H165" s="18">
        <v>98.487469878418295</v>
      </c>
      <c r="I165" s="18">
        <v>111.89264863607376</v>
      </c>
      <c r="J165" s="18">
        <v>110.33855435971557</v>
      </c>
      <c r="K165" s="18">
        <v>98.919021372834251</v>
      </c>
      <c r="L165" s="18">
        <v>108.11735187744782</v>
      </c>
      <c r="M165" s="18">
        <v>104.94414171629596</v>
      </c>
      <c r="N165" s="18">
        <v>104.31425477750362</v>
      </c>
      <c r="P165" s="18">
        <v>110.30320819340498</v>
      </c>
      <c r="Q165" s="18">
        <v>90.056569102624977</v>
      </c>
      <c r="R165" s="18">
        <v>103.13060839620454</v>
      </c>
      <c r="S165" s="18">
        <v>104.84482713224079</v>
      </c>
      <c r="T165" s="18">
        <v>96.225323104890848</v>
      </c>
      <c r="U165" s="18">
        <v>107.11372363275444</v>
      </c>
      <c r="V165" s="18">
        <v>101.56557874097581</v>
      </c>
      <c r="W165" s="18">
        <v>112.73444560745538</v>
      </c>
      <c r="X165" s="18">
        <v>110.34437982705118</v>
      </c>
      <c r="Y165" s="18">
        <v>102.42410013125578</v>
      </c>
      <c r="Z165" s="18">
        <v>111.45291244290956</v>
      </c>
      <c r="AA165" s="18">
        <v>108.06601510192047</v>
      </c>
      <c r="AB165" s="18">
        <v>105.60678709946092</v>
      </c>
    </row>
    <row r="166" spans="1:28">
      <c r="A166" s="17">
        <f t="shared" si="2"/>
        <v>43252</v>
      </c>
      <c r="B166" s="18">
        <v>107.01515379660573</v>
      </c>
      <c r="C166" s="18">
        <v>89.106235143890771</v>
      </c>
      <c r="D166" s="18">
        <v>101.29180635928898</v>
      </c>
      <c r="E166" s="18">
        <v>103.32964562337439</v>
      </c>
      <c r="F166" s="18">
        <v>98.873750367495589</v>
      </c>
      <c r="G166" s="18">
        <v>106.21196985257913</v>
      </c>
      <c r="H166" s="18">
        <v>104.5183070250246</v>
      </c>
      <c r="I166" s="18">
        <v>113.13313820647608</v>
      </c>
      <c r="J166" s="18">
        <v>110.98059339008451</v>
      </c>
      <c r="K166" s="18">
        <v>104.70055896536429</v>
      </c>
      <c r="L166" s="18">
        <v>118.04108071714647</v>
      </c>
      <c r="M166" s="18">
        <v>104.19817301280345</v>
      </c>
      <c r="N166" s="18">
        <v>106.34419730452977</v>
      </c>
      <c r="P166" s="18">
        <v>109.75155805398371</v>
      </c>
      <c r="Q166" s="18">
        <v>90.867207547686405</v>
      </c>
      <c r="R166" s="18">
        <v>102.67549989682938</v>
      </c>
      <c r="S166" s="18">
        <v>105.60667321977444</v>
      </c>
      <c r="T166" s="18">
        <v>98.49822246156495</v>
      </c>
      <c r="U166" s="18">
        <v>108.02368569076566</v>
      </c>
      <c r="V166" s="18">
        <v>102.66254404541853</v>
      </c>
      <c r="W166" s="18">
        <v>114.21692880703942</v>
      </c>
      <c r="X166" s="18">
        <v>110.98238741808844</v>
      </c>
      <c r="Y166" s="18">
        <v>103.89114385152702</v>
      </c>
      <c r="Z166" s="18">
        <v>114.23249993828361</v>
      </c>
      <c r="AA166" s="18">
        <v>109.88660763289609</v>
      </c>
      <c r="AB166" s="18">
        <v>106.21168346818584</v>
      </c>
    </row>
    <row r="167" spans="1:28">
      <c r="A167" s="17">
        <f t="shared" si="2"/>
        <v>43282</v>
      </c>
      <c r="B167" s="18">
        <v>113.8927210459435</v>
      </c>
      <c r="C167" s="18">
        <v>90.306104271784406</v>
      </c>
      <c r="D167" s="18">
        <v>103.87704226875417</v>
      </c>
      <c r="E167" s="18">
        <v>107.76597319993419</v>
      </c>
      <c r="F167" s="18">
        <v>92.375539988155708</v>
      </c>
      <c r="G167" s="18">
        <v>111.07392731467263</v>
      </c>
      <c r="H167" s="18">
        <v>100.13163513665151</v>
      </c>
      <c r="I167" s="18">
        <v>112.24484155716381</v>
      </c>
      <c r="J167" s="18">
        <v>111.03688961525779</v>
      </c>
      <c r="K167" s="18">
        <v>102.87820263342707</v>
      </c>
      <c r="L167" s="18">
        <v>115.15614322666006</v>
      </c>
      <c r="M167" s="18">
        <v>111.36110756414186</v>
      </c>
      <c r="N167" s="18">
        <v>107.26636074379094</v>
      </c>
      <c r="P167" s="18">
        <v>110.53103088293253</v>
      </c>
      <c r="Q167" s="18">
        <v>90.279981475860751</v>
      </c>
      <c r="R167" s="18">
        <v>101.70576853302755</v>
      </c>
      <c r="S167" s="18">
        <v>106.11809778332744</v>
      </c>
      <c r="T167" s="18">
        <v>101.50181086691821</v>
      </c>
      <c r="U167" s="18">
        <v>107.11727041919133</v>
      </c>
      <c r="V167" s="18">
        <v>103.09727047002251</v>
      </c>
      <c r="W167" s="18">
        <v>111.33489425742586</v>
      </c>
      <c r="X167" s="18">
        <v>111.27359434395669</v>
      </c>
      <c r="Y167" s="18">
        <v>102.67439054629935</v>
      </c>
      <c r="Z167" s="18">
        <v>112.09069780926733</v>
      </c>
      <c r="AA167" s="18">
        <v>108.88412607414404</v>
      </c>
      <c r="AB167" s="18">
        <v>105.99792608757485</v>
      </c>
    </row>
    <row r="168" spans="1:28">
      <c r="A168" s="17">
        <f t="shared" si="2"/>
        <v>43313</v>
      </c>
      <c r="B168" s="18">
        <v>122.5854526665602</v>
      </c>
      <c r="C168" s="18">
        <v>91.531048926028973</v>
      </c>
      <c r="D168" s="18">
        <v>108.18370040504732</v>
      </c>
      <c r="E168" s="18">
        <v>108.8366479761721</v>
      </c>
      <c r="F168" s="18">
        <v>115.20448018379936</v>
      </c>
      <c r="G168" s="18">
        <v>107.50276763645319</v>
      </c>
      <c r="H168" s="18">
        <v>102.08512507770138</v>
      </c>
      <c r="I168" s="18">
        <v>115.28699580932187</v>
      </c>
      <c r="J168" s="18">
        <v>111.82901113520056</v>
      </c>
      <c r="K168" s="18">
        <v>103.04394641209724</v>
      </c>
      <c r="L168" s="18">
        <v>110.03004659346149</v>
      </c>
      <c r="M168" s="18">
        <v>115.99992139070352</v>
      </c>
      <c r="N168" s="18">
        <v>109.06818207719608</v>
      </c>
      <c r="P168" s="18">
        <v>110.4374469838455</v>
      </c>
      <c r="Q168" s="18">
        <v>91.743527196402042</v>
      </c>
      <c r="R168" s="18">
        <v>104.49280649562505</v>
      </c>
      <c r="S168" s="18">
        <v>106.77758898625049</v>
      </c>
      <c r="T168" s="18">
        <v>102.8931940741552</v>
      </c>
      <c r="U168" s="18">
        <v>107.71992479932644</v>
      </c>
      <c r="V168" s="18">
        <v>105.08527759214998</v>
      </c>
      <c r="W168" s="18">
        <v>115.25111369405509</v>
      </c>
      <c r="X168" s="18">
        <v>111.68834793307258</v>
      </c>
      <c r="Y168" s="18">
        <v>104.48482006331869</v>
      </c>
      <c r="Z168" s="18">
        <v>114.62652494865435</v>
      </c>
      <c r="AA168" s="18">
        <v>110.99540126235514</v>
      </c>
      <c r="AB168" s="18">
        <v>107.50868730311439</v>
      </c>
    </row>
    <row r="169" spans="1:28">
      <c r="A169" s="17">
        <f t="shared" si="2"/>
        <v>43344</v>
      </c>
      <c r="B169" s="18">
        <v>116.12745510207911</v>
      </c>
      <c r="C169" s="18">
        <v>88.774309013656961</v>
      </c>
      <c r="D169" s="18">
        <v>106.79778771055233</v>
      </c>
      <c r="E169" s="18">
        <v>108.04899180694858</v>
      </c>
      <c r="F169" s="18">
        <v>109.2846050371078</v>
      </c>
      <c r="G169" s="18">
        <v>104.11167902487996</v>
      </c>
      <c r="H169" s="18">
        <v>105.58560910724046</v>
      </c>
      <c r="I169" s="18">
        <v>109.54028736450078</v>
      </c>
      <c r="J169" s="18">
        <v>112.31664865733492</v>
      </c>
      <c r="K169" s="18">
        <v>101.32425610601258</v>
      </c>
      <c r="L169" s="18">
        <v>110.26978988559026</v>
      </c>
      <c r="M169" s="18">
        <v>108.28140645823206</v>
      </c>
      <c r="N169" s="18">
        <v>106.76787293269734</v>
      </c>
      <c r="P169" s="18">
        <v>110.04021721357977</v>
      </c>
      <c r="Q169" s="18">
        <v>90.84010353246596</v>
      </c>
      <c r="R169" s="18">
        <v>102.83605632305117</v>
      </c>
      <c r="S169" s="18">
        <v>106.26350413689971</v>
      </c>
      <c r="T169" s="18">
        <v>105.8186579581813</v>
      </c>
      <c r="U169" s="18">
        <v>108.0173514743299</v>
      </c>
      <c r="V169" s="18">
        <v>104.65880264059169</v>
      </c>
      <c r="W169" s="18">
        <v>112.08621302246864</v>
      </c>
      <c r="X169" s="18">
        <v>112.09687199223151</v>
      </c>
      <c r="Y169" s="18">
        <v>103.62185376693316</v>
      </c>
      <c r="Z169" s="18">
        <v>113.66279934446366</v>
      </c>
      <c r="AA169" s="18">
        <v>109.54262544145095</v>
      </c>
      <c r="AB169" s="18">
        <v>107.12088942203155</v>
      </c>
    </row>
    <row r="170" spans="1:28">
      <c r="A170" s="17">
        <f t="shared" si="2"/>
        <v>43374</v>
      </c>
      <c r="B170" s="18">
        <v>112.67675100873839</v>
      </c>
      <c r="C170" s="18">
        <v>89.965354498031601</v>
      </c>
      <c r="D170" s="18">
        <v>110.34227786057704</v>
      </c>
      <c r="E170" s="18">
        <v>108.11749009610456</v>
      </c>
      <c r="F170" s="18">
        <v>97.554273292388004</v>
      </c>
      <c r="G170" s="18">
        <v>104.72173870986465</v>
      </c>
      <c r="H170" s="18">
        <v>107.74117720252929</v>
      </c>
      <c r="I170" s="18">
        <v>111.38166101596548</v>
      </c>
      <c r="J170" s="18">
        <v>112.79395559287859</v>
      </c>
      <c r="K170" s="18">
        <v>103.15849242733196</v>
      </c>
      <c r="L170" s="18">
        <v>109.10174020008827</v>
      </c>
      <c r="M170" s="18">
        <v>124.3972631729729</v>
      </c>
      <c r="N170" s="18">
        <v>106.88025929133967</v>
      </c>
      <c r="P170" s="18">
        <v>111.46931868684793</v>
      </c>
      <c r="Q170" s="18">
        <v>87.613732311964228</v>
      </c>
      <c r="R170" s="18">
        <v>104.45992512910547</v>
      </c>
      <c r="S170" s="18">
        <v>106.2633280208571</v>
      </c>
      <c r="T170" s="18">
        <v>103.15604917343973</v>
      </c>
      <c r="U170" s="18">
        <v>106.05471702097411</v>
      </c>
      <c r="V170" s="18">
        <v>104.67983757836856</v>
      </c>
      <c r="W170" s="18">
        <v>113.41109012343497</v>
      </c>
      <c r="X170" s="18">
        <v>112.40325719267577</v>
      </c>
      <c r="Y170" s="18">
        <v>103.67596567224086</v>
      </c>
      <c r="Z170" s="18">
        <v>114.17837050803976</v>
      </c>
      <c r="AA170" s="18">
        <v>115.16751661042022</v>
      </c>
      <c r="AB170" s="18">
        <v>107.26319095904164</v>
      </c>
    </row>
    <row r="171" spans="1:28">
      <c r="A171" s="17">
        <f t="shared" si="2"/>
        <v>43405</v>
      </c>
      <c r="B171" s="18">
        <v>108.4975637621362</v>
      </c>
      <c r="C171" s="18">
        <v>94.505258973194884</v>
      </c>
      <c r="D171" s="18">
        <v>109.25856376002918</v>
      </c>
      <c r="E171" s="18">
        <v>108.64314816636144</v>
      </c>
      <c r="F171" s="18">
        <v>119.71615855856061</v>
      </c>
      <c r="G171" s="18">
        <v>113.13821693209181</v>
      </c>
      <c r="H171" s="18">
        <v>106.10705277698406</v>
      </c>
      <c r="I171" s="18">
        <v>114.60940872172183</v>
      </c>
      <c r="J171" s="18">
        <v>113.42240237738019</v>
      </c>
      <c r="K171" s="18">
        <v>111.34868829906728</v>
      </c>
      <c r="L171" s="18">
        <v>121.85577297908274</v>
      </c>
      <c r="M171" s="18">
        <v>114.51567192996868</v>
      </c>
      <c r="N171" s="18">
        <v>112.59383105244795</v>
      </c>
      <c r="P171" s="18">
        <v>110.2827906836565</v>
      </c>
      <c r="Q171" s="18">
        <v>92.582925861822758</v>
      </c>
      <c r="R171" s="18">
        <v>105.47056678310867</v>
      </c>
      <c r="S171" s="18">
        <v>107.22799726159388</v>
      </c>
      <c r="T171" s="18">
        <v>99.938968914675954</v>
      </c>
      <c r="U171" s="18">
        <v>108.60242667188432</v>
      </c>
      <c r="V171" s="18">
        <v>102.19397027340152</v>
      </c>
      <c r="W171" s="18">
        <v>114.86185784374069</v>
      </c>
      <c r="X171" s="18">
        <v>112.71592056384465</v>
      </c>
      <c r="Y171" s="18">
        <v>104.07309395675557</v>
      </c>
      <c r="Z171" s="18">
        <v>114.10569012964527</v>
      </c>
      <c r="AA171" s="18">
        <v>115.1347385587852</v>
      </c>
      <c r="AB171" s="18">
        <v>107.55909646916702</v>
      </c>
    </row>
    <row r="172" spans="1:28">
      <c r="A172" s="17">
        <f t="shared" si="2"/>
        <v>43435</v>
      </c>
      <c r="B172" s="18">
        <v>108.24311236732427</v>
      </c>
      <c r="C172" s="18">
        <v>102.58210715598676</v>
      </c>
      <c r="D172" s="18">
        <v>104.08812511538923</v>
      </c>
      <c r="E172" s="18">
        <v>106.76037516797825</v>
      </c>
      <c r="F172" s="18">
        <v>95.696322293185361</v>
      </c>
      <c r="G172" s="18">
        <v>130.52395478867629</v>
      </c>
      <c r="H172" s="18">
        <v>128.02967958069897</v>
      </c>
      <c r="I172" s="18">
        <v>122.96428525602619</v>
      </c>
      <c r="J172" s="18">
        <v>113.422089321168</v>
      </c>
      <c r="K172" s="18">
        <v>127.5191549191475</v>
      </c>
      <c r="L172" s="18">
        <v>136.93215515966565</v>
      </c>
      <c r="M172" s="18">
        <v>126.2122401968558</v>
      </c>
      <c r="N172" s="18">
        <v>119.01853659746044</v>
      </c>
      <c r="P172" s="18">
        <v>107.71305186261758</v>
      </c>
      <c r="Q172" s="18">
        <v>92.871839795234976</v>
      </c>
      <c r="R172" s="18">
        <v>100.72260214694472</v>
      </c>
      <c r="S172" s="18">
        <v>106.41462542867579</v>
      </c>
      <c r="T172" s="18">
        <v>98.871836158340514</v>
      </c>
      <c r="U172" s="18">
        <v>107.57784410703751</v>
      </c>
      <c r="V172" s="18">
        <v>107.94300908375534</v>
      </c>
      <c r="W172" s="18">
        <v>116.47277075744178</v>
      </c>
      <c r="X172" s="18">
        <v>112.92741096790016</v>
      </c>
      <c r="Y172" s="18">
        <v>104.03701639959908</v>
      </c>
      <c r="Z172" s="18">
        <v>112.96218779190283</v>
      </c>
      <c r="AA172" s="18">
        <v>119.61267633497459</v>
      </c>
      <c r="AB172" s="18">
        <v>107.26006258276952</v>
      </c>
    </row>
    <row r="173" spans="1:28">
      <c r="A173" s="17">
        <f t="shared" si="2"/>
        <v>43466</v>
      </c>
      <c r="B173" s="18">
        <v>107.56008391109835</v>
      </c>
      <c r="C173" s="18">
        <v>94.466786590476801</v>
      </c>
      <c r="D173" s="18">
        <v>94.029323555945837</v>
      </c>
      <c r="E173" s="18">
        <v>105.78087581141911</v>
      </c>
      <c r="F173" s="18">
        <v>81.072750875050048</v>
      </c>
      <c r="G173" s="18">
        <v>101.03742224059063</v>
      </c>
      <c r="H173" s="18">
        <v>93.100045914557555</v>
      </c>
      <c r="I173" s="18">
        <v>110.6383569076018</v>
      </c>
      <c r="J173" s="18">
        <v>113.5625696646476</v>
      </c>
      <c r="K173" s="18">
        <v>92.905294893234739</v>
      </c>
      <c r="L173" s="18">
        <v>100.69544419109302</v>
      </c>
      <c r="M173" s="18">
        <v>108.15056789212257</v>
      </c>
      <c r="N173" s="18">
        <v>99.798366527529524</v>
      </c>
      <c r="P173" s="18">
        <v>110.90173946884161</v>
      </c>
      <c r="Q173" s="18">
        <v>94.136319651755102</v>
      </c>
      <c r="R173" s="18">
        <v>103.09317036911882</v>
      </c>
      <c r="S173" s="18">
        <v>106.97892936636855</v>
      </c>
      <c r="T173" s="18">
        <v>96.639309343182433</v>
      </c>
      <c r="U173" s="18">
        <v>108.78782915119851</v>
      </c>
      <c r="V173" s="18">
        <v>102.74565120180065</v>
      </c>
      <c r="W173" s="18">
        <v>110.20266310378545</v>
      </c>
      <c r="X173" s="18">
        <v>113.34979183040568</v>
      </c>
      <c r="Y173" s="18">
        <v>104.15323962338053</v>
      </c>
      <c r="Z173" s="18">
        <v>115.78975657821296</v>
      </c>
      <c r="AA173" s="18">
        <v>118.33032566446653</v>
      </c>
      <c r="AB173" s="18">
        <v>107.91813611442846</v>
      </c>
    </row>
    <row r="174" spans="1:28">
      <c r="A174" s="17">
        <f t="shared" si="2"/>
        <v>43497</v>
      </c>
      <c r="B174" s="18">
        <v>105.86854388981371</v>
      </c>
      <c r="C174" s="18">
        <v>83.601946706718635</v>
      </c>
      <c r="D174" s="18">
        <v>96.826086117743316</v>
      </c>
      <c r="E174" s="18">
        <v>102.11452226888944</v>
      </c>
      <c r="F174" s="18">
        <v>101.26314504674157</v>
      </c>
      <c r="G174" s="18">
        <v>102.7276572329064</v>
      </c>
      <c r="H174" s="18">
        <v>96.277924163402034</v>
      </c>
      <c r="I174" s="18">
        <v>114.58138373720618</v>
      </c>
      <c r="J174" s="18">
        <v>113.17148294350785</v>
      </c>
      <c r="K174" s="18">
        <v>100.31085973461906</v>
      </c>
      <c r="L174" s="18">
        <v>113.34894798516757</v>
      </c>
      <c r="M174" s="18">
        <v>115.33766337277565</v>
      </c>
      <c r="N174" s="18">
        <v>103.95482945140361</v>
      </c>
      <c r="P174" s="18">
        <v>111.39583250113152</v>
      </c>
      <c r="Q174" s="18">
        <v>90.514852138197924</v>
      </c>
      <c r="R174" s="18">
        <v>104.23408225455491</v>
      </c>
      <c r="S174" s="18">
        <v>106.97582327840871</v>
      </c>
      <c r="T174" s="18">
        <v>97.264784273344873</v>
      </c>
      <c r="U174" s="18">
        <v>109.08033578583954</v>
      </c>
      <c r="V174" s="18">
        <v>101.47198538710877</v>
      </c>
      <c r="W174" s="18">
        <v>117.85505676838308</v>
      </c>
      <c r="X174" s="18">
        <v>113.59658083574135</v>
      </c>
      <c r="Y174" s="18">
        <v>105.74603838908443</v>
      </c>
      <c r="Z174" s="18">
        <v>117.19197883550569</v>
      </c>
      <c r="AA174" s="18">
        <v>118.34701051685575</v>
      </c>
      <c r="AB174" s="18">
        <v>108.87567589859182</v>
      </c>
    </row>
    <row r="175" spans="1:28">
      <c r="A175" s="17">
        <f t="shared" si="2"/>
        <v>43525</v>
      </c>
      <c r="B175" s="18">
        <v>109.43718829905673</v>
      </c>
      <c r="C175" s="18">
        <v>91.892463956586226</v>
      </c>
      <c r="D175" s="18">
        <v>102.21815093844546</v>
      </c>
      <c r="E175" s="18">
        <v>108.78808497233989</v>
      </c>
      <c r="F175" s="18">
        <v>98.803201495515424</v>
      </c>
      <c r="G175" s="18">
        <v>106.23266539648837</v>
      </c>
      <c r="H175" s="18">
        <v>103.05146311658524</v>
      </c>
      <c r="I175" s="18">
        <v>123.05189824602849</v>
      </c>
      <c r="J175" s="18">
        <v>113.32323739005648</v>
      </c>
      <c r="K175" s="18">
        <v>103.58204085921929</v>
      </c>
      <c r="L175" s="18">
        <v>114.88298588106021</v>
      </c>
      <c r="M175" s="18">
        <v>119.85738510460607</v>
      </c>
      <c r="N175" s="18">
        <v>107.3453675403389</v>
      </c>
      <c r="P175" s="18">
        <v>109.07010175392335</v>
      </c>
      <c r="Q175" s="18">
        <v>91.783172720084494</v>
      </c>
      <c r="R175" s="18">
        <v>101.14657889151535</v>
      </c>
      <c r="S175" s="18">
        <v>106.88217582898474</v>
      </c>
      <c r="T175" s="18">
        <v>99.834658928340474</v>
      </c>
      <c r="U175" s="18">
        <v>109.40744945847183</v>
      </c>
      <c r="V175" s="18">
        <v>102.92986904577658</v>
      </c>
      <c r="W175" s="18">
        <v>120.25967475911355</v>
      </c>
      <c r="X175" s="18">
        <v>113.94288015923182</v>
      </c>
      <c r="Y175" s="18">
        <v>104.07302758940797</v>
      </c>
      <c r="Z175" s="18">
        <v>114.11128146890917</v>
      </c>
      <c r="AA175" s="18">
        <v>121.47682454123733</v>
      </c>
      <c r="AB175" s="18">
        <v>107.51619576015348</v>
      </c>
    </row>
    <row r="176" spans="1:28">
      <c r="A176" s="17">
        <f t="shared" si="2"/>
        <v>43556</v>
      </c>
      <c r="B176" s="18">
        <v>101.36403447313305</v>
      </c>
      <c r="C176" s="18">
        <v>89.499552321063334</v>
      </c>
      <c r="D176" s="18">
        <v>99.315618567909709</v>
      </c>
      <c r="E176" s="18">
        <v>104.88790918633977</v>
      </c>
      <c r="F176" s="18">
        <v>84.829286431137376</v>
      </c>
      <c r="G176" s="18">
        <v>107.55369633262941</v>
      </c>
      <c r="H176" s="18">
        <v>98.099700162632033</v>
      </c>
      <c r="I176" s="18">
        <v>117.84593767371494</v>
      </c>
      <c r="J176" s="18">
        <v>113.45084423483736</v>
      </c>
      <c r="K176" s="18">
        <v>99.914189044946994</v>
      </c>
      <c r="L176" s="18">
        <v>110.47110103869872</v>
      </c>
      <c r="M176" s="18">
        <v>123.75058937562335</v>
      </c>
      <c r="N176" s="18">
        <v>104.14933099044265</v>
      </c>
      <c r="P176" s="18">
        <v>111.8053559742828</v>
      </c>
      <c r="Q176" s="18">
        <v>92.129625675240348</v>
      </c>
      <c r="R176" s="18">
        <v>104.51440812744295</v>
      </c>
      <c r="S176" s="18">
        <v>107.86074097924666</v>
      </c>
      <c r="T176" s="18">
        <v>94.466619492106702</v>
      </c>
      <c r="U176" s="18">
        <v>110.6193748127974</v>
      </c>
      <c r="V176" s="18">
        <v>103.56281186949717</v>
      </c>
      <c r="W176" s="18">
        <v>118.39329921329926</v>
      </c>
      <c r="X176" s="18">
        <v>114.16983065488209</v>
      </c>
      <c r="Y176" s="18">
        <v>106.18181487746044</v>
      </c>
      <c r="Z176" s="18">
        <v>116.13423153937144</v>
      </c>
      <c r="AA176" s="18">
        <v>123.74888942505378</v>
      </c>
      <c r="AB176" s="18">
        <v>108.97197290791694</v>
      </c>
    </row>
    <row r="177" spans="1:28">
      <c r="A177" s="17">
        <f t="shared" si="2"/>
        <v>43586</v>
      </c>
      <c r="B177" s="18">
        <v>117.19427507146609</v>
      </c>
      <c r="C177" s="18">
        <v>88.357906299190375</v>
      </c>
      <c r="D177" s="18">
        <v>105.44871179321551</v>
      </c>
      <c r="E177" s="18">
        <v>108.35352899270644</v>
      </c>
      <c r="F177" s="18">
        <v>106.34693415868827</v>
      </c>
      <c r="G177" s="18">
        <v>107.0024095986539</v>
      </c>
      <c r="H177" s="18">
        <v>101.85607444848239</v>
      </c>
      <c r="I177" s="18">
        <v>119.79128403540483</v>
      </c>
      <c r="J177" s="18">
        <v>114.36631382802575</v>
      </c>
      <c r="K177" s="18">
        <v>104.25023549016889</v>
      </c>
      <c r="L177" s="18">
        <v>114.89321551157516</v>
      </c>
      <c r="M177" s="18">
        <v>122.15037140000196</v>
      </c>
      <c r="N177" s="18">
        <v>108.70639083904096</v>
      </c>
      <c r="P177" s="18">
        <v>116.86293878264939</v>
      </c>
      <c r="Q177" s="18">
        <v>89.526096991274954</v>
      </c>
      <c r="R177" s="18">
        <v>105.74974058341147</v>
      </c>
      <c r="S177" s="18">
        <v>108.40414446381479</v>
      </c>
      <c r="T177" s="18">
        <v>97.156152186187782</v>
      </c>
      <c r="U177" s="18">
        <v>110.76679979008293</v>
      </c>
      <c r="V177" s="18">
        <v>104.99958258446848</v>
      </c>
      <c r="W177" s="18">
        <v>121.22896456155323</v>
      </c>
      <c r="X177" s="18">
        <v>114.42377773426458</v>
      </c>
      <c r="Y177" s="18">
        <v>108.26948210398926</v>
      </c>
      <c r="Z177" s="18">
        <v>118.43707298588015</v>
      </c>
      <c r="AA177" s="18">
        <v>124.40292057021929</v>
      </c>
      <c r="AB177" s="18">
        <v>110.03628733480477</v>
      </c>
    </row>
    <row r="178" spans="1:28">
      <c r="A178" s="17">
        <f t="shared" si="2"/>
        <v>43617</v>
      </c>
      <c r="B178" s="18">
        <v>107.20147943737899</v>
      </c>
      <c r="C178" s="18">
        <v>88.164598433373214</v>
      </c>
      <c r="D178" s="18">
        <v>99.900320536400585</v>
      </c>
      <c r="E178" s="18">
        <v>105.80072399453104</v>
      </c>
      <c r="F178" s="18">
        <v>95.741436274810823</v>
      </c>
      <c r="G178" s="18">
        <v>110.25102261392739</v>
      </c>
      <c r="H178" s="18">
        <v>107.35058110379789</v>
      </c>
      <c r="I178" s="18">
        <v>117.81852272169439</v>
      </c>
      <c r="J178" s="18">
        <v>114.95944251058263</v>
      </c>
      <c r="K178" s="18">
        <v>108.23484959380268</v>
      </c>
      <c r="L178" s="18">
        <v>123.97333581897512</v>
      </c>
      <c r="M178" s="18">
        <v>118.66812226973748</v>
      </c>
      <c r="N178" s="18">
        <v>108.94476080743212</v>
      </c>
      <c r="P178" s="18">
        <v>110.40356192913956</v>
      </c>
      <c r="Q178" s="18">
        <v>89.991573816923847</v>
      </c>
      <c r="R178" s="18">
        <v>101.46999233887992</v>
      </c>
      <c r="S178" s="18">
        <v>108.2280654285202</v>
      </c>
      <c r="T178" s="18">
        <v>97.277645543592968</v>
      </c>
      <c r="U178" s="18">
        <v>112.04170187337911</v>
      </c>
      <c r="V178" s="18">
        <v>105.27039553624364</v>
      </c>
      <c r="W178" s="18">
        <v>118.74316150691686</v>
      </c>
      <c r="X178" s="18">
        <v>115.01204669473788</v>
      </c>
      <c r="Y178" s="18">
        <v>107.62513048164554</v>
      </c>
      <c r="Z178" s="18">
        <v>119.09050622692622</v>
      </c>
      <c r="AA178" s="18">
        <v>124.43533768196579</v>
      </c>
      <c r="AB178" s="18">
        <v>108.84018039188319</v>
      </c>
    </row>
    <row r="179" spans="1:28">
      <c r="A179" s="17">
        <f t="shared" si="2"/>
        <v>43647</v>
      </c>
      <c r="B179" s="18">
        <v>117.47077953567782</v>
      </c>
      <c r="C179" s="18">
        <v>91.091143156363358</v>
      </c>
      <c r="D179" s="18">
        <v>106.85810346427238</v>
      </c>
      <c r="E179" s="18">
        <v>110.66379419236769</v>
      </c>
      <c r="F179" s="18">
        <v>90.848140842170977</v>
      </c>
      <c r="G179" s="18">
        <v>116.38064301975403</v>
      </c>
      <c r="H179" s="18">
        <v>100.33951458251254</v>
      </c>
      <c r="I179" s="18">
        <v>124.66564978740631</v>
      </c>
      <c r="J179" s="18">
        <v>114.59054492420691</v>
      </c>
      <c r="K179" s="18">
        <v>108.59142858932817</v>
      </c>
      <c r="L179" s="18">
        <v>122.7500619447795</v>
      </c>
      <c r="M179" s="18">
        <v>128.41959800139546</v>
      </c>
      <c r="N179" s="18">
        <v>111.86146070344776</v>
      </c>
      <c r="P179" s="18">
        <v>114.72697294629704</v>
      </c>
      <c r="Q179" s="18">
        <v>90.545109084745974</v>
      </c>
      <c r="R179" s="18">
        <v>104.73229711382447</v>
      </c>
      <c r="S179" s="18">
        <v>108.74796404632254</v>
      </c>
      <c r="T179" s="18">
        <v>98.291072714380974</v>
      </c>
      <c r="U179" s="18">
        <v>112.89263895005901</v>
      </c>
      <c r="V179" s="18">
        <v>103.07193474940949</v>
      </c>
      <c r="W179" s="18">
        <v>123.27363140954321</v>
      </c>
      <c r="X179" s="18">
        <v>114.83541192907687</v>
      </c>
      <c r="Y179" s="18">
        <v>108.03577400826534</v>
      </c>
      <c r="Z179" s="18">
        <v>119.65534628532714</v>
      </c>
      <c r="AA179" s="18">
        <v>125.85151422873662</v>
      </c>
      <c r="AB179" s="18">
        <v>110.48451422893405</v>
      </c>
    </row>
    <row r="180" spans="1:28">
      <c r="A180" s="17">
        <f t="shared" si="2"/>
        <v>43678</v>
      </c>
      <c r="B180" s="18">
        <v>128.46873688295594</v>
      </c>
      <c r="C180" s="18">
        <v>91.357927696329639</v>
      </c>
      <c r="D180" s="18">
        <v>108.81891099478709</v>
      </c>
      <c r="E180" s="18">
        <v>111.4637003882887</v>
      </c>
      <c r="F180" s="18">
        <v>104.50837214996839</v>
      </c>
      <c r="G180" s="18">
        <v>113.84010131024387</v>
      </c>
      <c r="H180" s="18">
        <v>99.896219500600139</v>
      </c>
      <c r="I180" s="18">
        <v>121.78377286147801</v>
      </c>
      <c r="J180" s="18">
        <v>114.941127461172</v>
      </c>
      <c r="K180" s="18">
        <v>105.89594498933168</v>
      </c>
      <c r="L180" s="18">
        <v>115.03850292837163</v>
      </c>
      <c r="M180" s="18">
        <v>130.69082606220337</v>
      </c>
      <c r="N180" s="18">
        <v>111.82463590522661</v>
      </c>
      <c r="P180" s="18">
        <v>115.84474869226304</v>
      </c>
      <c r="Q180" s="18">
        <v>91.383268405852576</v>
      </c>
      <c r="R180" s="18">
        <v>105.01048937272463</v>
      </c>
      <c r="S180" s="18">
        <v>109.32204588643441</v>
      </c>
      <c r="T180" s="18">
        <v>93.916004448641345</v>
      </c>
      <c r="U180" s="18">
        <v>114.24297821649765</v>
      </c>
      <c r="V180" s="18">
        <v>102.68986855025437</v>
      </c>
      <c r="W180" s="18">
        <v>121.27559049470278</v>
      </c>
      <c r="X180" s="18">
        <v>114.74887060975966</v>
      </c>
      <c r="Y180" s="18">
        <v>107.96086968247387</v>
      </c>
      <c r="Z180" s="18">
        <v>120.04743798555893</v>
      </c>
      <c r="AA180" s="18">
        <v>124.54544426836512</v>
      </c>
      <c r="AB180" s="18">
        <v>110.41744176611468</v>
      </c>
    </row>
    <row r="181" spans="1:28">
      <c r="A181" s="17">
        <f t="shared" si="2"/>
        <v>43709</v>
      </c>
      <c r="B181" s="18">
        <v>119.18714031613899</v>
      </c>
      <c r="C181" s="18">
        <v>88.976840857322813</v>
      </c>
      <c r="D181" s="18">
        <v>107.50874419469017</v>
      </c>
      <c r="E181" s="18">
        <v>110.55159095077885</v>
      </c>
      <c r="F181" s="18">
        <v>94.399352835295346</v>
      </c>
      <c r="G181" s="18">
        <v>108.59349056402226</v>
      </c>
      <c r="H181" s="18">
        <v>103.66457440549381</v>
      </c>
      <c r="I181" s="18">
        <v>119.32334798236673</v>
      </c>
      <c r="J181" s="18">
        <v>115.12218250393079</v>
      </c>
      <c r="K181" s="18">
        <v>103.95037710468608</v>
      </c>
      <c r="L181" s="18">
        <v>115.70950546681399</v>
      </c>
      <c r="M181" s="18">
        <v>121.02015700128641</v>
      </c>
      <c r="N181" s="18">
        <v>108.90737803088425</v>
      </c>
      <c r="P181" s="18">
        <v>112.99806769692664</v>
      </c>
      <c r="Q181" s="18">
        <v>90.998397472914107</v>
      </c>
      <c r="R181" s="18">
        <v>103.73077985723607</v>
      </c>
      <c r="S181" s="18">
        <v>108.90126683437148</v>
      </c>
      <c r="T181" s="18">
        <v>94.082298987844879</v>
      </c>
      <c r="U181" s="18">
        <v>112.98281977192906</v>
      </c>
      <c r="V181" s="18">
        <v>103.05158082034328</v>
      </c>
      <c r="W181" s="18">
        <v>121.86777502816159</v>
      </c>
      <c r="X181" s="18">
        <v>114.84607965977263</v>
      </c>
      <c r="Y181" s="18">
        <v>106.5118901968513</v>
      </c>
      <c r="Z181" s="18">
        <v>119.85711988812807</v>
      </c>
      <c r="AA181" s="18">
        <v>121.82826288327905</v>
      </c>
      <c r="AB181" s="18">
        <v>109.51368545933897</v>
      </c>
    </row>
    <row r="182" spans="1:28">
      <c r="A182" s="17">
        <f t="shared" si="2"/>
        <v>43739</v>
      </c>
      <c r="B182" s="18">
        <v>117.86468565143757</v>
      </c>
      <c r="C182" s="18">
        <v>95.213136254883352</v>
      </c>
      <c r="D182" s="18">
        <v>112.30795514076308</v>
      </c>
      <c r="E182" s="18">
        <v>109.97309855687712</v>
      </c>
      <c r="F182" s="18">
        <v>89.615919543481965</v>
      </c>
      <c r="G182" s="18">
        <v>109.37445634956777</v>
      </c>
      <c r="H182" s="18">
        <v>107.01495254495319</v>
      </c>
      <c r="I182" s="18">
        <v>119.20477738789694</v>
      </c>
      <c r="J182" s="18">
        <v>115.17973728757754</v>
      </c>
      <c r="K182" s="18">
        <v>106.4421801197698</v>
      </c>
      <c r="L182" s="18">
        <v>113.75831738573763</v>
      </c>
      <c r="M182" s="18">
        <v>142.15651012553019</v>
      </c>
      <c r="N182" s="18">
        <v>110.27474710891494</v>
      </c>
      <c r="P182" s="18">
        <v>116.70289917561938</v>
      </c>
      <c r="Q182" s="18">
        <v>93.139069108371643</v>
      </c>
      <c r="R182" s="18">
        <v>106.24663939949623</v>
      </c>
      <c r="S182" s="18">
        <v>108.17074198277392</v>
      </c>
      <c r="T182" s="18">
        <v>93.973592129156899</v>
      </c>
      <c r="U182" s="18">
        <v>110.49943470852699</v>
      </c>
      <c r="V182" s="18">
        <v>104.57291807999923</v>
      </c>
      <c r="W182" s="18">
        <v>121.47539061977723</v>
      </c>
      <c r="X182" s="18">
        <v>114.78127748047828</v>
      </c>
      <c r="Y182" s="18">
        <v>107.04618538043911</v>
      </c>
      <c r="Z182" s="18">
        <v>119.04010097839921</v>
      </c>
      <c r="AA182" s="18">
        <v>133.69253314814586</v>
      </c>
      <c r="AB182" s="18">
        <v>110.53579357898687</v>
      </c>
    </row>
    <row r="183" spans="1:28">
      <c r="A183" s="17">
        <f t="shared" si="2"/>
        <v>43770</v>
      </c>
      <c r="B183" s="18">
        <v>112.26766664478151</v>
      </c>
      <c r="C183" s="18">
        <v>95.889515004815976</v>
      </c>
      <c r="D183" s="18">
        <v>107.23392612590195</v>
      </c>
      <c r="E183" s="18">
        <v>109.79764149064786</v>
      </c>
      <c r="F183" s="18">
        <v>112.74842960778085</v>
      </c>
      <c r="G183" s="18">
        <v>117.2868129424198</v>
      </c>
      <c r="H183" s="18">
        <v>108.14596189436065</v>
      </c>
      <c r="I183" s="18">
        <v>123.36338872531259</v>
      </c>
      <c r="J183" s="18">
        <v>115.71500736768921</v>
      </c>
      <c r="K183" s="18">
        <v>113.6740409676203</v>
      </c>
      <c r="L183" s="18">
        <v>128.43488308292004</v>
      </c>
      <c r="M183" s="18">
        <v>128.3450633266541</v>
      </c>
      <c r="N183" s="18">
        <v>115.23895117259548</v>
      </c>
      <c r="P183" s="18">
        <v>113.68785545868079</v>
      </c>
      <c r="Q183" s="18">
        <v>94.286548078673377</v>
      </c>
      <c r="R183" s="18">
        <v>103.67528929888896</v>
      </c>
      <c r="S183" s="18">
        <v>108.26346747045538</v>
      </c>
      <c r="T183" s="18">
        <v>93.889527342396335</v>
      </c>
      <c r="U183" s="18">
        <v>112.63704741874207</v>
      </c>
      <c r="V183" s="18">
        <v>104.32717145846775</v>
      </c>
      <c r="W183" s="18">
        <v>123.80198696883073</v>
      </c>
      <c r="X183" s="18">
        <v>115.08962222447281</v>
      </c>
      <c r="Y183" s="18">
        <v>106.08188875755147</v>
      </c>
      <c r="Z183" s="18">
        <v>119.77388471755175</v>
      </c>
      <c r="AA183" s="18">
        <v>128.85686613194193</v>
      </c>
      <c r="AB183" s="18">
        <v>110.05081460557481</v>
      </c>
    </row>
    <row r="184" spans="1:28">
      <c r="A184" s="17">
        <f t="shared" si="2"/>
        <v>43800</v>
      </c>
      <c r="B184" s="18">
        <v>114.38153167710441</v>
      </c>
      <c r="C184" s="18">
        <v>102.36793580411589</v>
      </c>
      <c r="D184" s="18">
        <v>108.48944424379849</v>
      </c>
      <c r="E184" s="18">
        <v>109.73094815493558</v>
      </c>
      <c r="F184" s="18">
        <v>95.393135146512137</v>
      </c>
      <c r="G184" s="18">
        <v>136.71539139953171</v>
      </c>
      <c r="H184" s="18">
        <v>124.27297689431064</v>
      </c>
      <c r="I184" s="18">
        <v>123.42856718313948</v>
      </c>
      <c r="J184" s="18">
        <v>115.86455607066202</v>
      </c>
      <c r="K184" s="18">
        <v>129.82034562191478</v>
      </c>
      <c r="L184" s="18">
        <v>142.92316555995433</v>
      </c>
      <c r="M184" s="18">
        <v>136.74342106542198</v>
      </c>
      <c r="N184" s="18">
        <v>122.61501882386632</v>
      </c>
      <c r="P184" s="18">
        <v>113.86607141028848</v>
      </c>
      <c r="Q184" s="18">
        <v>92.445719937205965</v>
      </c>
      <c r="R184" s="18">
        <v>105.35182806677929</v>
      </c>
      <c r="S184" s="18">
        <v>109.17105339441946</v>
      </c>
      <c r="T184" s="18">
        <v>98.778439017977263</v>
      </c>
      <c r="U184" s="18">
        <v>113.03735906320611</v>
      </c>
      <c r="V184" s="18">
        <v>104.37621944831774</v>
      </c>
      <c r="W184" s="18">
        <v>117.1196928151827</v>
      </c>
      <c r="X184" s="18">
        <v>115.45087637407261</v>
      </c>
      <c r="Y184" s="18">
        <v>105.88644591809336</v>
      </c>
      <c r="Z184" s="18">
        <v>117.7507493053748</v>
      </c>
      <c r="AA184" s="18">
        <v>129.77434593708975</v>
      </c>
      <c r="AB184" s="18">
        <v>110.46053985439566</v>
      </c>
    </row>
    <row r="185" spans="1:28">
      <c r="A185" s="17">
        <f t="shared" si="2"/>
        <v>43831</v>
      </c>
      <c r="B185" s="18">
        <v>114.17358541151886</v>
      </c>
      <c r="C185" s="18">
        <v>88.939027805534451</v>
      </c>
      <c r="D185" s="18">
        <v>97.349327846526378</v>
      </c>
      <c r="E185" s="18">
        <v>108.27253537718389</v>
      </c>
      <c r="F185" s="18">
        <v>80.25401573167899</v>
      </c>
      <c r="G185" s="18">
        <v>107.57707609025076</v>
      </c>
      <c r="H185" s="18">
        <v>93.641847116138464</v>
      </c>
      <c r="I185" s="18">
        <v>122.12246975511243</v>
      </c>
      <c r="J185" s="18">
        <v>115.980984873126</v>
      </c>
      <c r="K185" s="18">
        <v>96.486167169204833</v>
      </c>
      <c r="L185" s="18">
        <v>101.48516582843192</v>
      </c>
      <c r="M185" s="18">
        <v>117.53051794126874</v>
      </c>
      <c r="N185" s="18">
        <v>103.19322891590046</v>
      </c>
      <c r="P185" s="18">
        <v>117.88078834979603</v>
      </c>
      <c r="Q185" s="18">
        <v>89.171455968815252</v>
      </c>
      <c r="R185" s="18">
        <v>106.57595204055892</v>
      </c>
      <c r="S185" s="18">
        <v>109.58143703612764</v>
      </c>
      <c r="T185" s="18">
        <v>92.538753151067212</v>
      </c>
      <c r="U185" s="18">
        <v>115.54196865367197</v>
      </c>
      <c r="V185" s="18">
        <v>102.98084022614522</v>
      </c>
      <c r="W185" s="18">
        <v>121.17966498670634</v>
      </c>
      <c r="X185" s="18">
        <v>115.83916446733681</v>
      </c>
      <c r="Y185" s="18">
        <v>107.57096688926255</v>
      </c>
      <c r="Z185" s="18">
        <v>117.06013658590477</v>
      </c>
      <c r="AA185" s="18">
        <v>128.64332022620661</v>
      </c>
      <c r="AB185" s="18">
        <v>111.57333074357354</v>
      </c>
    </row>
    <row r="186" spans="1:28">
      <c r="A186" s="17">
        <f t="shared" si="2"/>
        <v>43862</v>
      </c>
      <c r="B186" s="18">
        <v>114.36995534311205</v>
      </c>
      <c r="C186" s="18">
        <v>87.932436738441695</v>
      </c>
      <c r="D186" s="18">
        <v>100.86004685430019</v>
      </c>
      <c r="E186" s="18">
        <v>107.38766063807621</v>
      </c>
      <c r="F186" s="18">
        <v>94.045387716051749</v>
      </c>
      <c r="G186" s="18">
        <v>113.66133248149666</v>
      </c>
      <c r="H186" s="18">
        <v>98.9840253621703</v>
      </c>
      <c r="I186" s="18">
        <v>120.27176506695645</v>
      </c>
      <c r="J186" s="18">
        <v>115.51967272077133</v>
      </c>
      <c r="K186" s="18">
        <v>102.29020683802021</v>
      </c>
      <c r="L186" s="18">
        <v>113.2940150455761</v>
      </c>
      <c r="M186" s="18">
        <v>131.26667278736929</v>
      </c>
      <c r="N186" s="18">
        <v>107.70224797714816</v>
      </c>
      <c r="P186" s="18">
        <v>120.10682793321212</v>
      </c>
      <c r="Q186" s="18">
        <v>91.99172470857313</v>
      </c>
      <c r="R186" s="18">
        <v>105.75525432414177</v>
      </c>
      <c r="S186" s="18">
        <v>110.28587802512801</v>
      </c>
      <c r="T186" s="18">
        <v>88.835472409802762</v>
      </c>
      <c r="U186" s="18">
        <v>118.08439582006586</v>
      </c>
      <c r="V186" s="18">
        <v>102.67547831054537</v>
      </c>
      <c r="W186" s="18">
        <v>123.2162675023569</v>
      </c>
      <c r="X186" s="18">
        <v>115.87162373204676</v>
      </c>
      <c r="Y186" s="18">
        <v>107.71616560166706</v>
      </c>
      <c r="Z186" s="18">
        <v>117.22914395859891</v>
      </c>
      <c r="AA186" s="18">
        <v>136.04010580280141</v>
      </c>
      <c r="AB186" s="18">
        <v>111.70190722613049</v>
      </c>
    </row>
    <row r="187" spans="1:28">
      <c r="A187" s="17">
        <f t="shared" si="2"/>
        <v>43891</v>
      </c>
      <c r="B187" s="18">
        <v>112.4856225157186</v>
      </c>
      <c r="C187" s="18">
        <v>84.511802540212315</v>
      </c>
      <c r="D187" s="18">
        <v>91.282364311236904</v>
      </c>
      <c r="E187" s="18">
        <v>106.93276624389738</v>
      </c>
      <c r="F187" s="18">
        <v>54.910723282149242</v>
      </c>
      <c r="G187" s="18">
        <v>98.239084691206543</v>
      </c>
      <c r="H187" s="18">
        <v>101.50514200640157</v>
      </c>
      <c r="I187" s="18">
        <v>114.12129361079468</v>
      </c>
      <c r="J187" s="18">
        <v>115.27650990045979</v>
      </c>
      <c r="K187" s="18">
        <v>101.59500723241646</v>
      </c>
      <c r="L187" s="18">
        <v>117.87119120087661</v>
      </c>
      <c r="M187" s="18">
        <v>107.49473842145004</v>
      </c>
      <c r="N187" s="18">
        <v>100.59961872748077</v>
      </c>
      <c r="P187" s="18">
        <v>111.6784677640065</v>
      </c>
      <c r="Q187" s="18">
        <v>84.156893340374822</v>
      </c>
      <c r="R187" s="18">
        <v>90.332465283226341</v>
      </c>
      <c r="S187" s="18">
        <v>105.43036335308717</v>
      </c>
      <c r="T187" s="18">
        <v>55.968578928103632</v>
      </c>
      <c r="U187" s="18">
        <v>101.00570986658917</v>
      </c>
      <c r="V187" s="18">
        <v>100.83118959109373</v>
      </c>
      <c r="W187" s="18">
        <v>111.93207792259268</v>
      </c>
      <c r="X187" s="18">
        <v>115.81065546392439</v>
      </c>
      <c r="Y187" s="18">
        <v>101.66872394123251</v>
      </c>
      <c r="Z187" s="18">
        <v>117.57823882351394</v>
      </c>
      <c r="AA187" s="18">
        <v>107.23396366784776</v>
      </c>
      <c r="AB187" s="18">
        <v>100.74162628740081</v>
      </c>
    </row>
    <row r="188" spans="1:28">
      <c r="A188" s="17">
        <f t="shared" si="2"/>
        <v>43922</v>
      </c>
      <c r="B188" s="18">
        <v>103.36861099260881</v>
      </c>
      <c r="C188" s="18">
        <v>63.967409935652384</v>
      </c>
      <c r="D188" s="18">
        <v>60.834628485090562</v>
      </c>
      <c r="E188" s="18">
        <v>93.438867317269143</v>
      </c>
      <c r="F188" s="18">
        <v>28.407905692999837</v>
      </c>
      <c r="G188" s="18">
        <v>65.132465935622577</v>
      </c>
      <c r="H188" s="18">
        <v>94.730540634470913</v>
      </c>
      <c r="I188" s="18">
        <v>118.87291645995258</v>
      </c>
      <c r="J188" s="18">
        <v>114.26138472567959</v>
      </c>
      <c r="K188" s="18">
        <v>87.414551142685752</v>
      </c>
      <c r="L188" s="18">
        <v>107.98023609294047</v>
      </c>
      <c r="M188" s="18">
        <v>75.047106560833043</v>
      </c>
      <c r="N188" s="18">
        <v>83.11815223007774</v>
      </c>
      <c r="P188" s="18">
        <v>113.93039790449775</v>
      </c>
      <c r="Q188" s="18">
        <v>66.987995093574199</v>
      </c>
      <c r="R188" s="18">
        <v>66.085472547183812</v>
      </c>
      <c r="S188" s="18">
        <v>96.7127918470417</v>
      </c>
      <c r="T188" s="18">
        <v>31.246882868791147</v>
      </c>
      <c r="U188" s="18">
        <v>67.643164498707492</v>
      </c>
      <c r="V188" s="18">
        <v>99.944442528341767</v>
      </c>
      <c r="W188" s="18">
        <v>119.27790587588953</v>
      </c>
      <c r="X188" s="18">
        <v>114.86283240131199</v>
      </c>
      <c r="Y188" s="18">
        <v>92.649757728111155</v>
      </c>
      <c r="Z188" s="18">
        <v>113.04873884633363</v>
      </c>
      <c r="AA188" s="18">
        <v>74.877575791329292</v>
      </c>
      <c r="AB188" s="18">
        <v>86.87344982719452</v>
      </c>
    </row>
    <row r="189" spans="1:28">
      <c r="A189" s="17">
        <f t="shared" si="2"/>
        <v>43952</v>
      </c>
      <c r="B189" s="18">
        <v>110.89453688519167</v>
      </c>
      <c r="C189" s="18">
        <v>72.187479917546398</v>
      </c>
      <c r="D189" s="18">
        <v>75.00341865007222</v>
      </c>
      <c r="E189" s="18">
        <v>97.382160708729302</v>
      </c>
      <c r="F189" s="18">
        <v>64.096338281958381</v>
      </c>
      <c r="G189" s="18">
        <v>73.410807137228034</v>
      </c>
      <c r="H189" s="18">
        <v>95.05262767291336</v>
      </c>
      <c r="I189" s="18">
        <v>120.80122493647256</v>
      </c>
      <c r="J189" s="18">
        <v>114.9611029178551</v>
      </c>
      <c r="K189" s="18">
        <v>89.772230187414294</v>
      </c>
      <c r="L189" s="18">
        <v>110.81238132191862</v>
      </c>
      <c r="M189" s="18">
        <v>78.500712238228317</v>
      </c>
      <c r="N189" s="18">
        <v>89.762941387876211</v>
      </c>
      <c r="P189" s="18">
        <v>110.33218718509002</v>
      </c>
      <c r="Q189" s="18">
        <v>73.806447185144364</v>
      </c>
      <c r="R189" s="18">
        <v>75.339921817299583</v>
      </c>
      <c r="S189" s="18">
        <v>97.689299484641936</v>
      </c>
      <c r="T189" s="18">
        <v>58.396322508933949</v>
      </c>
      <c r="U189" s="18">
        <v>76.085373797304896</v>
      </c>
      <c r="V189" s="18">
        <v>98.151679308631728</v>
      </c>
      <c r="W189" s="18">
        <v>123.1252604909361</v>
      </c>
      <c r="X189" s="18">
        <v>115.04277499921322</v>
      </c>
      <c r="Y189" s="18">
        <v>93.435829522994609</v>
      </c>
      <c r="Z189" s="18">
        <v>114.66458125600303</v>
      </c>
      <c r="AA189" s="18">
        <v>79.152896783010434</v>
      </c>
      <c r="AB189" s="18">
        <v>90.927769995972767</v>
      </c>
    </row>
    <row r="190" spans="1:28">
      <c r="A190" s="17">
        <f t="shared" si="2"/>
        <v>43983</v>
      </c>
      <c r="B190" s="18">
        <v>108.0630251029654</v>
      </c>
      <c r="C190" s="18">
        <v>74.267576095605321</v>
      </c>
      <c r="D190" s="18">
        <v>85.3378699856775</v>
      </c>
      <c r="E190" s="18">
        <v>98.123370132389724</v>
      </c>
      <c r="F190" s="18">
        <v>69.55684439645853</v>
      </c>
      <c r="G190" s="18">
        <v>80.641273618944737</v>
      </c>
      <c r="H190" s="18">
        <v>99.354317912318237</v>
      </c>
      <c r="I190" s="18">
        <v>120.11749513786125</v>
      </c>
      <c r="J190" s="18">
        <v>115.8292306021801</v>
      </c>
      <c r="K190" s="18">
        <v>96.274342033129372</v>
      </c>
      <c r="L190" s="18">
        <v>121.91647879239331</v>
      </c>
      <c r="M190" s="18">
        <v>87.274105096653869</v>
      </c>
      <c r="N190" s="18">
        <v>95.287553144613923</v>
      </c>
      <c r="P190" s="18">
        <v>111.49217959082316</v>
      </c>
      <c r="Q190" s="18">
        <v>76.949239299998723</v>
      </c>
      <c r="R190" s="18">
        <v>87.565344678389962</v>
      </c>
      <c r="S190" s="18">
        <v>100.98155524370272</v>
      </c>
      <c r="T190" s="18">
        <v>72.925732174675673</v>
      </c>
      <c r="U190" s="18">
        <v>82.284292943628628</v>
      </c>
      <c r="V190" s="18">
        <v>97.599712670585902</v>
      </c>
      <c r="W190" s="18">
        <v>120.61853931396887</v>
      </c>
      <c r="X190" s="18">
        <v>115.89329753220281</v>
      </c>
      <c r="Y190" s="18">
        <v>96.095777109864031</v>
      </c>
      <c r="Z190" s="18">
        <v>116.81604115159551</v>
      </c>
      <c r="AA190" s="18">
        <v>90.930168615331866</v>
      </c>
      <c r="AB190" s="18">
        <v>95.51963598296966</v>
      </c>
    </row>
    <row r="191" spans="1:28">
      <c r="A191" s="17">
        <f t="shared" si="2"/>
        <v>44013</v>
      </c>
      <c r="B191" s="18">
        <v>117.93155789072971</v>
      </c>
      <c r="C191" s="18">
        <v>76.957408268445278</v>
      </c>
      <c r="D191" s="18">
        <v>96.144075744338053</v>
      </c>
      <c r="E191" s="18">
        <v>103.95456444718796</v>
      </c>
      <c r="F191" s="18">
        <v>64.641040169679513</v>
      </c>
      <c r="G191" s="18">
        <v>87.946545481150949</v>
      </c>
      <c r="H191" s="18">
        <v>100.57393792357765</v>
      </c>
      <c r="I191" s="18">
        <v>127.23450973030192</v>
      </c>
      <c r="J191" s="18">
        <v>115.66792918585149</v>
      </c>
      <c r="K191" s="18">
        <v>99.018552600572548</v>
      </c>
      <c r="L191" s="18">
        <v>120.21472270445106</v>
      </c>
      <c r="M191" s="18">
        <v>103.59359655210069</v>
      </c>
      <c r="N191" s="18">
        <v>99.966790276485469</v>
      </c>
      <c r="P191" s="18">
        <v>115.51183003770389</v>
      </c>
      <c r="Q191" s="18">
        <v>76.169361623457419</v>
      </c>
      <c r="R191" s="18">
        <v>94.338052183133527</v>
      </c>
      <c r="S191" s="18">
        <v>102.09201555441115</v>
      </c>
      <c r="T191" s="18">
        <v>69.772007981669873</v>
      </c>
      <c r="U191" s="18">
        <v>86.415843629995607</v>
      </c>
      <c r="V191" s="18">
        <v>103.26902369115585</v>
      </c>
      <c r="W191" s="18">
        <v>125.84741492026859</v>
      </c>
      <c r="X191" s="18">
        <v>115.90352555451121</v>
      </c>
      <c r="Y191" s="18">
        <v>98.420579868838715</v>
      </c>
      <c r="Z191" s="18">
        <v>117.66884760948142</v>
      </c>
      <c r="AA191" s="18">
        <v>102.06947980358947</v>
      </c>
      <c r="AB191" s="18">
        <v>98.879090061325471</v>
      </c>
    </row>
    <row r="192" spans="1:28">
      <c r="A192" s="17">
        <f t="shared" si="2"/>
        <v>44044</v>
      </c>
      <c r="B192" s="18">
        <v>125.10193816419073</v>
      </c>
      <c r="C192" s="18">
        <v>76.125042573967335</v>
      </c>
      <c r="D192" s="18">
        <v>98.188122679145991</v>
      </c>
      <c r="E192" s="18">
        <v>104.75174304322027</v>
      </c>
      <c r="F192" s="18">
        <v>76.819189637665374</v>
      </c>
      <c r="G192" s="18">
        <v>86.775809874780833</v>
      </c>
      <c r="H192" s="18">
        <v>97.627263839991414</v>
      </c>
      <c r="I192" s="18">
        <v>125.3612100589296</v>
      </c>
      <c r="J192" s="18">
        <v>116.61014192723158</v>
      </c>
      <c r="K192" s="18">
        <v>95.684297753301735</v>
      </c>
      <c r="L192" s="18">
        <v>112.57350988399331</v>
      </c>
      <c r="M192" s="18">
        <v>117.84365880354548</v>
      </c>
      <c r="N192" s="18">
        <v>100.21138065372826</v>
      </c>
      <c r="P192" s="18">
        <v>112.90349771269076</v>
      </c>
      <c r="Q192" s="18">
        <v>76.425150937572369</v>
      </c>
      <c r="R192" s="18">
        <v>94.703855567600954</v>
      </c>
      <c r="S192" s="18">
        <v>102.79320702120197</v>
      </c>
      <c r="T192" s="18">
        <v>68.74803681281324</v>
      </c>
      <c r="U192" s="18">
        <v>87.542217965863315</v>
      </c>
      <c r="V192" s="18">
        <v>100.64090029710653</v>
      </c>
      <c r="W192" s="18">
        <v>124.83335537593933</v>
      </c>
      <c r="X192" s="18">
        <v>116.39353913101991</v>
      </c>
      <c r="Y192" s="18">
        <v>98.191958229025559</v>
      </c>
      <c r="Z192" s="18">
        <v>117.94156543054515</v>
      </c>
      <c r="AA192" s="18">
        <v>111.96000039975394</v>
      </c>
      <c r="AB192" s="18">
        <v>99.256179416564621</v>
      </c>
    </row>
    <row r="193" spans="1:28">
      <c r="A193" s="17">
        <f t="shared" si="2"/>
        <v>44075</v>
      </c>
      <c r="B193" s="18">
        <v>124.80501248625349</v>
      </c>
      <c r="C193" s="18">
        <v>68.952123870106291</v>
      </c>
      <c r="D193" s="18">
        <v>103.98351006118712</v>
      </c>
      <c r="E193" s="18">
        <v>105.05716266039087</v>
      </c>
      <c r="F193" s="18">
        <v>61.082887316359788</v>
      </c>
      <c r="G193" s="18">
        <v>95.945524050669576</v>
      </c>
      <c r="H193" s="18">
        <v>99.216488544529284</v>
      </c>
      <c r="I193" s="18">
        <v>120.9127113866423</v>
      </c>
      <c r="J193" s="18">
        <v>117.05945051768406</v>
      </c>
      <c r="K193" s="18">
        <v>97.65805842939838</v>
      </c>
      <c r="L193" s="18">
        <v>114.29800117713937</v>
      </c>
      <c r="M193" s="18">
        <v>116.49740643097979</v>
      </c>
      <c r="N193" s="18">
        <v>101.8696836825806</v>
      </c>
      <c r="P193" s="18">
        <v>118.62935059859963</v>
      </c>
      <c r="Q193" s="18">
        <v>70.944283643771357</v>
      </c>
      <c r="R193" s="18">
        <v>100.61876989533378</v>
      </c>
      <c r="S193" s="18">
        <v>103.65218745566386</v>
      </c>
      <c r="T193" s="18">
        <v>63.12161445306559</v>
      </c>
      <c r="U193" s="18">
        <v>100.16768802430576</v>
      </c>
      <c r="V193" s="18">
        <v>99.090317157882268</v>
      </c>
      <c r="W193" s="18">
        <v>122.92151996186786</v>
      </c>
      <c r="X193" s="18">
        <v>116.75926637607219</v>
      </c>
      <c r="Y193" s="18">
        <v>100.0119169005592</v>
      </c>
      <c r="Z193" s="18">
        <v>118.85840054866823</v>
      </c>
      <c r="AA193" s="18">
        <v>116.4907938629978</v>
      </c>
      <c r="AB193" s="18">
        <v>102.78298257950962</v>
      </c>
    </row>
    <row r="194" spans="1:28">
      <c r="A194" s="17">
        <f t="shared" si="2"/>
        <v>44105</v>
      </c>
      <c r="B194" s="18">
        <v>116.95028216966507</v>
      </c>
      <c r="C194" s="18">
        <v>80.001041531501798</v>
      </c>
      <c r="D194" s="18">
        <v>109.87991358329334</v>
      </c>
      <c r="E194" s="18">
        <v>107.25830454489349</v>
      </c>
      <c r="F194" s="18">
        <v>70.51624530870096</v>
      </c>
      <c r="G194" s="18">
        <v>102.84015024369084</v>
      </c>
      <c r="H194" s="18">
        <v>99.301476728709801</v>
      </c>
      <c r="I194" s="18">
        <v>122.44128896647591</v>
      </c>
      <c r="J194" s="18">
        <v>117.43899358612803</v>
      </c>
      <c r="K194" s="18">
        <v>101.18705583501873</v>
      </c>
      <c r="L194" s="18">
        <v>115.74570068790628</v>
      </c>
      <c r="M194" s="18">
        <v>125.82835243723905</v>
      </c>
      <c r="N194" s="18">
        <v>105.10842444823648</v>
      </c>
      <c r="P194" s="18">
        <v>115.63540495528567</v>
      </c>
      <c r="Q194" s="18">
        <v>78.353058731740632</v>
      </c>
      <c r="R194" s="18">
        <v>103.98311335128207</v>
      </c>
      <c r="S194" s="18">
        <v>105.54125817489262</v>
      </c>
      <c r="T194" s="18">
        <v>73.906694480539997</v>
      </c>
      <c r="U194" s="18">
        <v>103.97901528808885</v>
      </c>
      <c r="V194" s="18">
        <v>97.832983521241729</v>
      </c>
      <c r="W194" s="18">
        <v>124.94068183946759</v>
      </c>
      <c r="X194" s="18">
        <v>117.05704178162199</v>
      </c>
      <c r="Y194" s="18">
        <v>101.93113466943693</v>
      </c>
      <c r="Z194" s="18">
        <v>121.19912338344004</v>
      </c>
      <c r="AA194" s="18">
        <v>120.20237048015063</v>
      </c>
      <c r="AB194" s="18">
        <v>105.3345211278782</v>
      </c>
    </row>
    <row r="195" spans="1:28">
      <c r="A195" s="17">
        <f t="shared" si="2"/>
        <v>44136</v>
      </c>
      <c r="B195" s="18">
        <v>113.64509775306676</v>
      </c>
      <c r="C195" s="18">
        <v>75.434453834904119</v>
      </c>
      <c r="D195" s="18">
        <v>105.84916024939126</v>
      </c>
      <c r="E195" s="18">
        <v>107.48147512204925</v>
      </c>
      <c r="F195" s="18">
        <v>83.172121160638781</v>
      </c>
      <c r="G195" s="18">
        <v>114.27524868662273</v>
      </c>
      <c r="H195" s="18">
        <v>104.83276850889366</v>
      </c>
      <c r="I195" s="18">
        <v>122.28414332405954</v>
      </c>
      <c r="J195" s="18">
        <v>117.77479908641439</v>
      </c>
      <c r="K195" s="18">
        <v>109.30446776457981</v>
      </c>
      <c r="L195" s="18">
        <v>134.27874470696435</v>
      </c>
      <c r="M195" s="18">
        <v>123.63481029573964</v>
      </c>
      <c r="N195" s="18">
        <v>111.01279283444508</v>
      </c>
      <c r="P195" s="18">
        <v>114.28585925445472</v>
      </c>
      <c r="Q195" s="18">
        <v>74.202032428826385</v>
      </c>
      <c r="R195" s="18">
        <v>102.50827090302846</v>
      </c>
      <c r="S195" s="18">
        <v>106.04676949381471</v>
      </c>
      <c r="T195" s="18">
        <v>69.336411726158204</v>
      </c>
      <c r="U195" s="18">
        <v>109.62981628629097</v>
      </c>
      <c r="V195" s="18">
        <v>101.47086096982318</v>
      </c>
      <c r="W195" s="18">
        <v>122.78839045839092</v>
      </c>
      <c r="X195" s="18">
        <v>117.24897910456905</v>
      </c>
      <c r="Y195" s="18">
        <v>102.06926310211786</v>
      </c>
      <c r="Z195" s="18">
        <v>125.12134079634507</v>
      </c>
      <c r="AA195" s="18">
        <v>123.78080100500614</v>
      </c>
      <c r="AB195" s="18">
        <v>106.07979132273238</v>
      </c>
    </row>
    <row r="196" spans="1:28">
      <c r="A196" s="17">
        <f t="shared" si="2"/>
        <v>44166</v>
      </c>
      <c r="B196" s="18">
        <v>123.10812380131297</v>
      </c>
      <c r="C196" s="18">
        <v>84.379476456399914</v>
      </c>
      <c r="D196" s="18">
        <v>108.72711901599514</v>
      </c>
      <c r="E196" s="18">
        <v>108.15647094687802</v>
      </c>
      <c r="F196" s="18">
        <v>66.232182943093719</v>
      </c>
      <c r="G196" s="18">
        <v>127.53204253947345</v>
      </c>
      <c r="H196" s="18">
        <v>123.79356149622129</v>
      </c>
      <c r="I196" s="18">
        <v>133.05177765359696</v>
      </c>
      <c r="J196" s="18">
        <v>117.69928438196766</v>
      </c>
      <c r="K196" s="18">
        <v>126.91138305886254</v>
      </c>
      <c r="L196" s="18">
        <v>150.78845155630322</v>
      </c>
      <c r="M196" s="18">
        <v>134.52741209847758</v>
      </c>
      <c r="N196" s="18">
        <v>119.95012252322972</v>
      </c>
      <c r="P196" s="18">
        <v>122.5105572301745</v>
      </c>
      <c r="Q196" s="18">
        <v>74.497636606469001</v>
      </c>
      <c r="R196" s="18">
        <v>105.63308487507499</v>
      </c>
      <c r="S196" s="18">
        <v>107.3903184924506</v>
      </c>
      <c r="T196" s="18">
        <v>68.93837414181327</v>
      </c>
      <c r="U196" s="18">
        <v>105.59787405662082</v>
      </c>
      <c r="V196" s="18">
        <v>104.12656947378112</v>
      </c>
      <c r="W196" s="18">
        <v>126.91172743877065</v>
      </c>
      <c r="X196" s="18">
        <v>117.39678388151873</v>
      </c>
      <c r="Y196" s="18">
        <v>103.83424648149419</v>
      </c>
      <c r="Z196" s="18">
        <v>124.07244060846317</v>
      </c>
      <c r="AA196" s="18">
        <v>127.65761322585891</v>
      </c>
      <c r="AB196" s="18">
        <v>108.11265223055079</v>
      </c>
    </row>
    <row r="197" spans="1:28">
      <c r="A197" s="17">
        <f t="shared" si="2"/>
        <v>44197</v>
      </c>
      <c r="B197" s="18">
        <v>113.32211022075079</v>
      </c>
      <c r="C197" s="18">
        <v>74.061174112831623</v>
      </c>
      <c r="D197" s="18">
        <v>94.647911982592603</v>
      </c>
      <c r="E197" s="18">
        <v>105.76472601820413</v>
      </c>
      <c r="F197" s="18">
        <v>63.173618348257996</v>
      </c>
      <c r="G197" s="18">
        <v>96.697357284740619</v>
      </c>
      <c r="H197" s="18">
        <v>94.590771450640389</v>
      </c>
      <c r="I197" s="18">
        <v>127.39040122026313</v>
      </c>
      <c r="J197" s="18">
        <v>117.94693779986069</v>
      </c>
      <c r="K197" s="18">
        <v>94.757370262501951</v>
      </c>
      <c r="L197" s="18">
        <v>109.72529002554808</v>
      </c>
      <c r="M197" s="18">
        <v>121.1478331204197</v>
      </c>
      <c r="N197" s="18">
        <v>99.705045730674442</v>
      </c>
      <c r="P197" s="18">
        <v>116.88700073845465</v>
      </c>
      <c r="Q197" s="18">
        <v>74.363351818357373</v>
      </c>
      <c r="R197" s="18">
        <v>103.59124359350662</v>
      </c>
      <c r="S197" s="18">
        <v>106.83473070664368</v>
      </c>
      <c r="T197" s="18">
        <v>70.706261943525504</v>
      </c>
      <c r="U197" s="18">
        <v>103.60443444197315</v>
      </c>
      <c r="V197" s="18">
        <v>103.7324676436201</v>
      </c>
      <c r="W197" s="18">
        <v>126.08123205160591</v>
      </c>
      <c r="X197" s="18">
        <v>117.90402992322217</v>
      </c>
      <c r="Y197" s="18">
        <v>105.4353152897241</v>
      </c>
      <c r="Z197" s="18">
        <v>126.45000473792487</v>
      </c>
      <c r="AA197" s="18">
        <v>132.73268820976321</v>
      </c>
      <c r="AB197" s="18">
        <v>107.64153165352982</v>
      </c>
    </row>
    <row r="198" spans="1:28">
      <c r="A198" s="17">
        <f t="shared" si="2"/>
        <v>44228</v>
      </c>
      <c r="B198" s="18">
        <v>112.1860453794534</v>
      </c>
      <c r="C198" s="18">
        <v>71.283125262705482</v>
      </c>
      <c r="D198" s="18">
        <v>99.806632665573545</v>
      </c>
      <c r="E198" s="18">
        <v>102.78857367222558</v>
      </c>
      <c r="F198" s="18">
        <v>77.173978613183579</v>
      </c>
      <c r="G198" s="18">
        <v>102.78394217120498</v>
      </c>
      <c r="H198" s="18">
        <v>100.71168252659652</v>
      </c>
      <c r="I198" s="18">
        <v>121.88133693796304</v>
      </c>
      <c r="J198" s="18">
        <v>117.64255790175224</v>
      </c>
      <c r="K198" s="18">
        <v>101.21242388982175</v>
      </c>
      <c r="L198" s="18">
        <v>120.65716203107588</v>
      </c>
      <c r="M198" s="18">
        <v>127.62941197164844</v>
      </c>
      <c r="N198" s="18">
        <v>104.28938782855759</v>
      </c>
      <c r="P198" s="18">
        <v>117.73075035773617</v>
      </c>
      <c r="Q198" s="18">
        <v>77.971342559702578</v>
      </c>
      <c r="R198" s="18">
        <v>107.32116037337822</v>
      </c>
      <c r="S198" s="18">
        <v>108.36389465436905</v>
      </c>
      <c r="T198" s="18">
        <v>70.794892943139587</v>
      </c>
      <c r="U198" s="18">
        <v>110.50183840648148</v>
      </c>
      <c r="V198" s="18">
        <v>106.21287483611943</v>
      </c>
      <c r="W198" s="18">
        <v>124.29746992067959</v>
      </c>
      <c r="X198" s="18">
        <v>117.94752376978938</v>
      </c>
      <c r="Y198" s="18">
        <v>106.97394555366171</v>
      </c>
      <c r="Z198" s="18">
        <v>124.86464879614057</v>
      </c>
      <c r="AA198" s="18">
        <v>133.61753184343951</v>
      </c>
      <c r="AB198" s="18">
        <v>109.91387729566084</v>
      </c>
    </row>
    <row r="199" spans="1:28">
      <c r="A199" s="17">
        <f t="shared" si="2"/>
        <v>44256</v>
      </c>
      <c r="B199" s="18">
        <v>129.26493903337408</v>
      </c>
      <c r="C199" s="18">
        <v>79.327370236490196</v>
      </c>
      <c r="D199" s="18">
        <v>109.21345405951151</v>
      </c>
      <c r="E199" s="18">
        <v>109.60582926702199</v>
      </c>
      <c r="F199" s="18">
        <v>72.623278906921115</v>
      </c>
      <c r="G199" s="18">
        <v>115.16734694877124</v>
      </c>
      <c r="H199" s="18">
        <v>108.72118994509307</v>
      </c>
      <c r="I199" s="18">
        <v>125.17777194669233</v>
      </c>
      <c r="J199" s="18">
        <v>117.82311812782199</v>
      </c>
      <c r="K199" s="18">
        <v>107.66795903046298</v>
      </c>
      <c r="L199" s="18">
        <v>125.03022742511247</v>
      </c>
      <c r="M199" s="18">
        <v>141.21144555659234</v>
      </c>
      <c r="N199" s="18">
        <v>111.86773876353378</v>
      </c>
      <c r="P199" s="18">
        <v>127.93190867687704</v>
      </c>
      <c r="Q199" s="18">
        <v>78.407879708414541</v>
      </c>
      <c r="R199" s="18">
        <v>107.89276274969882</v>
      </c>
      <c r="S199" s="18">
        <v>108.0455772851181</v>
      </c>
      <c r="T199" s="18">
        <v>75.040738305827631</v>
      </c>
      <c r="U199" s="18">
        <v>118.06540905035006</v>
      </c>
      <c r="V199" s="18">
        <v>107.82889330387752</v>
      </c>
      <c r="W199" s="18">
        <v>123.11405737549501</v>
      </c>
      <c r="X199" s="18">
        <v>118.26831759163514</v>
      </c>
      <c r="Y199" s="18">
        <v>107.93095548996803</v>
      </c>
      <c r="Z199" s="18">
        <v>125.00921625826429</v>
      </c>
      <c r="AA199" s="18">
        <v>139.34878689378777</v>
      </c>
      <c r="AB199" s="18">
        <v>111.90508718855492</v>
      </c>
    </row>
    <row r="200" spans="1:28">
      <c r="A200" s="17">
        <f t="shared" ref="A200:A260" si="3">+EDATE(A199,1)</f>
        <v>44287</v>
      </c>
      <c r="B200" s="18">
        <v>116.4809541185283</v>
      </c>
      <c r="C200" s="18">
        <v>74.926650356143526</v>
      </c>
      <c r="D200" s="18">
        <v>100.77286097165457</v>
      </c>
      <c r="E200" s="18">
        <v>105.10892819601978</v>
      </c>
      <c r="F200" s="18">
        <v>65.634430044128777</v>
      </c>
      <c r="G200" s="18">
        <v>97.851000626806965</v>
      </c>
      <c r="H200" s="18">
        <v>103.54430696978163</v>
      </c>
      <c r="I200" s="18">
        <v>126.03174642469067</v>
      </c>
      <c r="J200" s="18">
        <v>118.37447694093817</v>
      </c>
      <c r="K200" s="18">
        <v>101.84055284757625</v>
      </c>
      <c r="L200" s="18">
        <v>121.30817154725177</v>
      </c>
      <c r="M200" s="18">
        <v>139.25681405093957</v>
      </c>
      <c r="N200" s="18">
        <v>104.26406001669466</v>
      </c>
      <c r="P200" s="18">
        <v>128.26120016966661</v>
      </c>
      <c r="Q200" s="18">
        <v>77.890064117730176</v>
      </c>
      <c r="R200" s="18">
        <v>105.6969404361551</v>
      </c>
      <c r="S200" s="18">
        <v>108.17307163466938</v>
      </c>
      <c r="T200" s="18">
        <v>71.715958749162269</v>
      </c>
      <c r="U200" s="18">
        <v>102.16694515953024</v>
      </c>
      <c r="V200" s="18">
        <v>109.40806522608912</v>
      </c>
      <c r="W200" s="18">
        <v>126.3527843032582</v>
      </c>
      <c r="X200" s="18">
        <v>118.83710097233342</v>
      </c>
      <c r="Y200" s="18">
        <v>107.66638658474115</v>
      </c>
      <c r="Z200" s="18">
        <v>126.38484124443737</v>
      </c>
      <c r="AA200" s="18">
        <v>139.15541467953091</v>
      </c>
      <c r="AB200" s="18">
        <v>108.70234290235565</v>
      </c>
    </row>
    <row r="201" spans="1:28">
      <c r="A201" s="17">
        <f t="shared" si="3"/>
        <v>44317</v>
      </c>
      <c r="B201" s="18">
        <v>108.8158719436894</v>
      </c>
      <c r="C201" s="18">
        <v>73.00016464273267</v>
      </c>
      <c r="D201" s="18">
        <v>85.150236794371025</v>
      </c>
      <c r="E201" s="18">
        <v>104.80908158087838</v>
      </c>
      <c r="F201" s="18">
        <v>71.29544255435421</v>
      </c>
      <c r="G201" s="18">
        <v>97.76574247538224</v>
      </c>
      <c r="H201" s="18">
        <v>106.33662114454043</v>
      </c>
      <c r="I201" s="18">
        <v>119.17857557467745</v>
      </c>
      <c r="J201" s="18">
        <v>118.78589802109086</v>
      </c>
      <c r="K201" s="18">
        <v>101.99114176288111</v>
      </c>
      <c r="L201" s="18">
        <v>121.29891213492969</v>
      </c>
      <c r="M201" s="18">
        <v>144.06885014296626</v>
      </c>
      <c r="N201" s="18">
        <v>101.67688034504565</v>
      </c>
      <c r="P201" s="18">
        <v>108.16721077899076</v>
      </c>
      <c r="Q201" s="18">
        <v>74.052705497310654</v>
      </c>
      <c r="R201" s="18">
        <v>84.910819833683576</v>
      </c>
      <c r="S201" s="18">
        <v>104.83475484624121</v>
      </c>
      <c r="T201" s="18">
        <v>64.101083620482839</v>
      </c>
      <c r="U201" s="18">
        <v>101.2294445702216</v>
      </c>
      <c r="V201" s="18">
        <v>110.12838243685812</v>
      </c>
      <c r="W201" s="18">
        <v>122.34520352107894</v>
      </c>
      <c r="X201" s="18">
        <v>118.85145746692967</v>
      </c>
      <c r="Y201" s="18">
        <v>106.19763112941673</v>
      </c>
      <c r="Z201" s="18">
        <v>125.48614630079325</v>
      </c>
      <c r="AA201" s="18">
        <v>144.81836319332623</v>
      </c>
      <c r="AB201" s="18">
        <v>102.84725668898609</v>
      </c>
    </row>
    <row r="202" spans="1:28">
      <c r="A202" s="17">
        <f t="shared" si="3"/>
        <v>44348</v>
      </c>
      <c r="B202" s="18">
        <v>117.88180256644432</v>
      </c>
      <c r="C202" s="18">
        <v>73.522202174491667</v>
      </c>
      <c r="D202" s="18">
        <v>103.767938531214</v>
      </c>
      <c r="E202" s="18">
        <v>106.37108535856964</v>
      </c>
      <c r="F202" s="18">
        <v>63.559880320224828</v>
      </c>
      <c r="G202" s="18">
        <v>111.08543866914344</v>
      </c>
      <c r="H202" s="18">
        <v>113.3119673620502</v>
      </c>
      <c r="I202" s="18">
        <v>126.51933785670582</v>
      </c>
      <c r="J202" s="18">
        <v>119.02156957683422</v>
      </c>
      <c r="K202" s="18">
        <v>108.67376301962388</v>
      </c>
      <c r="L202" s="18">
        <v>133.09009131476319</v>
      </c>
      <c r="M202" s="18">
        <v>142.51999220157839</v>
      </c>
      <c r="N202" s="18">
        <v>109.95535274887305</v>
      </c>
      <c r="P202" s="18">
        <v>121.71771104058253</v>
      </c>
      <c r="Q202" s="18">
        <v>76.584915056024499</v>
      </c>
      <c r="R202" s="18">
        <v>106.01526267319905</v>
      </c>
      <c r="S202" s="18">
        <v>109.13699685791667</v>
      </c>
      <c r="T202" s="18">
        <v>68.192504148731899</v>
      </c>
      <c r="U202" s="18">
        <v>113.53977698613191</v>
      </c>
      <c r="V202" s="18">
        <v>111.85807931952345</v>
      </c>
      <c r="W202" s="18">
        <v>126.38902864214292</v>
      </c>
      <c r="X202" s="18">
        <v>119.05254823729787</v>
      </c>
      <c r="Y202" s="18">
        <v>108.63196853891893</v>
      </c>
      <c r="Z202" s="18">
        <v>127.26591277447082</v>
      </c>
      <c r="AA202" s="18">
        <v>148.26624028159506</v>
      </c>
      <c r="AB202" s="18">
        <v>110.56667441584089</v>
      </c>
    </row>
    <row r="203" spans="1:28">
      <c r="A203" s="17">
        <f t="shared" si="3"/>
        <v>44378</v>
      </c>
      <c r="B203" s="18">
        <v>122.5495232531318</v>
      </c>
      <c r="C203" s="18">
        <v>75.940431113471732</v>
      </c>
      <c r="D203" s="18">
        <v>112.67988161676578</v>
      </c>
      <c r="E203" s="18">
        <v>113.59146319883439</v>
      </c>
      <c r="F203" s="18">
        <v>62.078845114293657</v>
      </c>
      <c r="G203" s="18">
        <v>118.34208294219908</v>
      </c>
      <c r="H203" s="18">
        <v>111.00717835278677</v>
      </c>
      <c r="I203" s="18">
        <v>128.54697414379385</v>
      </c>
      <c r="J203" s="18">
        <v>118.95007080907463</v>
      </c>
      <c r="K203" s="18">
        <v>111.17597122210398</v>
      </c>
      <c r="L203" s="18">
        <v>129.95105123881606</v>
      </c>
      <c r="M203" s="18">
        <v>150.27289326620732</v>
      </c>
      <c r="N203" s="18">
        <v>113.14696317834063</v>
      </c>
      <c r="P203" s="18">
        <v>120.05493874684217</v>
      </c>
      <c r="Q203" s="18">
        <v>73.929846501863793</v>
      </c>
      <c r="R203" s="18">
        <v>110.58339252700745</v>
      </c>
      <c r="S203" s="18">
        <v>111.40054800767496</v>
      </c>
      <c r="T203" s="18">
        <v>67.312970894465266</v>
      </c>
      <c r="U203" s="18">
        <v>117.32269126561535</v>
      </c>
      <c r="V203" s="18">
        <v>113.78808148626493</v>
      </c>
      <c r="W203" s="18">
        <v>127.46325636902154</v>
      </c>
      <c r="X203" s="18">
        <v>119.1547381311012</v>
      </c>
      <c r="Y203" s="18">
        <v>110.58532803502995</v>
      </c>
      <c r="Z203" s="18">
        <v>127.42722359506237</v>
      </c>
      <c r="AA203" s="18">
        <v>149.70562367729332</v>
      </c>
      <c r="AB203" s="18">
        <v>111.96164637911718</v>
      </c>
    </row>
    <row r="204" spans="1:28">
      <c r="A204" s="17">
        <f t="shared" si="3"/>
        <v>44409</v>
      </c>
      <c r="B204" s="18">
        <v>127.87950999376405</v>
      </c>
      <c r="C204" s="18">
        <v>74.007408660532647</v>
      </c>
      <c r="D204" s="18">
        <v>114.50861193668842</v>
      </c>
      <c r="E204" s="18">
        <v>113.03842378744218</v>
      </c>
      <c r="F204" s="18">
        <v>73.931065412534736</v>
      </c>
      <c r="G204" s="18">
        <v>117.85461993676284</v>
      </c>
      <c r="H204" s="18">
        <v>111.17831855128519</v>
      </c>
      <c r="I204" s="18">
        <v>120.15761325633872</v>
      </c>
      <c r="J204" s="18">
        <v>119.55389887685612</v>
      </c>
      <c r="K204" s="18">
        <v>106.83553045288447</v>
      </c>
      <c r="L204" s="18">
        <v>121.42878551700338</v>
      </c>
      <c r="M204" s="18">
        <v>145.04500637765216</v>
      </c>
      <c r="N204" s="18">
        <v>111.92988010805371</v>
      </c>
      <c r="P204" s="18">
        <v>115.67930339583366</v>
      </c>
      <c r="Q204" s="18">
        <v>73.873696317973639</v>
      </c>
      <c r="R204" s="18">
        <v>110.85968756318083</v>
      </c>
      <c r="S204" s="18">
        <v>110.73460055987219</v>
      </c>
      <c r="T204" s="18">
        <v>65.403215649853735</v>
      </c>
      <c r="U204" s="18">
        <v>118.66940752246489</v>
      </c>
      <c r="V204" s="18">
        <v>114.62297350079054</v>
      </c>
      <c r="W204" s="18">
        <v>119.79214301811896</v>
      </c>
      <c r="X204" s="18">
        <v>119.3592256520031</v>
      </c>
      <c r="Y204" s="18">
        <v>110.20212411733326</v>
      </c>
      <c r="Z204" s="18">
        <v>127.02612218950868</v>
      </c>
      <c r="AA204" s="18">
        <v>138.67767970197514</v>
      </c>
      <c r="AB204" s="18">
        <v>110.93569570633022</v>
      </c>
    </row>
    <row r="205" spans="1:28">
      <c r="A205" s="17">
        <f t="shared" si="3"/>
        <v>44440</v>
      </c>
      <c r="B205" s="18">
        <v>129.08603699771749</v>
      </c>
      <c r="C205" s="18">
        <v>77.417009422868603</v>
      </c>
      <c r="D205" s="18">
        <v>115.62076452120866</v>
      </c>
      <c r="E205" s="18">
        <v>114.2171172275406</v>
      </c>
      <c r="F205" s="18">
        <v>66.214020479602283</v>
      </c>
      <c r="G205" s="18">
        <v>118.4853862005229</v>
      </c>
      <c r="H205" s="18">
        <v>117.582011408329</v>
      </c>
      <c r="I205" s="18">
        <v>133.18775019020975</v>
      </c>
      <c r="J205" s="18">
        <v>119.75095011665272</v>
      </c>
      <c r="K205" s="18">
        <v>112.27845217119092</v>
      </c>
      <c r="L205" s="18">
        <v>132.28598073560767</v>
      </c>
      <c r="M205" s="18">
        <v>156.88716445040978</v>
      </c>
      <c r="N205" s="18">
        <v>115.58282452621881</v>
      </c>
      <c r="P205" s="18">
        <v>123.2532898171326</v>
      </c>
      <c r="Q205" s="18">
        <v>78.666262975850657</v>
      </c>
      <c r="R205" s="18">
        <v>112.25074221364773</v>
      </c>
      <c r="S205" s="18">
        <v>112.67587895406173</v>
      </c>
      <c r="T205" s="18">
        <v>70.273856259288564</v>
      </c>
      <c r="U205" s="18">
        <v>123.26309997414866</v>
      </c>
      <c r="V205" s="18">
        <v>117.61843878371678</v>
      </c>
      <c r="W205" s="18">
        <v>134.59742835225163</v>
      </c>
      <c r="X205" s="18">
        <v>119.48018637109415</v>
      </c>
      <c r="Y205" s="18">
        <v>114.92017837304884</v>
      </c>
      <c r="Z205" s="18">
        <v>137.50389112106674</v>
      </c>
      <c r="AA205" s="18">
        <v>156.9527631225601</v>
      </c>
      <c r="AB205" s="18">
        <v>116.73698361636448</v>
      </c>
    </row>
    <row r="206" spans="1:28">
      <c r="A206" s="17">
        <f t="shared" si="3"/>
        <v>44470</v>
      </c>
      <c r="B206" s="18">
        <v>123.33889455460995</v>
      </c>
      <c r="C206" s="18">
        <v>80.262000180454478</v>
      </c>
      <c r="D206" s="18">
        <v>116.32709096465668</v>
      </c>
      <c r="E206" s="18">
        <v>116.10727162229418</v>
      </c>
      <c r="F206" s="18">
        <v>75.005541105052245</v>
      </c>
      <c r="G206" s="18">
        <v>126.11086538285441</v>
      </c>
      <c r="H206" s="18">
        <v>120.37149984146819</v>
      </c>
      <c r="I206" s="18">
        <v>126.73264278473732</v>
      </c>
      <c r="J206" s="18">
        <v>119.93113423514981</v>
      </c>
      <c r="K206" s="18">
        <v>111.01236416740534</v>
      </c>
      <c r="L206" s="18">
        <v>123.74771052709445</v>
      </c>
      <c r="M206" s="18">
        <v>162.05462280487745</v>
      </c>
      <c r="N206" s="18">
        <v>115.82694592283977</v>
      </c>
      <c r="P206" s="18">
        <v>121.81987631252275</v>
      </c>
      <c r="Q206" s="18">
        <v>78.57711589532272</v>
      </c>
      <c r="R206" s="18">
        <v>110.25543069893575</v>
      </c>
      <c r="S206" s="18">
        <v>114.02353598642938</v>
      </c>
      <c r="T206" s="18">
        <v>78.811252493623499</v>
      </c>
      <c r="U206" s="18">
        <v>127.17864199945667</v>
      </c>
      <c r="V206" s="18">
        <v>119.2582892903616</v>
      </c>
      <c r="W206" s="18">
        <v>129.413726955035</v>
      </c>
      <c r="X206" s="18">
        <v>119.58745641808927</v>
      </c>
      <c r="Y206" s="18">
        <v>112.13846340129435</v>
      </c>
      <c r="Z206" s="18">
        <v>129.48781700097686</v>
      </c>
      <c r="AA206" s="18">
        <v>156.66789271010683</v>
      </c>
      <c r="AB206" s="18">
        <v>115.80388635206485</v>
      </c>
    </row>
    <row r="207" spans="1:28">
      <c r="A207" s="17">
        <f t="shared" si="3"/>
        <v>44501</v>
      </c>
      <c r="B207" s="18">
        <v>121.93947646351174</v>
      </c>
      <c r="C207" s="18">
        <v>85.720003226252658</v>
      </c>
      <c r="D207" s="18">
        <v>116.75251465203192</v>
      </c>
      <c r="E207" s="18">
        <v>114.94781542200761</v>
      </c>
      <c r="F207" s="18">
        <v>86.220076825182858</v>
      </c>
      <c r="G207" s="18">
        <v>133.55179512898533</v>
      </c>
      <c r="H207" s="18">
        <v>127.98093806113569</v>
      </c>
      <c r="I207" s="18">
        <v>130.94351300159798</v>
      </c>
      <c r="J207" s="18">
        <v>120.55397709662977</v>
      </c>
      <c r="K207" s="18">
        <v>122.85948111783284</v>
      </c>
      <c r="L207" s="18">
        <v>143.52867215832055</v>
      </c>
      <c r="M207" s="18">
        <v>160.52405438862115</v>
      </c>
      <c r="N207" s="18">
        <v>122.70304324441106</v>
      </c>
      <c r="P207" s="18">
        <v>121.99683524742086</v>
      </c>
      <c r="Q207" s="18">
        <v>84.838991656668185</v>
      </c>
      <c r="R207" s="18">
        <v>113.27674740504008</v>
      </c>
      <c r="S207" s="18">
        <v>113.31341897333486</v>
      </c>
      <c r="T207" s="18">
        <v>71.818383170011529</v>
      </c>
      <c r="U207" s="18">
        <v>127.34350226987378</v>
      </c>
      <c r="V207" s="18">
        <v>124.24517633261978</v>
      </c>
      <c r="W207" s="18">
        <v>131.90774626304491</v>
      </c>
      <c r="X207" s="18">
        <v>120.12038971513745</v>
      </c>
      <c r="Y207" s="18">
        <v>114.87846049273982</v>
      </c>
      <c r="Z207" s="18">
        <v>133.63332978736085</v>
      </c>
      <c r="AA207" s="18">
        <v>160.23905945666482</v>
      </c>
      <c r="AB207" s="18">
        <v>117.16891673289732</v>
      </c>
    </row>
    <row r="208" spans="1:28">
      <c r="A208" s="17">
        <f t="shared" si="3"/>
        <v>44531</v>
      </c>
      <c r="B208" s="18">
        <v>122.7207152855166</v>
      </c>
      <c r="C208" s="18">
        <v>92.272859964340313</v>
      </c>
      <c r="D208" s="18">
        <v>118.26074454096388</v>
      </c>
      <c r="E208" s="18">
        <v>114.63021231269124</v>
      </c>
      <c r="F208" s="18">
        <v>71.558172781071548</v>
      </c>
      <c r="G208" s="18">
        <v>153.80002509464717</v>
      </c>
      <c r="H208" s="18">
        <v>147.37792530403618</v>
      </c>
      <c r="I208" s="18">
        <v>136.14535026620388</v>
      </c>
      <c r="J208" s="18">
        <v>120.54618385931644</v>
      </c>
      <c r="K208" s="18">
        <v>140.44352643709226</v>
      </c>
      <c r="L208" s="18">
        <v>159.46672261367357</v>
      </c>
      <c r="M208" s="18">
        <v>182.5143529282193</v>
      </c>
      <c r="N208" s="18">
        <v>132.29765504270338</v>
      </c>
      <c r="P208" s="18">
        <v>121.9658545284324</v>
      </c>
      <c r="Q208" s="18">
        <v>82.58422724809725</v>
      </c>
      <c r="R208" s="18">
        <v>114.85445316979866</v>
      </c>
      <c r="S208" s="18">
        <v>113.44351919739846</v>
      </c>
      <c r="T208" s="18">
        <v>74.297232326695479</v>
      </c>
      <c r="U208" s="18">
        <v>126.61041121577195</v>
      </c>
      <c r="V208" s="18">
        <v>124.01268875790086</v>
      </c>
      <c r="W208" s="18">
        <v>130.13893683214062</v>
      </c>
      <c r="X208" s="18">
        <v>120.31779911334479</v>
      </c>
      <c r="Y208" s="18">
        <v>115.18777937550088</v>
      </c>
      <c r="Z208" s="18">
        <v>130.97962346319051</v>
      </c>
      <c r="AA208" s="18">
        <v>172.95039749008814</v>
      </c>
      <c r="AB208" s="18">
        <v>119.06187852424424</v>
      </c>
    </row>
    <row r="209" spans="1:28">
      <c r="A209" s="17">
        <f t="shared" si="3"/>
        <v>44562</v>
      </c>
      <c r="B209" s="18">
        <v>112.97028823139649</v>
      </c>
      <c r="C209" s="18">
        <v>78.191086678326059</v>
      </c>
      <c r="D209" s="18">
        <v>104.46158379958064</v>
      </c>
      <c r="E209" s="18">
        <v>112.70509681980012</v>
      </c>
      <c r="F209" s="18">
        <v>67.91858094743742</v>
      </c>
      <c r="G209" s="18">
        <v>120.40909676698432</v>
      </c>
      <c r="H209" s="18">
        <v>116.31208436149866</v>
      </c>
      <c r="I209" s="18">
        <v>89.790349078487381</v>
      </c>
      <c r="J209" s="18">
        <v>120.44371211988849</v>
      </c>
      <c r="K209" s="18">
        <v>102.67869153488751</v>
      </c>
      <c r="L209" s="18">
        <v>112.55634904986964</v>
      </c>
      <c r="M209" s="18">
        <v>156.33587611706267</v>
      </c>
      <c r="N209" s="18">
        <v>107.67688485707166</v>
      </c>
      <c r="P209" s="18">
        <v>116.57036423804695</v>
      </c>
      <c r="Q209" s="18">
        <v>78.108046301142849</v>
      </c>
      <c r="R209" s="18">
        <v>112.98616769680416</v>
      </c>
      <c r="S209" s="18">
        <v>113.44655069010257</v>
      </c>
      <c r="T209" s="18">
        <v>74.871164627056956</v>
      </c>
      <c r="U209" s="18">
        <v>127.93435593688751</v>
      </c>
      <c r="V209" s="18">
        <v>126.81356346777241</v>
      </c>
      <c r="W209" s="18">
        <v>88.70515060482758</v>
      </c>
      <c r="X209" s="18">
        <v>120.48694515284366</v>
      </c>
      <c r="Y209" s="18">
        <v>114.06161221609904</v>
      </c>
      <c r="Z209" s="18">
        <v>129.45335402380618</v>
      </c>
      <c r="AA209" s="18">
        <v>171.55013743643732</v>
      </c>
      <c r="AB209" s="18">
        <v>115.85774548156098</v>
      </c>
    </row>
    <row r="210" spans="1:28">
      <c r="A210" s="17">
        <f t="shared" si="3"/>
        <v>44593</v>
      </c>
      <c r="B210" s="18">
        <v>114.41477852145931</v>
      </c>
      <c r="C210" s="18">
        <v>72.384521827605866</v>
      </c>
      <c r="D210" s="18">
        <v>106.33292129706335</v>
      </c>
      <c r="E210" s="18">
        <v>108.0092123904645</v>
      </c>
      <c r="F210" s="18">
        <v>85.333964961043137</v>
      </c>
      <c r="G210" s="18">
        <v>112.19463891661681</v>
      </c>
      <c r="H210" s="18">
        <v>120.71767331279429</v>
      </c>
      <c r="I210" s="18">
        <v>133.08770379895353</v>
      </c>
      <c r="J210" s="18">
        <v>120.43940339500227</v>
      </c>
      <c r="K210" s="18">
        <v>109.88025299991975</v>
      </c>
      <c r="L210" s="18">
        <v>126.10741507765199</v>
      </c>
      <c r="M210" s="18">
        <v>160.8331341252316</v>
      </c>
      <c r="N210" s="18">
        <v>111.26812758578872</v>
      </c>
      <c r="P210" s="18">
        <v>120.36337604172954</v>
      </c>
      <c r="Q210" s="18">
        <v>78.799743701248431</v>
      </c>
      <c r="R210" s="18">
        <v>113.70258987871451</v>
      </c>
      <c r="S210" s="18">
        <v>113.80904221869639</v>
      </c>
      <c r="T210" s="18">
        <v>76.068558059993947</v>
      </c>
      <c r="U210" s="18">
        <v>121.09046140531983</v>
      </c>
      <c r="V210" s="18">
        <v>127.14674800837238</v>
      </c>
      <c r="W210" s="18">
        <v>135.46959287846755</v>
      </c>
      <c r="X210" s="18">
        <v>120.70755483735613</v>
      </c>
      <c r="Y210" s="18">
        <v>116.6650375884449</v>
      </c>
      <c r="Z210" s="18">
        <v>130.36027081487873</v>
      </c>
      <c r="AA210" s="18">
        <v>169.13643988904948</v>
      </c>
      <c r="AB210" s="18">
        <v>117.43881991310916</v>
      </c>
    </row>
    <row r="211" spans="1:28">
      <c r="A211" s="17">
        <f t="shared" si="3"/>
        <v>44621</v>
      </c>
      <c r="B211" s="18">
        <v>122.19040940409698</v>
      </c>
      <c r="C211" s="18">
        <v>78.833901736788874</v>
      </c>
      <c r="D211" s="18">
        <v>117.44305680284286</v>
      </c>
      <c r="E211" s="18">
        <v>116.15041741443122</v>
      </c>
      <c r="F211" s="18">
        <v>70.603211857442204</v>
      </c>
      <c r="G211" s="18">
        <v>129.3770504970679</v>
      </c>
      <c r="H211" s="18">
        <v>130.34846009571538</v>
      </c>
      <c r="I211" s="18">
        <v>139.82318961685937</v>
      </c>
      <c r="J211" s="18">
        <v>120.61379604579763</v>
      </c>
      <c r="K211" s="18">
        <v>117.13548899334019</v>
      </c>
      <c r="L211" s="18">
        <v>128.92300393938791</v>
      </c>
      <c r="M211" s="18">
        <v>191.28350244173484</v>
      </c>
      <c r="N211" s="18">
        <v>119.69653983984716</v>
      </c>
      <c r="P211" s="18">
        <v>120.73601708316832</v>
      </c>
      <c r="Q211" s="18">
        <v>77.518840032295941</v>
      </c>
      <c r="R211" s="18">
        <v>115.92687244343037</v>
      </c>
      <c r="S211" s="18">
        <v>114.661736607908</v>
      </c>
      <c r="T211" s="18">
        <v>74.841851944253321</v>
      </c>
      <c r="U211" s="18">
        <v>131.71608995112402</v>
      </c>
      <c r="V211" s="18">
        <v>128.59493159863607</v>
      </c>
      <c r="W211" s="18">
        <v>137.71780691666459</v>
      </c>
      <c r="X211" s="18">
        <v>120.93818058330639</v>
      </c>
      <c r="Y211" s="18">
        <v>117.63148103294623</v>
      </c>
      <c r="Z211" s="18">
        <v>128.56273213815612</v>
      </c>
      <c r="AA211" s="18">
        <v>187.6161950628196</v>
      </c>
      <c r="AB211" s="18">
        <v>119.52604972139491</v>
      </c>
    </row>
    <row r="212" spans="1:28">
      <c r="A212" s="17">
        <f t="shared" si="3"/>
        <v>44652</v>
      </c>
      <c r="B212" s="18">
        <v>113.2392798725157</v>
      </c>
      <c r="C212" s="18">
        <v>75.428352439927565</v>
      </c>
      <c r="D212" s="18">
        <v>111.26921034121544</v>
      </c>
      <c r="E212" s="18">
        <v>112.10231324517572</v>
      </c>
      <c r="F212" s="18">
        <v>70.853666041340233</v>
      </c>
      <c r="G212" s="18">
        <v>121.26197889725677</v>
      </c>
      <c r="H212" s="18">
        <v>121.37199680473687</v>
      </c>
      <c r="I212" s="18">
        <v>137.49655370340318</v>
      </c>
      <c r="J212" s="18">
        <v>120.93323144593909</v>
      </c>
      <c r="K212" s="18">
        <v>114.56149431705714</v>
      </c>
      <c r="L212" s="18">
        <v>131.76185772984064</v>
      </c>
      <c r="M212" s="18">
        <v>172.3522084998169</v>
      </c>
      <c r="N212" s="18">
        <v>115.13800835245156</v>
      </c>
      <c r="P212" s="18">
        <v>124.52310924538629</v>
      </c>
      <c r="Q212" s="18">
        <v>78.512366433818187</v>
      </c>
      <c r="R212" s="18">
        <v>116.1993160748588</v>
      </c>
      <c r="S212" s="18">
        <v>115.19208026157554</v>
      </c>
      <c r="T212" s="18">
        <v>77.782009028879529</v>
      </c>
      <c r="U212" s="18">
        <v>126.84434909514725</v>
      </c>
      <c r="V212" s="18">
        <v>127.74799938729362</v>
      </c>
      <c r="W212" s="18">
        <v>137.35087038841797</v>
      </c>
      <c r="X212" s="18">
        <v>121.28473504308882</v>
      </c>
      <c r="Y212" s="18">
        <v>120.20997469492305</v>
      </c>
      <c r="Z212" s="18">
        <v>136.57303725116125</v>
      </c>
      <c r="AA212" s="18">
        <v>171.82683595048471</v>
      </c>
      <c r="AB212" s="18">
        <v>119.6818790968353</v>
      </c>
    </row>
    <row r="213" spans="1:28">
      <c r="A213" s="17">
        <f t="shared" si="3"/>
        <v>44682</v>
      </c>
      <c r="B213" s="18">
        <v>120.85163786792701</v>
      </c>
      <c r="C213" s="18">
        <v>78.217307236528171</v>
      </c>
      <c r="D213" s="18">
        <v>116.73471227984933</v>
      </c>
      <c r="E213" s="18">
        <v>115.68461983113276</v>
      </c>
      <c r="F213" s="18">
        <v>80.672031758877935</v>
      </c>
      <c r="G213" s="18">
        <v>126.90428025794569</v>
      </c>
      <c r="H213" s="18">
        <v>124.81311335182342</v>
      </c>
      <c r="I213" s="18">
        <v>135.17111211865142</v>
      </c>
      <c r="J213" s="18">
        <v>121.18364725907003</v>
      </c>
      <c r="K213" s="18">
        <v>117.01964361371479</v>
      </c>
      <c r="L213" s="18">
        <v>129.04561877753883</v>
      </c>
      <c r="M213" s="18">
        <v>187.8342762424146</v>
      </c>
      <c r="N213" s="18">
        <v>118.72198533676574</v>
      </c>
      <c r="P213" s="18">
        <v>120.45176386568566</v>
      </c>
      <c r="Q213" s="18">
        <v>79.013037494531815</v>
      </c>
      <c r="R213" s="18">
        <v>116.17986651464295</v>
      </c>
      <c r="S213" s="18">
        <v>115.6462354669161</v>
      </c>
      <c r="T213" s="18">
        <v>71.766053374999629</v>
      </c>
      <c r="U213" s="18">
        <v>130.85039131477731</v>
      </c>
      <c r="V213" s="18">
        <v>128.81296229101565</v>
      </c>
      <c r="W213" s="18">
        <v>139.72218634343849</v>
      </c>
      <c r="X213" s="18">
        <v>121.21957771631071</v>
      </c>
      <c r="Y213" s="18">
        <v>120.95932652970036</v>
      </c>
      <c r="Z213" s="18">
        <v>132.90574846618952</v>
      </c>
      <c r="AA213" s="18">
        <v>188.71052699032441</v>
      </c>
      <c r="AB213" s="18">
        <v>119.8696178760206</v>
      </c>
    </row>
    <row r="214" spans="1:28">
      <c r="A214" s="17">
        <f t="shared" si="3"/>
        <v>44713</v>
      </c>
      <c r="B214" s="18">
        <v>116.31166496671462</v>
      </c>
      <c r="C214" s="18">
        <v>74.877623366496934</v>
      </c>
      <c r="D214" s="18">
        <v>113.57705128574852</v>
      </c>
      <c r="E214" s="18">
        <v>112.42212312360596</v>
      </c>
      <c r="F214" s="18">
        <v>68.0736252422695</v>
      </c>
      <c r="G214" s="18">
        <v>129.58069029425468</v>
      </c>
      <c r="H214" s="18">
        <v>130.83769028415645</v>
      </c>
      <c r="I214" s="18">
        <v>141.39341906180897</v>
      </c>
      <c r="J214" s="18">
        <v>121.45302250425578</v>
      </c>
      <c r="K214" s="18">
        <v>121.4363260163633</v>
      </c>
      <c r="L214" s="18">
        <v>135.93937763245393</v>
      </c>
      <c r="M214" s="18">
        <v>167.07569668001739</v>
      </c>
      <c r="N214" s="18">
        <v>118.49431748508464</v>
      </c>
      <c r="P214" s="18">
        <v>120.09393113854468</v>
      </c>
      <c r="Q214" s="18">
        <v>78.698806716018794</v>
      </c>
      <c r="R214" s="18">
        <v>116.13642463424058</v>
      </c>
      <c r="S214" s="18">
        <v>115.30752218774994</v>
      </c>
      <c r="T214" s="18">
        <v>74.881500034951301</v>
      </c>
      <c r="U214" s="18">
        <v>132.3734809097586</v>
      </c>
      <c r="V214" s="18">
        <v>128.83305785510285</v>
      </c>
      <c r="W214" s="18">
        <v>140.40065808968521</v>
      </c>
      <c r="X214" s="18">
        <v>121.44970446631579</v>
      </c>
      <c r="Y214" s="18">
        <v>120.91173589446723</v>
      </c>
      <c r="Z214" s="18">
        <v>130.0962756008955</v>
      </c>
      <c r="AA214" s="18">
        <v>173.37309534499613</v>
      </c>
      <c r="AB214" s="18">
        <v>119.3957958402587</v>
      </c>
    </row>
    <row r="215" spans="1:28">
      <c r="A215" s="17">
        <f t="shared" si="3"/>
        <v>44743</v>
      </c>
      <c r="B215" s="18">
        <v>119.14558868851104</v>
      </c>
      <c r="C215" s="18">
        <v>84.250054973721745</v>
      </c>
      <c r="D215" s="18">
        <v>116.70405194891944</v>
      </c>
      <c r="E215" s="18">
        <v>117.71676710885612</v>
      </c>
      <c r="F215" s="18">
        <v>72.763613502337904</v>
      </c>
      <c r="G215" s="18">
        <v>133.00532752792037</v>
      </c>
      <c r="H215" s="18">
        <v>126.96871649079935</v>
      </c>
      <c r="I215" s="18">
        <v>137.54992450515823</v>
      </c>
      <c r="J215" s="18">
        <v>121.6778899417927</v>
      </c>
      <c r="K215" s="18">
        <v>119.4608478093357</v>
      </c>
      <c r="L215" s="18">
        <v>131.04376972692012</v>
      </c>
      <c r="M215" s="18">
        <v>168.28050598907194</v>
      </c>
      <c r="N215" s="18">
        <v>119.9193232118938</v>
      </c>
      <c r="P215" s="18">
        <v>116.733083895256</v>
      </c>
      <c r="Q215" s="18">
        <v>81.624201491698059</v>
      </c>
      <c r="R215" s="18">
        <v>114.58547406824079</v>
      </c>
      <c r="S215" s="18">
        <v>115.52723587028679</v>
      </c>
      <c r="T215" s="18">
        <v>79.519454409145439</v>
      </c>
      <c r="U215" s="18">
        <v>132.39784949451726</v>
      </c>
      <c r="V215" s="18">
        <v>129.18052165333745</v>
      </c>
      <c r="W215" s="18">
        <v>136.78780540818235</v>
      </c>
      <c r="X215" s="18">
        <v>121.83711118243454</v>
      </c>
      <c r="Y215" s="18">
        <v>118.67579114668052</v>
      </c>
      <c r="Z215" s="18">
        <v>128.77409218704608</v>
      </c>
      <c r="AA215" s="18">
        <v>168.81021716376236</v>
      </c>
      <c r="AB215" s="18">
        <v>118.55169378662282</v>
      </c>
    </row>
    <row r="216" spans="1:28">
      <c r="A216" s="17">
        <f t="shared" si="3"/>
        <v>44774</v>
      </c>
      <c r="B216" s="18">
        <v>132.89531647598307</v>
      </c>
      <c r="C216" s="18">
        <v>81.400402737093131</v>
      </c>
      <c r="D216" s="18">
        <v>123.5401164990248</v>
      </c>
      <c r="E216" s="18">
        <v>118.02007054767576</v>
      </c>
      <c r="F216" s="18">
        <v>90.735034768626079</v>
      </c>
      <c r="G216" s="18">
        <v>131.88384782337332</v>
      </c>
      <c r="H216" s="18">
        <v>125.80289410394346</v>
      </c>
      <c r="I216" s="18">
        <v>138.94412727607028</v>
      </c>
      <c r="J216" s="18">
        <v>121.88180373058893</v>
      </c>
      <c r="K216" s="18">
        <v>116.73758844665973</v>
      </c>
      <c r="L216" s="18">
        <v>123.7390878998439</v>
      </c>
      <c r="M216" s="18">
        <v>182.71357068937556</v>
      </c>
      <c r="N216" s="18">
        <v>121.65558003354396</v>
      </c>
      <c r="P216" s="18">
        <v>120.37412867653363</v>
      </c>
      <c r="Q216" s="18">
        <v>81.392835362429011</v>
      </c>
      <c r="R216" s="18">
        <v>120.03336632642183</v>
      </c>
      <c r="S216" s="18">
        <v>115.67014345068387</v>
      </c>
      <c r="T216" s="18">
        <v>78.690813259285122</v>
      </c>
      <c r="U216" s="18">
        <v>131.82310703365644</v>
      </c>
      <c r="V216" s="18">
        <v>129.36918652866936</v>
      </c>
      <c r="W216" s="18">
        <v>138.83848356612941</v>
      </c>
      <c r="X216" s="18">
        <v>121.75441437782204</v>
      </c>
      <c r="Y216" s="18">
        <v>120.17030142146299</v>
      </c>
      <c r="Z216" s="18">
        <v>129.05466756647917</v>
      </c>
      <c r="AA216" s="18">
        <v>176.45592463834393</v>
      </c>
      <c r="AB216" s="18">
        <v>120.39684374441109</v>
      </c>
    </row>
    <row r="217" spans="1:28">
      <c r="A217" s="17">
        <f t="shared" si="3"/>
        <v>44805</v>
      </c>
      <c r="B217" s="18">
        <v>124.37437690409693</v>
      </c>
      <c r="C217" s="18">
        <v>77.32153468788286</v>
      </c>
      <c r="D217" s="18">
        <v>121.77086884278307</v>
      </c>
      <c r="E217" s="18">
        <v>115.76951735210601</v>
      </c>
      <c r="F217" s="18">
        <v>67.424747647659984</v>
      </c>
      <c r="G217" s="18">
        <v>130.16514707029302</v>
      </c>
      <c r="H217" s="18">
        <v>130.07739381085688</v>
      </c>
      <c r="I217" s="18">
        <v>141.72104387104849</v>
      </c>
      <c r="J217" s="18">
        <v>122.11102582207209</v>
      </c>
      <c r="K217" s="18">
        <v>118.09313179908251</v>
      </c>
      <c r="L217" s="18">
        <v>124.68222595873173</v>
      </c>
      <c r="M217" s="18">
        <v>216.72337655050563</v>
      </c>
      <c r="N217" s="18">
        <v>120.44491018431206</v>
      </c>
      <c r="P217" s="18">
        <v>119.37834422159266</v>
      </c>
      <c r="Q217" s="18">
        <v>78.120068837322009</v>
      </c>
      <c r="R217" s="18">
        <v>118.72471121347002</v>
      </c>
      <c r="S217" s="18">
        <v>114.33620712848476</v>
      </c>
      <c r="T217" s="18">
        <v>73.419382706099199</v>
      </c>
      <c r="U217" s="18">
        <v>134.68442899030885</v>
      </c>
      <c r="V217" s="18">
        <v>129.47717385356032</v>
      </c>
      <c r="W217" s="18">
        <v>142.106501073294</v>
      </c>
      <c r="X217" s="18">
        <v>121.90862200345005</v>
      </c>
      <c r="Y217" s="18">
        <v>120.60166446846556</v>
      </c>
      <c r="Z217" s="18">
        <v>129.39864726447749</v>
      </c>
      <c r="AA217" s="18">
        <v>217.36023007703992</v>
      </c>
      <c r="AB217" s="18">
        <v>121.68074526209742</v>
      </c>
    </row>
    <row r="218" spans="1:28">
      <c r="A218" s="17">
        <f t="shared" si="3"/>
        <v>44835</v>
      </c>
      <c r="B218" s="18">
        <v>118.08137297967257</v>
      </c>
      <c r="C218" s="18">
        <v>79.792402845180163</v>
      </c>
      <c r="D218" s="18">
        <v>121.70821681864778</v>
      </c>
      <c r="E218" s="18">
        <v>117.86846031382312</v>
      </c>
      <c r="F218" s="18">
        <v>71.768565574008377</v>
      </c>
      <c r="G218" s="18">
        <v>132.25135467103942</v>
      </c>
      <c r="H218" s="18">
        <v>123.36871631880312</v>
      </c>
      <c r="I218" s="18">
        <v>138.61606834494958</v>
      </c>
      <c r="J218" s="18">
        <v>122.33619264902941</v>
      </c>
      <c r="K218" s="18">
        <v>117.57681684526982</v>
      </c>
      <c r="L218" s="18">
        <v>122.1629822772411</v>
      </c>
      <c r="M218" s="18">
        <v>233.15912974945658</v>
      </c>
      <c r="N218" s="18">
        <v>120.54116508614376</v>
      </c>
      <c r="P218" s="18">
        <v>116.28621806269652</v>
      </c>
      <c r="Q218" s="18">
        <v>78.351576190812409</v>
      </c>
      <c r="R218" s="18">
        <v>115.96564877166378</v>
      </c>
      <c r="S218" s="18">
        <v>115.75811456730945</v>
      </c>
      <c r="T218" s="18">
        <v>75.759727956576555</v>
      </c>
      <c r="U218" s="18">
        <v>132.77961275774922</v>
      </c>
      <c r="V218" s="18">
        <v>122.54163541629373</v>
      </c>
      <c r="W218" s="18">
        <v>141.53390029875885</v>
      </c>
      <c r="X218" s="18">
        <v>122.04300798581913</v>
      </c>
      <c r="Y218" s="18">
        <v>118.7282224209202</v>
      </c>
      <c r="Z218" s="18">
        <v>127.65122369665181</v>
      </c>
      <c r="AA218" s="18">
        <v>225.80225973143072</v>
      </c>
      <c r="AB218" s="18">
        <v>120.23900599893685</v>
      </c>
    </row>
    <row r="219" spans="1:28">
      <c r="A219" s="17">
        <f t="shared" si="3"/>
        <v>44866</v>
      </c>
      <c r="B219" s="18">
        <v>119.06006609289692</v>
      </c>
      <c r="C219" s="18">
        <v>77.29975319947718</v>
      </c>
      <c r="D219" s="18">
        <v>120.190293521271</v>
      </c>
      <c r="E219" s="18">
        <v>117.81741379739938</v>
      </c>
      <c r="F219" s="18">
        <v>88.482396710987032</v>
      </c>
      <c r="G219" s="18">
        <v>130.66077524265856</v>
      </c>
      <c r="H219" s="18">
        <v>129.36493862139622</v>
      </c>
      <c r="I219" s="18">
        <v>139.63405420567605</v>
      </c>
      <c r="J219" s="18">
        <v>122.45971052669692</v>
      </c>
      <c r="K219" s="18">
        <v>123.92765121412343</v>
      </c>
      <c r="L219" s="18">
        <v>137.30003697938142</v>
      </c>
      <c r="M219" s="18">
        <v>216.90337360916598</v>
      </c>
      <c r="N219" s="18">
        <v>122.83411938379128</v>
      </c>
      <c r="P219" s="18">
        <v>118.66651993536397</v>
      </c>
      <c r="Q219" s="18">
        <v>77.043344578087527</v>
      </c>
      <c r="R219" s="18">
        <v>116.81079189700199</v>
      </c>
      <c r="S219" s="18">
        <v>116.29143217851201</v>
      </c>
      <c r="T219" s="18">
        <v>73.864159790705813</v>
      </c>
      <c r="U219" s="18">
        <v>123.89297598182205</v>
      </c>
      <c r="V219" s="18">
        <v>125.50158410200653</v>
      </c>
      <c r="W219" s="18">
        <v>140.9196434198806</v>
      </c>
      <c r="X219" s="18">
        <v>122.08610186298519</v>
      </c>
      <c r="Y219" s="18">
        <v>116.21965931353336</v>
      </c>
      <c r="Z219" s="18">
        <v>127.97058660619865</v>
      </c>
      <c r="AA219" s="18">
        <v>215.96725702896427</v>
      </c>
      <c r="AB219" s="18">
        <v>117.23765836672304</v>
      </c>
    </row>
    <row r="220" spans="1:28">
      <c r="A220" s="17">
        <f t="shared" si="3"/>
        <v>44896</v>
      </c>
      <c r="B220" s="18">
        <v>118.81498310669269</v>
      </c>
      <c r="C220" s="18">
        <v>87.298793883123068</v>
      </c>
      <c r="D220" s="18">
        <v>118.83022302970041</v>
      </c>
      <c r="E220" s="18">
        <v>117.59503931777886</v>
      </c>
      <c r="F220" s="18">
        <v>70.198099666860074</v>
      </c>
      <c r="G220" s="18">
        <v>156.93000626182487</v>
      </c>
      <c r="H220" s="18">
        <v>150.70368941480604</v>
      </c>
      <c r="I220" s="18">
        <v>150.24490081044883</v>
      </c>
      <c r="J220" s="18">
        <v>122.56323480691222</v>
      </c>
      <c r="K220" s="18">
        <v>146.05298082340175</v>
      </c>
      <c r="L220" s="18">
        <v>155.54873561656029</v>
      </c>
      <c r="M220" s="18">
        <v>218.04680963697342</v>
      </c>
      <c r="N220" s="18">
        <v>133.03126293400433</v>
      </c>
      <c r="P220" s="18">
        <v>118.17290670795958</v>
      </c>
      <c r="Q220" s="18">
        <v>78.112868472748204</v>
      </c>
      <c r="R220" s="18">
        <v>115.31107694715644</v>
      </c>
      <c r="S220" s="18">
        <v>116.21475063402484</v>
      </c>
      <c r="T220" s="18">
        <v>73.362863486942928</v>
      </c>
      <c r="U220" s="18">
        <v>128.23709135616491</v>
      </c>
      <c r="V220" s="18">
        <v>126.66800280926884</v>
      </c>
      <c r="W220" s="18">
        <v>143.91984740376762</v>
      </c>
      <c r="X220" s="18">
        <v>122.38071503531292</v>
      </c>
      <c r="Y220" s="18">
        <v>119.72610768551199</v>
      </c>
      <c r="Z220" s="18">
        <v>128.0098250494803</v>
      </c>
      <c r="AA220" s="18">
        <v>204.93234101717448</v>
      </c>
      <c r="AB220" s="18">
        <v>119.54636920272821</v>
      </c>
    </row>
    <row r="221" spans="1:28">
      <c r="A221" s="17">
        <f t="shared" si="3"/>
        <v>44927</v>
      </c>
      <c r="B221" s="18">
        <v>114.80203488893032</v>
      </c>
      <c r="C221" s="18">
        <v>80.223591721369033</v>
      </c>
      <c r="D221" s="18">
        <v>108.18575296769983</v>
      </c>
      <c r="E221" s="18">
        <v>115.92869887877451</v>
      </c>
      <c r="F221" s="18">
        <v>68.420443057361183</v>
      </c>
      <c r="G221" s="18">
        <v>119.22342492107856</v>
      </c>
      <c r="H221" s="18">
        <v>120.38186515400197</v>
      </c>
      <c r="I221" s="18">
        <v>147.42462158853863</v>
      </c>
      <c r="J221" s="18">
        <v>122.53772168521597</v>
      </c>
      <c r="K221" s="18">
        <v>108.60166365533688</v>
      </c>
      <c r="L221" s="18">
        <v>112.34589954267069</v>
      </c>
      <c r="M221" s="18">
        <v>179.03254776218773</v>
      </c>
      <c r="N221" s="18">
        <v>112.30992316748423</v>
      </c>
      <c r="P221" s="18">
        <v>118.80021595024695</v>
      </c>
      <c r="Q221" s="18">
        <v>79.63666520054808</v>
      </c>
      <c r="R221" s="18">
        <v>116.47616416228243</v>
      </c>
      <c r="S221" s="18">
        <v>116.50415881077024</v>
      </c>
      <c r="T221" s="18">
        <v>75.594050331140423</v>
      </c>
      <c r="U221" s="18">
        <v>125.79352653444727</v>
      </c>
      <c r="V221" s="18">
        <v>130.60054565948295</v>
      </c>
      <c r="W221" s="18">
        <v>146.10595642840366</v>
      </c>
      <c r="X221" s="18">
        <v>122.61673104378036</v>
      </c>
      <c r="Y221" s="18">
        <v>120.31749774733417</v>
      </c>
      <c r="Z221" s="18">
        <v>129.27971948181627</v>
      </c>
      <c r="AA221" s="18">
        <v>196.04326757398781</v>
      </c>
      <c r="AB221" s="18">
        <v>120.54109093923766</v>
      </c>
    </row>
    <row r="222" spans="1:28">
      <c r="A222" s="17">
        <f t="shared" si="3"/>
        <v>44958</v>
      </c>
      <c r="B222" s="18">
        <v>113.70248480017634</v>
      </c>
      <c r="C222" s="18">
        <v>73.117946094714299</v>
      </c>
      <c r="D222" s="18">
        <v>110.35235983518416</v>
      </c>
      <c r="E222" s="18">
        <v>110.61706765834205</v>
      </c>
      <c r="F222" s="18">
        <v>84.237991022839722</v>
      </c>
      <c r="G222" s="18">
        <v>115.62269825766485</v>
      </c>
      <c r="H222" s="18">
        <v>123.26945423060801</v>
      </c>
      <c r="I222" s="18">
        <v>144.63526778960431</v>
      </c>
      <c r="J222" s="18">
        <v>122.62449517860384</v>
      </c>
      <c r="K222" s="18">
        <v>112.86713465606432</v>
      </c>
      <c r="L222" s="18">
        <v>125.34152460734805</v>
      </c>
      <c r="M222" s="18">
        <v>185.68652890787817</v>
      </c>
      <c r="N222" s="18">
        <v>114.02538362581024</v>
      </c>
      <c r="P222" s="18">
        <v>120.35859115459246</v>
      </c>
      <c r="Q222" s="18">
        <v>79.410776330603881</v>
      </c>
      <c r="R222" s="18">
        <v>117.69188299495572</v>
      </c>
      <c r="S222" s="18">
        <v>116.7288323526181</v>
      </c>
      <c r="T222" s="18">
        <v>74.112144061862494</v>
      </c>
      <c r="U222" s="18">
        <v>125.53476553618572</v>
      </c>
      <c r="V222" s="18">
        <v>129.87216954231604</v>
      </c>
      <c r="W222" s="18">
        <v>147.5491182482034</v>
      </c>
      <c r="X222" s="18">
        <v>122.84836799616517</v>
      </c>
      <c r="Y222" s="18">
        <v>120.42670683450125</v>
      </c>
      <c r="Z222" s="18">
        <v>130.11521062165727</v>
      </c>
      <c r="AA222" s="18">
        <v>194.67999698768412</v>
      </c>
      <c r="AB222" s="18">
        <v>120.62072679801834</v>
      </c>
    </row>
    <row r="223" spans="1:28">
      <c r="A223" s="17">
        <f t="shared" si="3"/>
        <v>44986</v>
      </c>
      <c r="B223" s="18">
        <v>124.09829867404905</v>
      </c>
      <c r="C223" s="18">
        <v>83.339037721231662</v>
      </c>
      <c r="D223" s="18">
        <v>119.69280890834864</v>
      </c>
      <c r="E223" s="18">
        <v>118.33136870013996</v>
      </c>
      <c r="F223" s="18">
        <v>67.145218168228666</v>
      </c>
      <c r="G223" s="18">
        <v>123.89396655087903</v>
      </c>
      <c r="H223" s="18">
        <v>132.76014209566961</v>
      </c>
      <c r="I223" s="18">
        <v>157.19129644476081</v>
      </c>
      <c r="J223" s="18">
        <v>122.79480983565014</v>
      </c>
      <c r="K223" s="18">
        <v>119.71378766626293</v>
      </c>
      <c r="L223" s="18">
        <v>131.83854838489714</v>
      </c>
      <c r="M223" s="18">
        <v>220.80227119213188</v>
      </c>
      <c r="N223" s="18">
        <v>121.42828244590144</v>
      </c>
      <c r="P223" s="18">
        <v>122.50782271584275</v>
      </c>
      <c r="Q223" s="18">
        <v>81.933205608577637</v>
      </c>
      <c r="R223" s="18">
        <v>117.94814830645213</v>
      </c>
      <c r="S223" s="18">
        <v>116.78308678382669</v>
      </c>
      <c r="T223" s="18">
        <v>72.571268111554971</v>
      </c>
      <c r="U223" s="18">
        <v>125.71611409421422</v>
      </c>
      <c r="V223" s="18">
        <v>130.85810499641644</v>
      </c>
      <c r="W223" s="18">
        <v>155.0951351361025</v>
      </c>
      <c r="X223" s="18">
        <v>123.0460472281105</v>
      </c>
      <c r="Y223" s="18">
        <v>120.66867664691546</v>
      </c>
      <c r="Z223" s="18">
        <v>131.45992781951483</v>
      </c>
      <c r="AA223" s="18">
        <v>215.27160874685279</v>
      </c>
      <c r="AB223" s="18">
        <v>121.0505920656574</v>
      </c>
    </row>
    <row r="224" spans="1:28">
      <c r="A224" s="17">
        <f t="shared" si="3"/>
        <v>45017</v>
      </c>
      <c r="B224" s="18">
        <v>106.53173544771273</v>
      </c>
      <c r="C224" s="18">
        <v>77.746139312414229</v>
      </c>
      <c r="D224" s="18">
        <v>108.15218399463656</v>
      </c>
      <c r="E224" s="18">
        <v>113.62734847719349</v>
      </c>
      <c r="F224" s="18">
        <v>63.14826984126627</v>
      </c>
      <c r="G224" s="18">
        <v>118.57927544665053</v>
      </c>
      <c r="H224" s="18">
        <v>123.18718749987565</v>
      </c>
      <c r="I224" s="18">
        <v>145.76036351880691</v>
      </c>
      <c r="J224" s="18">
        <v>123.07741443873343</v>
      </c>
      <c r="K224" s="18">
        <v>114.57943109740761</v>
      </c>
      <c r="L224" s="18">
        <v>127.66835842541488</v>
      </c>
      <c r="M224" s="18">
        <v>209.2741427804016</v>
      </c>
      <c r="N224" s="18">
        <v>114.28247221130839</v>
      </c>
      <c r="P224" s="18">
        <v>117.00038521730521</v>
      </c>
      <c r="Q224" s="18">
        <v>80.902710594694668</v>
      </c>
      <c r="R224" s="18">
        <v>113.0422356720379</v>
      </c>
      <c r="S224" s="18">
        <v>116.6716471022681</v>
      </c>
      <c r="T224" s="18">
        <v>70.863868481721994</v>
      </c>
      <c r="U224" s="18">
        <v>124.52676962783671</v>
      </c>
      <c r="V224" s="18">
        <v>129.39489781002808</v>
      </c>
      <c r="W224" s="18">
        <v>145.12964957704293</v>
      </c>
      <c r="X224" s="18">
        <v>123.31146429839966</v>
      </c>
      <c r="Y224" s="18">
        <v>119.58791384209751</v>
      </c>
      <c r="Z224" s="18">
        <v>132.07258955820055</v>
      </c>
      <c r="AA224" s="18">
        <v>207.77589585074438</v>
      </c>
      <c r="AB224" s="18">
        <v>118.52019993166019</v>
      </c>
    </row>
    <row r="225" spans="1:28">
      <c r="A225" s="17">
        <f t="shared" si="3"/>
        <v>45047</v>
      </c>
      <c r="B225" s="18">
        <v>120.44715972412081</v>
      </c>
      <c r="C225" s="18">
        <v>82.676416547968117</v>
      </c>
      <c r="D225" s="18">
        <v>116.62309859911164</v>
      </c>
      <c r="E225" s="18">
        <v>118.51567177897581</v>
      </c>
      <c r="F225" s="18">
        <v>87.022117805015782</v>
      </c>
      <c r="G225" s="18">
        <v>121.01457626395089</v>
      </c>
      <c r="H225" s="18">
        <v>125.36079119562322</v>
      </c>
      <c r="I225" s="18">
        <v>139.72750325505584</v>
      </c>
      <c r="J225" s="18">
        <v>123.39177870884004</v>
      </c>
      <c r="K225" s="18">
        <v>117.15943026157778</v>
      </c>
      <c r="L225" s="18">
        <v>132.79666063302813</v>
      </c>
      <c r="M225" s="18">
        <v>200.01590748656008</v>
      </c>
      <c r="N225" s="18">
        <v>119.06055361024373</v>
      </c>
      <c r="P225" s="18">
        <v>120.50831830050855</v>
      </c>
      <c r="Q225" s="18">
        <v>83.118985994341102</v>
      </c>
      <c r="R225" s="18">
        <v>115.77366235468361</v>
      </c>
      <c r="S225" s="18">
        <v>118.38388470924531</v>
      </c>
      <c r="T225" s="18">
        <v>76.368039143610432</v>
      </c>
      <c r="U225" s="18">
        <v>124.70987543327099</v>
      </c>
      <c r="V225" s="18">
        <v>129.16383827732042</v>
      </c>
      <c r="W225" s="18">
        <v>144.93965233178287</v>
      </c>
      <c r="X225" s="18">
        <v>123.41042402123566</v>
      </c>
      <c r="Y225" s="18">
        <v>120.37127971522057</v>
      </c>
      <c r="Z225" s="18">
        <v>136.38798271445523</v>
      </c>
      <c r="AA225" s="18">
        <v>200.88616579130561</v>
      </c>
      <c r="AB225" s="18">
        <v>120.11863349944016</v>
      </c>
    </row>
    <row r="226" spans="1:28">
      <c r="A226" s="17">
        <f t="shared" si="3"/>
        <v>45078</v>
      </c>
      <c r="B226" s="18">
        <v>118.38988505703476</v>
      </c>
      <c r="C226" s="18">
        <v>75.835054983367257</v>
      </c>
      <c r="D226" s="18">
        <v>111.82022008394179</v>
      </c>
      <c r="E226" s="18">
        <v>116.59169738422597</v>
      </c>
      <c r="F226" s="18">
        <v>66.596738520595153</v>
      </c>
      <c r="G226" s="18">
        <v>121.57551833626788</v>
      </c>
      <c r="H226" s="18">
        <v>131.96147209157328</v>
      </c>
      <c r="I226" s="18">
        <v>148.30192258395385</v>
      </c>
      <c r="J226" s="18">
        <v>123.58697597384011</v>
      </c>
      <c r="K226" s="18">
        <v>126.51222549816057</v>
      </c>
      <c r="L226" s="18">
        <v>156.06601898428517</v>
      </c>
      <c r="M226" s="18">
        <v>188.55231131824823</v>
      </c>
      <c r="N226" s="18">
        <v>121.46675209631807</v>
      </c>
      <c r="P226" s="18">
        <v>122.26354433741062</v>
      </c>
      <c r="Q226" s="18">
        <v>80.119112748082031</v>
      </c>
      <c r="R226" s="18">
        <v>114.49619872814047</v>
      </c>
      <c r="S226" s="18">
        <v>119.47345296477829</v>
      </c>
      <c r="T226" s="18">
        <v>73.736696747262855</v>
      </c>
      <c r="U226" s="18">
        <v>124.67259847841198</v>
      </c>
      <c r="V226" s="18">
        <v>129.9427750167595</v>
      </c>
      <c r="W226" s="18">
        <v>146.80822114774165</v>
      </c>
      <c r="X226" s="18">
        <v>123.58718643211068</v>
      </c>
      <c r="Y226" s="18">
        <v>125.83847104019384</v>
      </c>
      <c r="Z226" s="18">
        <v>150.14767307730105</v>
      </c>
      <c r="AA226" s="18">
        <v>195.068039523143</v>
      </c>
      <c r="AB226" s="18">
        <v>122.6706241891191</v>
      </c>
    </row>
    <row r="227" spans="1:28">
      <c r="A227" s="17">
        <f t="shared" si="3"/>
        <v>45108</v>
      </c>
      <c r="B227" s="18">
        <v>121.38369311112788</v>
      </c>
      <c r="C227" s="18">
        <v>85.863023066233595</v>
      </c>
      <c r="D227" s="18">
        <v>113.37082031623535</v>
      </c>
      <c r="E227" s="18">
        <v>119.3808194155481</v>
      </c>
      <c r="F227" s="18">
        <v>63.616467869556018</v>
      </c>
      <c r="G227" s="18">
        <v>124.40116332243842</v>
      </c>
      <c r="H227" s="18">
        <v>124.10432283136315</v>
      </c>
      <c r="I227" s="18">
        <v>144.26772029722949</v>
      </c>
      <c r="J227" s="18">
        <v>123.72758487391813</v>
      </c>
      <c r="K227" s="18">
        <v>122.43368531855303</v>
      </c>
      <c r="L227" s="18">
        <v>142.9459400615122</v>
      </c>
      <c r="M227" s="18">
        <v>189.93958426621376</v>
      </c>
      <c r="N227" s="18">
        <v>120.65158505361029</v>
      </c>
      <c r="P227" s="18">
        <v>118.60024610801605</v>
      </c>
      <c r="Q227" s="18">
        <v>82.672595812311656</v>
      </c>
      <c r="R227" s="18">
        <v>111.14661217582238</v>
      </c>
      <c r="S227" s="18">
        <v>117.1763754549408</v>
      </c>
      <c r="T227" s="18">
        <v>70.018179352442019</v>
      </c>
      <c r="U227" s="18">
        <v>124.40912707263479</v>
      </c>
      <c r="V227" s="18">
        <v>125.79583161783125</v>
      </c>
      <c r="W227" s="18">
        <v>144.02992107172798</v>
      </c>
      <c r="X227" s="18">
        <v>123.86231332614959</v>
      </c>
      <c r="Y227" s="18">
        <v>121.36202557470497</v>
      </c>
      <c r="Z227" s="18">
        <v>141.07623304383125</v>
      </c>
      <c r="AA227" s="18">
        <v>190.4625494126866</v>
      </c>
      <c r="AB227" s="18">
        <v>119.26239456267864</v>
      </c>
    </row>
    <row r="228" spans="1:28">
      <c r="A228" s="17">
        <f t="shared" si="3"/>
        <v>45139</v>
      </c>
      <c r="B228" s="18">
        <v>133.4775940178757</v>
      </c>
      <c r="C228" s="18">
        <v>81.382573618589191</v>
      </c>
      <c r="D228" s="18">
        <v>116.71727895239741</v>
      </c>
      <c r="E228" s="18">
        <v>122.89437340366089</v>
      </c>
      <c r="F228" s="18">
        <v>83.215459096099508</v>
      </c>
      <c r="G228" s="18">
        <v>125.95357581206459</v>
      </c>
      <c r="H228" s="18">
        <v>125.3170435238919</v>
      </c>
      <c r="I228" s="18">
        <v>145.43540707531236</v>
      </c>
      <c r="J228" s="18">
        <v>124.01045953973657</v>
      </c>
      <c r="K228" s="18">
        <v>118.07283670788171</v>
      </c>
      <c r="L228" s="18">
        <v>133.1554990412744</v>
      </c>
      <c r="M228" s="18">
        <v>214.15402767454927</v>
      </c>
      <c r="N228" s="18">
        <v>122.45354496563992</v>
      </c>
      <c r="P228" s="18">
        <v>120.9471972516485</v>
      </c>
      <c r="Q228" s="18">
        <v>81.287966497675171</v>
      </c>
      <c r="R228" s="18">
        <v>113.25995992120737</v>
      </c>
      <c r="S228" s="18">
        <v>120.4051769154259</v>
      </c>
      <c r="T228" s="18">
        <v>71.649667318551806</v>
      </c>
      <c r="U228" s="18">
        <v>125.15638005087727</v>
      </c>
      <c r="V228" s="18">
        <v>128.8092349386506</v>
      </c>
      <c r="W228" s="18">
        <v>145.61046779679285</v>
      </c>
      <c r="X228" s="18">
        <v>123.97807094410689</v>
      </c>
      <c r="Y228" s="18">
        <v>121.36994952278357</v>
      </c>
      <c r="Z228" s="18">
        <v>139.00082221217303</v>
      </c>
      <c r="AA228" s="18">
        <v>209.56123969829426</v>
      </c>
      <c r="AB228" s="18">
        <v>121.05924023535262</v>
      </c>
    </row>
    <row r="229" spans="1:28">
      <c r="A229" s="17">
        <f t="shared" si="3"/>
        <v>45170</v>
      </c>
      <c r="B229" s="18">
        <v>126.82197176905339</v>
      </c>
      <c r="C229" s="18">
        <v>81.420473936384099</v>
      </c>
      <c r="D229" s="18">
        <v>117.11949453074513</v>
      </c>
      <c r="E229" s="18">
        <v>122.34579511395307</v>
      </c>
      <c r="F229" s="18">
        <v>66.891999277630831</v>
      </c>
      <c r="G229" s="18">
        <v>121.24354891659132</v>
      </c>
      <c r="H229" s="18">
        <v>129.06060297859565</v>
      </c>
      <c r="I229" s="18">
        <v>139.11613947651554</v>
      </c>
      <c r="J229" s="18">
        <v>124.35081497589277</v>
      </c>
      <c r="K229" s="18">
        <v>117.32198461183152</v>
      </c>
      <c r="L229" s="18">
        <v>131.16516682791979</v>
      </c>
      <c r="M229" s="18">
        <v>223.74001245925811</v>
      </c>
      <c r="N229" s="18">
        <v>119.87247144018099</v>
      </c>
      <c r="P229" s="18">
        <v>122.11200025961202</v>
      </c>
      <c r="Q229" s="18">
        <v>81.984324216535825</v>
      </c>
      <c r="R229" s="18">
        <v>114.29322023750055</v>
      </c>
      <c r="S229" s="18">
        <v>121.06329982528969</v>
      </c>
      <c r="T229" s="18">
        <v>73.345581393523901</v>
      </c>
      <c r="U229" s="18">
        <v>125.41228768964918</v>
      </c>
      <c r="V229" s="18">
        <v>128.13288409449933</v>
      </c>
      <c r="W229" s="18">
        <v>138.68137966295672</v>
      </c>
      <c r="X229" s="18">
        <v>124.23471535382804</v>
      </c>
      <c r="Y229" s="18">
        <v>120.12058597679544</v>
      </c>
      <c r="Z229" s="18">
        <v>136.47903960533668</v>
      </c>
      <c r="AA229" s="18">
        <v>225.6535963915108</v>
      </c>
      <c r="AB229" s="18">
        <v>121.19915514738055</v>
      </c>
    </row>
    <row r="230" spans="1:28">
      <c r="A230" s="17">
        <f t="shared" si="3"/>
        <v>45200</v>
      </c>
      <c r="B230" s="18">
        <v>124.1219520333422</v>
      </c>
      <c r="C230" s="18">
        <v>80.965485611147571</v>
      </c>
      <c r="D230" s="18">
        <v>116.62737070517247</v>
      </c>
      <c r="E230" s="18">
        <v>122.76065362607625</v>
      </c>
      <c r="F230" s="18">
        <v>66.242994120832975</v>
      </c>
      <c r="G230" s="18">
        <v>122.88567295166719</v>
      </c>
      <c r="H230" s="18">
        <v>134.98763468708157</v>
      </c>
      <c r="I230" s="18">
        <v>143.2908110170703</v>
      </c>
      <c r="J230" s="18">
        <v>124.74716709694607</v>
      </c>
      <c r="K230" s="18">
        <v>120.05525014704087</v>
      </c>
      <c r="L230" s="18">
        <v>129.61029172744603</v>
      </c>
      <c r="M230" s="18">
        <v>221.21840908778822</v>
      </c>
      <c r="N230" s="18">
        <v>119.75442109960548</v>
      </c>
      <c r="P230" s="18">
        <v>121.7546665153542</v>
      </c>
      <c r="Q230" s="18">
        <v>79.630505075115778</v>
      </c>
      <c r="R230" s="18">
        <v>111.1609340683289</v>
      </c>
      <c r="S230" s="18">
        <v>120.67843257760696</v>
      </c>
      <c r="T230" s="18">
        <v>69.981161586578949</v>
      </c>
      <c r="U230" s="18">
        <v>123.28266335751705</v>
      </c>
      <c r="V230" s="18">
        <v>134.75270687667489</v>
      </c>
      <c r="W230" s="18">
        <v>146.32567079451536</v>
      </c>
      <c r="X230" s="18">
        <v>124.49840632556288</v>
      </c>
      <c r="Y230" s="18">
        <v>121.38889687564168</v>
      </c>
      <c r="Z230" s="18">
        <v>135.27879513135076</v>
      </c>
      <c r="AA230" s="18">
        <v>213.21818338538807</v>
      </c>
      <c r="AB230" s="18">
        <v>119.35529241582488</v>
      </c>
    </row>
    <row r="231" spans="1:28">
      <c r="A231" s="17">
        <f t="shared" si="3"/>
        <v>45231</v>
      </c>
      <c r="B231" s="18">
        <v>128.25501288677762</v>
      </c>
      <c r="C231" s="18">
        <v>80.477852758784621</v>
      </c>
      <c r="D231" s="18">
        <v>116.87613557480931</v>
      </c>
      <c r="E231" s="18">
        <v>121.96449895875013</v>
      </c>
      <c r="F231" s="18">
        <v>88.940116109925839</v>
      </c>
      <c r="G231" s="18">
        <v>130.45330075341556</v>
      </c>
      <c r="H231" s="18">
        <v>133.32549296290804</v>
      </c>
      <c r="I231" s="18">
        <v>146.10479320570394</v>
      </c>
      <c r="J231" s="18">
        <v>125.06509465276621</v>
      </c>
      <c r="K231" s="18">
        <v>128.42207192359481</v>
      </c>
      <c r="L231" s="18">
        <v>151.04753081078866</v>
      </c>
      <c r="M231" s="18">
        <v>248.55963426152024</v>
      </c>
      <c r="N231" s="18">
        <v>127.41029502764707</v>
      </c>
      <c r="P231" s="18">
        <v>127.63824012482203</v>
      </c>
      <c r="Q231" s="18">
        <v>80.858042269277831</v>
      </c>
      <c r="R231" s="18">
        <v>113.64714930200981</v>
      </c>
      <c r="S231" s="18">
        <v>120.55673321396567</v>
      </c>
      <c r="T231" s="18">
        <v>74.048797620815108</v>
      </c>
      <c r="U231" s="18">
        <v>123.76290023866099</v>
      </c>
      <c r="V231" s="18">
        <v>130.11512598264008</v>
      </c>
      <c r="W231" s="18">
        <v>147.85258300976983</v>
      </c>
      <c r="X231" s="18">
        <v>124.72220211764349</v>
      </c>
      <c r="Y231" s="18">
        <v>120.85437237197587</v>
      </c>
      <c r="Z231" s="18">
        <v>140.95330307644991</v>
      </c>
      <c r="AA231" s="18">
        <v>247.65991199941448</v>
      </c>
      <c r="AB231" s="18">
        <v>121.80859602039813</v>
      </c>
    </row>
    <row r="232" spans="1:28">
      <c r="A232" s="17">
        <f t="shared" si="3"/>
        <v>45261</v>
      </c>
      <c r="B232" s="18">
        <v>123.93193787572727</v>
      </c>
      <c r="C232" s="18">
        <v>86.511688227440317</v>
      </c>
      <c r="D232" s="18">
        <v>114.45315586722829</v>
      </c>
      <c r="E232" s="18">
        <v>122.51458679054952</v>
      </c>
      <c r="F232" s="18">
        <v>71.376876540997415</v>
      </c>
      <c r="G232" s="18">
        <v>153.21056309618046</v>
      </c>
      <c r="H232" s="18">
        <v>150.5096073758269</v>
      </c>
      <c r="I232" s="18">
        <v>167.3053711788512</v>
      </c>
      <c r="J232" s="18">
        <v>125.16409335134983</v>
      </c>
      <c r="K232" s="18">
        <v>146.10744576601365</v>
      </c>
      <c r="L232" s="18">
        <v>161.73686176446091</v>
      </c>
      <c r="M232" s="18">
        <v>226.30520440687317</v>
      </c>
      <c r="N232" s="18">
        <v>134.15109790970041</v>
      </c>
      <c r="P232" s="18">
        <v>123.47253235056914</v>
      </c>
      <c r="Q232" s="18">
        <v>78.004393251880799</v>
      </c>
      <c r="R232" s="18">
        <v>111.05451241208864</v>
      </c>
      <c r="S232" s="18">
        <v>121.04749947545272</v>
      </c>
      <c r="T232" s="18">
        <v>74.565237281284368</v>
      </c>
      <c r="U232" s="18">
        <v>125.08027651514237</v>
      </c>
      <c r="V232" s="18">
        <v>126.78750181439817</v>
      </c>
      <c r="W232" s="18">
        <v>160.43346222636177</v>
      </c>
      <c r="X232" s="18">
        <v>124.96248122440008</v>
      </c>
      <c r="Y232" s="18">
        <v>119.54057116156176</v>
      </c>
      <c r="Z232" s="18">
        <v>133.46700446895724</v>
      </c>
      <c r="AA232" s="18">
        <v>211.0001262425977</v>
      </c>
      <c r="AB232" s="18">
        <v>120.66023684868294</v>
      </c>
    </row>
    <row r="233" spans="1:28">
      <c r="A233" s="17">
        <f t="shared" si="3"/>
        <v>45292</v>
      </c>
      <c r="B233" s="18">
        <v>124.77171224474193</v>
      </c>
      <c r="C233" s="18">
        <v>81.264904021929055</v>
      </c>
      <c r="D233" s="18">
        <v>104.53774461551578</v>
      </c>
      <c r="E233" s="18">
        <v>121.55398051024464</v>
      </c>
      <c r="F233" s="18">
        <v>64.883822495331742</v>
      </c>
      <c r="G233" s="18">
        <v>118.23144602665188</v>
      </c>
      <c r="H233" s="18">
        <v>118.38963582684576</v>
      </c>
      <c r="I233" s="18">
        <v>149.4880804597087</v>
      </c>
      <c r="J233" s="18">
        <v>125.08121776957164</v>
      </c>
      <c r="K233" s="18">
        <v>109.12330860143078</v>
      </c>
      <c r="L233" s="18">
        <v>119.28122273805121</v>
      </c>
      <c r="M233" s="18">
        <v>195.33890193644487</v>
      </c>
      <c r="N233" s="18">
        <v>114.15708379709055</v>
      </c>
      <c r="P233" s="18">
        <v>129.4764962673521</v>
      </c>
      <c r="Q233" s="18">
        <v>80.272735900264294</v>
      </c>
      <c r="R233" s="18">
        <v>112.96982575520033</v>
      </c>
      <c r="S233" s="18">
        <v>122.21837658808576</v>
      </c>
      <c r="T233" s="18">
        <v>73.085110002027591</v>
      </c>
      <c r="U233" s="18">
        <v>124.81142467215278</v>
      </c>
      <c r="V233" s="18">
        <v>128.64618374996547</v>
      </c>
      <c r="W233" s="18">
        <v>148.86325837680786</v>
      </c>
      <c r="X233" s="18">
        <v>125.14070565474869</v>
      </c>
      <c r="Y233" s="18">
        <v>120.9290618502062</v>
      </c>
      <c r="Z233" s="18">
        <v>137.67604714401062</v>
      </c>
      <c r="AA233" s="18">
        <v>212.4509393664967</v>
      </c>
      <c r="AB233" s="18">
        <v>122.54237321125025</v>
      </c>
    </row>
    <row r="234" spans="1:28">
      <c r="A234" s="17">
        <f t="shared" si="3"/>
        <v>45323</v>
      </c>
      <c r="B234" s="18">
        <v>123.51246051881735</v>
      </c>
      <c r="C234" s="18">
        <v>73.409806001338723</v>
      </c>
      <c r="D234" s="18">
        <v>107.87212092069225</v>
      </c>
      <c r="E234" s="18">
        <v>117.98164008883987</v>
      </c>
      <c r="F234" s="18">
        <v>86.424486171210106</v>
      </c>
      <c r="G234" s="18">
        <v>116.13838704340075</v>
      </c>
      <c r="H234" s="18">
        <v>121.02362608256412</v>
      </c>
      <c r="I234" s="18">
        <v>142.59799909816465</v>
      </c>
      <c r="J234" s="18">
        <v>125.23886639243213</v>
      </c>
      <c r="K234" s="18">
        <v>112.36819269431015</v>
      </c>
      <c r="L234" s="18">
        <v>131.47788739426335</v>
      </c>
      <c r="M234" s="18">
        <v>204.1824425747555</v>
      </c>
      <c r="N234" s="18">
        <v>116.61551796496363</v>
      </c>
      <c r="P234" s="18">
        <v>131.63052348071719</v>
      </c>
      <c r="Q234" s="18">
        <v>76.996248593114629</v>
      </c>
      <c r="R234" s="18">
        <v>112.62884806363071</v>
      </c>
      <c r="S234" s="18">
        <v>122.17162508642505</v>
      </c>
      <c r="T234" s="18">
        <v>76.354482518067613</v>
      </c>
      <c r="U234" s="18">
        <v>124.13337005313943</v>
      </c>
      <c r="V234" s="18">
        <v>126.22327069001955</v>
      </c>
      <c r="W234" s="18">
        <v>145.94354781871226</v>
      </c>
      <c r="X234" s="18">
        <v>125.40468601844468</v>
      </c>
      <c r="Y234" s="18">
        <v>120.56921227286981</v>
      </c>
      <c r="Z234" s="18">
        <v>137.01612844317816</v>
      </c>
      <c r="AA234" s="18">
        <v>213.11093558374674</v>
      </c>
      <c r="AB234" s="18">
        <v>122.1690563722742</v>
      </c>
    </row>
    <row r="235" spans="1:28">
      <c r="A235" s="17">
        <f t="shared" si="3"/>
        <v>45352</v>
      </c>
      <c r="B235" s="18">
        <v>114.11201003744522</v>
      </c>
      <c r="C235" s="18">
        <v>79.121336510214363</v>
      </c>
      <c r="D235" s="18">
        <v>106.69887656988801</v>
      </c>
      <c r="E235" s="18">
        <v>124.49404858476925</v>
      </c>
      <c r="F235" s="18">
        <v>67.170066820047467</v>
      </c>
      <c r="G235" s="18">
        <v>120.9861390501766</v>
      </c>
      <c r="H235" s="18">
        <v>128.49332933139078</v>
      </c>
      <c r="I235" s="18">
        <v>147.26446730769663</v>
      </c>
      <c r="J235" s="18">
        <v>125.48871908787736</v>
      </c>
      <c r="K235" s="18">
        <v>117.60303254029469</v>
      </c>
      <c r="L235" s="18">
        <v>139.17655093679693</v>
      </c>
      <c r="M235" s="18">
        <v>221.2489355482941</v>
      </c>
      <c r="N235" s="18">
        <v>118.677604693015</v>
      </c>
      <c r="P235" s="18">
        <v>118.13594278568561</v>
      </c>
      <c r="Q235" s="18">
        <v>77.941969443827645</v>
      </c>
      <c r="R235" s="18">
        <v>109.43985353790133</v>
      </c>
      <c r="S235" s="18">
        <v>124.09774086992292</v>
      </c>
      <c r="T235" s="18">
        <v>73.321663349524172</v>
      </c>
      <c r="U235" s="18">
        <v>124.32362585040234</v>
      </c>
      <c r="V235" s="18">
        <v>127.31801618727158</v>
      </c>
      <c r="W235" s="18">
        <v>145.12571976356102</v>
      </c>
      <c r="X235" s="18">
        <v>125.69738112214857</v>
      </c>
      <c r="Y235" s="18">
        <v>118.88781695079783</v>
      </c>
      <c r="Z235" s="18">
        <v>138.38468105055307</v>
      </c>
      <c r="AA235" s="18">
        <v>214.64573924300518</v>
      </c>
      <c r="AB235" s="18">
        <v>120.25307952987741</v>
      </c>
    </row>
    <row r="236" spans="1:28">
      <c r="A236" s="17">
        <f t="shared" si="3"/>
        <v>45383</v>
      </c>
      <c r="B236" s="18">
        <v>121.52186450248976</v>
      </c>
      <c r="C236" s="18">
        <v>80.260558871323823</v>
      </c>
      <c r="D236" s="18">
        <v>111.17256852084563</v>
      </c>
      <c r="E236" s="18">
        <v>120.51921550552129</v>
      </c>
      <c r="F236" s="18">
        <v>65.765131645326136</v>
      </c>
      <c r="G236" s="18">
        <v>118.39227822547889</v>
      </c>
      <c r="H236" s="18">
        <v>121.96239580704962</v>
      </c>
      <c r="I236" s="18">
        <v>150.56683317726461</v>
      </c>
      <c r="J236" s="18">
        <v>125.9034809243267</v>
      </c>
      <c r="K236" s="18">
        <v>119.10823247146251</v>
      </c>
      <c r="L236" s="18">
        <v>148.46351075548361</v>
      </c>
      <c r="M236" s="18">
        <v>218.74661424881293</v>
      </c>
      <c r="N236" s="18">
        <v>120.4793605727633</v>
      </c>
      <c r="P236" s="18">
        <v>126.74979475147035</v>
      </c>
      <c r="Q236" s="18">
        <v>83.819070221893952</v>
      </c>
      <c r="R236" s="18">
        <v>112.08205583352783</v>
      </c>
      <c r="S236" s="18">
        <v>122.89665828348608</v>
      </c>
      <c r="T236" s="18">
        <v>74.82902713407772</v>
      </c>
      <c r="U236" s="18">
        <v>124.21932552868957</v>
      </c>
      <c r="V236" s="18">
        <v>128.33818190227601</v>
      </c>
      <c r="W236" s="18">
        <v>149.54359055400764</v>
      </c>
      <c r="X236" s="18">
        <v>126.06663993884237</v>
      </c>
      <c r="Y236" s="18">
        <v>123.85965910688968</v>
      </c>
      <c r="Z236" s="18">
        <v>152.91251126861772</v>
      </c>
      <c r="AA236" s="18">
        <v>217.08626128832705</v>
      </c>
      <c r="AB236" s="18">
        <v>123.12584318514106</v>
      </c>
    </row>
    <row r="237" spans="1:28">
      <c r="A237" s="17">
        <f t="shared" si="3"/>
        <v>45413</v>
      </c>
      <c r="B237" s="18">
        <v>128.68015865823105</v>
      </c>
      <c r="C237" s="18">
        <v>78.903674169109038</v>
      </c>
      <c r="D237" s="18">
        <v>112.622600968912</v>
      </c>
      <c r="E237" s="18">
        <v>121.48239952570488</v>
      </c>
      <c r="F237" s="18">
        <v>86.812905319909049</v>
      </c>
      <c r="G237" s="18">
        <v>120.81079598461395</v>
      </c>
      <c r="H237" s="18">
        <v>125.4887031915533</v>
      </c>
      <c r="I237" s="18">
        <v>141.20448966369912</v>
      </c>
      <c r="J237" s="18">
        <v>126.24607585808856</v>
      </c>
      <c r="K237" s="18">
        <v>117.90459495301835</v>
      </c>
      <c r="L237" s="18">
        <v>143.6018487261498</v>
      </c>
      <c r="M237" s="18">
        <v>218.85316359797778</v>
      </c>
      <c r="N237" s="18">
        <v>121.48848114669148</v>
      </c>
      <c r="P237" s="18">
        <v>129.14813028839879</v>
      </c>
      <c r="Q237" s="18">
        <v>79.58941004369477</v>
      </c>
      <c r="R237" s="18">
        <v>111.9019579195179</v>
      </c>
      <c r="S237" s="18">
        <v>121.59914674381109</v>
      </c>
      <c r="T237" s="18">
        <v>75.741154713643027</v>
      </c>
      <c r="U237" s="18">
        <v>124.94444484467122</v>
      </c>
      <c r="V237" s="18">
        <v>129.51156788735275</v>
      </c>
      <c r="W237" s="18">
        <v>146.51080093193156</v>
      </c>
      <c r="X237" s="18">
        <v>126.27870869159321</v>
      </c>
      <c r="Y237" s="18">
        <v>120.65050986271</v>
      </c>
      <c r="Z237" s="18">
        <v>146.80312890879657</v>
      </c>
      <c r="AA237" s="18">
        <v>220.6153104751794</v>
      </c>
      <c r="AB237" s="18">
        <v>122.79601911119229</v>
      </c>
    </row>
    <row r="238" spans="1:28">
      <c r="A238" s="17">
        <f t="shared" si="3"/>
        <v>45444</v>
      </c>
      <c r="B238" s="18">
        <v>120.49332672623009</v>
      </c>
      <c r="C238" s="18">
        <v>71.861699423096653</v>
      </c>
      <c r="D238" s="18">
        <v>105.85868217580709</v>
      </c>
      <c r="E238" s="18">
        <v>117.26382051595512</v>
      </c>
      <c r="F238" s="18">
        <v>64.321355453679232</v>
      </c>
      <c r="G238" s="18">
        <v>121.80387561659423</v>
      </c>
      <c r="H238" s="18">
        <v>128.842126852267</v>
      </c>
      <c r="I238" s="18">
        <v>151.46963617728574</v>
      </c>
      <c r="J238" s="18">
        <v>126.44095858458751</v>
      </c>
      <c r="K238" s="18">
        <v>119.30296117178302</v>
      </c>
      <c r="L238" s="18">
        <v>140.65450674118912</v>
      </c>
      <c r="M238" s="18">
        <v>224.68040853560746</v>
      </c>
      <c r="N238" s="18">
        <v>118.92279420581025</v>
      </c>
      <c r="P238" s="18">
        <v>124.25517366214791</v>
      </c>
      <c r="Q238" s="18">
        <v>76.844732291046995</v>
      </c>
      <c r="R238" s="18">
        <v>108.91541693320038</v>
      </c>
      <c r="S238" s="18">
        <v>120.32911002241966</v>
      </c>
      <c r="T238" s="18">
        <v>71.099227569009486</v>
      </c>
      <c r="U238" s="18">
        <v>125.77132828133337</v>
      </c>
      <c r="V238" s="18">
        <v>127.01956713100866</v>
      </c>
      <c r="W238" s="18">
        <v>149.79656729068185</v>
      </c>
      <c r="X238" s="18">
        <v>126.48235229896061</v>
      </c>
      <c r="Y238" s="18">
        <v>118.7835147567813</v>
      </c>
      <c r="Z238" s="18">
        <v>135.91016698569268</v>
      </c>
      <c r="AA238" s="18">
        <v>232.37989056824739</v>
      </c>
      <c r="AB238" s="18">
        <v>120.44239184433414</v>
      </c>
    </row>
    <row r="239" spans="1:28">
      <c r="A239" s="17">
        <f t="shared" si="3"/>
        <v>45474</v>
      </c>
      <c r="B239" s="18">
        <v>138.66164056533364</v>
      </c>
      <c r="C239" s="18">
        <v>81.867409028414215</v>
      </c>
      <c r="D239" s="18">
        <v>114.17093370952726</v>
      </c>
      <c r="E239" s="18">
        <v>122.784792494754</v>
      </c>
      <c r="F239" s="18">
        <v>65.74442468639613</v>
      </c>
      <c r="G239" s="18">
        <v>124.34041714164499</v>
      </c>
      <c r="H239" s="18">
        <v>127.37215599253651</v>
      </c>
      <c r="I239" s="18">
        <v>148.78967400269886</v>
      </c>
      <c r="J239" s="18">
        <v>126.51271911545861</v>
      </c>
      <c r="K239" s="18">
        <v>121.30822839593283</v>
      </c>
      <c r="L239" s="18">
        <v>142.77841923746374</v>
      </c>
      <c r="M239" s="18">
        <v>245.15141590258162</v>
      </c>
      <c r="N239" s="18">
        <v>124.18916998824744</v>
      </c>
      <c r="P239" s="18">
        <v>134.98117259847572</v>
      </c>
      <c r="Q239" s="18">
        <v>78.872807451345906</v>
      </c>
      <c r="R239" s="18">
        <v>112.14674480589797</v>
      </c>
      <c r="S239" s="18">
        <v>120.83667757665779</v>
      </c>
      <c r="T239" s="18">
        <v>71.771523282396416</v>
      </c>
      <c r="U239" s="18">
        <v>125.01263709624688</v>
      </c>
      <c r="V239" s="18">
        <v>129.13487553627223</v>
      </c>
      <c r="W239" s="18">
        <v>148.42413346392163</v>
      </c>
      <c r="X239" s="18">
        <v>126.66046856817958</v>
      </c>
      <c r="Y239" s="18">
        <v>120.06527712725389</v>
      </c>
      <c r="Z239" s="18">
        <v>141.08466611022598</v>
      </c>
      <c r="AA239" s="18">
        <v>244.83091917607953</v>
      </c>
      <c r="AB239" s="18">
        <v>122.86082040110995</v>
      </c>
    </row>
    <row r="240" spans="1:28">
      <c r="A240" s="17">
        <f t="shared" si="3"/>
        <v>45505</v>
      </c>
      <c r="B240" s="18">
        <v>142.65588720014301</v>
      </c>
      <c r="C240" s="18">
        <v>77.135839346025094</v>
      </c>
      <c r="D240" s="18">
        <v>112.94327682763196</v>
      </c>
      <c r="E240" s="18">
        <v>124.41543152557895</v>
      </c>
      <c r="F240" s="18">
        <v>87.281818123244719</v>
      </c>
      <c r="G240" s="18">
        <v>129.18462809055319</v>
      </c>
      <c r="H240" s="18">
        <v>126.43057679531128</v>
      </c>
      <c r="I240" s="18">
        <v>150.75316204015462</v>
      </c>
      <c r="J240" s="18">
        <v>126.76749528367017</v>
      </c>
      <c r="K240" s="18">
        <v>117.23977869108208</v>
      </c>
      <c r="L240" s="18">
        <v>133.87189442268686</v>
      </c>
      <c r="M240" s="18">
        <v>227.83068392337958</v>
      </c>
      <c r="N240" s="18">
        <v>123.94854560627731</v>
      </c>
      <c r="P240" s="18">
        <v>129.0375858063972</v>
      </c>
      <c r="Q240" s="18">
        <v>77.420035559227131</v>
      </c>
      <c r="R240" s="18">
        <v>109.78842924385366</v>
      </c>
      <c r="S240" s="18">
        <v>122.02025870174585</v>
      </c>
      <c r="T240" s="18">
        <v>74.663021192716769</v>
      </c>
      <c r="U240" s="18">
        <v>127.95521024096033</v>
      </c>
      <c r="V240" s="18">
        <v>130.36156989471067</v>
      </c>
      <c r="W240" s="18">
        <v>151.02675052454038</v>
      </c>
      <c r="X240" s="18">
        <v>126.81044109900132</v>
      </c>
      <c r="Y240" s="18">
        <v>120.36478151217321</v>
      </c>
      <c r="Z240" s="18">
        <v>139.9607926564301</v>
      </c>
      <c r="AA240" s="18">
        <v>225.97081477458633</v>
      </c>
      <c r="AB240" s="18">
        <v>122.49467839874761</v>
      </c>
    </row>
    <row r="241" spans="1:28">
      <c r="A241" s="17">
        <f t="shared" si="3"/>
        <v>45536</v>
      </c>
      <c r="B241" s="18">
        <v>133.09422618151024</v>
      </c>
      <c r="C241" s="18">
        <v>76.407725642198358</v>
      </c>
      <c r="D241" s="18">
        <v>112.23486562044367</v>
      </c>
      <c r="E241" s="18">
        <v>122.20411888632002</v>
      </c>
      <c r="F241" s="18">
        <v>65.079765057856761</v>
      </c>
      <c r="G241" s="18">
        <v>121.98322073673411</v>
      </c>
      <c r="H241" s="18">
        <v>130.63882195897261</v>
      </c>
      <c r="I241" s="18">
        <v>150.92086339754226</v>
      </c>
      <c r="J241" s="18">
        <v>127.04586496831726</v>
      </c>
      <c r="K241" s="18">
        <v>117.00651323323135</v>
      </c>
      <c r="L241" s="18">
        <v>135.42477270263225</v>
      </c>
      <c r="M241" s="18">
        <v>226.90036135606104</v>
      </c>
      <c r="N241" s="18">
        <v>120.58004200410303</v>
      </c>
      <c r="P241" s="18">
        <v>128.30976232063477</v>
      </c>
      <c r="Q241" s="18">
        <v>77.047764332834547</v>
      </c>
      <c r="R241" s="18">
        <v>109.74550435876486</v>
      </c>
      <c r="S241" s="18">
        <v>121.19696580712132</v>
      </c>
      <c r="T241" s="18">
        <v>71.395367587662733</v>
      </c>
      <c r="U241" s="18">
        <v>126.65028601237474</v>
      </c>
      <c r="V241" s="18">
        <v>129.67750180769627</v>
      </c>
      <c r="W241" s="18">
        <v>149.59141007760354</v>
      </c>
      <c r="X241" s="18">
        <v>126.99292538360385</v>
      </c>
      <c r="Y241" s="18">
        <v>120.08782784957262</v>
      </c>
      <c r="Z241" s="18">
        <v>140.92806411401838</v>
      </c>
      <c r="AA241" s="18">
        <v>230.68880648166163</v>
      </c>
      <c r="AB241" s="18">
        <v>122.13687892734872</v>
      </c>
    </row>
    <row r="242" spans="1:28">
      <c r="A242" s="17">
        <f t="shared" si="3"/>
        <v>45566</v>
      </c>
      <c r="B242" s="18">
        <v>135.44415517493044</v>
      </c>
      <c r="C242" s="18">
        <v>80.559430616092513</v>
      </c>
      <c r="D242" s="18">
        <v>117.68556993161047</v>
      </c>
      <c r="E242" s="18">
        <v>123.85657490933181</v>
      </c>
      <c r="F242" s="18">
        <v>70.172699400794528</v>
      </c>
      <c r="G242" s="18">
        <v>128.53939941579583</v>
      </c>
      <c r="H242" s="18">
        <v>130.08745132792859</v>
      </c>
      <c r="I242" s="18">
        <v>147.3601096727848</v>
      </c>
      <c r="J242" s="18">
        <v>127.45558130343724</v>
      </c>
      <c r="K242" s="18">
        <v>118.91425608867203</v>
      </c>
      <c r="L242" s="18">
        <v>138.72280572715511</v>
      </c>
      <c r="M242" s="18">
        <v>238.58767937927158</v>
      </c>
      <c r="N242" s="18">
        <v>124.06333354263377</v>
      </c>
      <c r="P242" s="18">
        <v>132.20245032583395</v>
      </c>
      <c r="Q242" s="18">
        <v>79.381088431841334</v>
      </c>
      <c r="R242" s="18">
        <v>112.61094950046694</v>
      </c>
      <c r="S242" s="18">
        <v>121.97608358707383</v>
      </c>
      <c r="T242" s="18">
        <v>73.143574782925697</v>
      </c>
      <c r="U242" s="18">
        <v>128.842922394033</v>
      </c>
      <c r="V242" s="18">
        <v>130.38538098188886</v>
      </c>
      <c r="W242" s="18">
        <v>150.27760721630935</v>
      </c>
      <c r="X242" s="18">
        <v>127.22925375363401</v>
      </c>
      <c r="Y242" s="18">
        <v>120.38930724119746</v>
      </c>
      <c r="Z242" s="18">
        <v>143.95670867454942</v>
      </c>
      <c r="AA242" s="18">
        <v>229.14633375983678</v>
      </c>
      <c r="AB242" s="18">
        <v>123.69301558055561</v>
      </c>
    </row>
    <row r="243" spans="1:28">
      <c r="A243" s="17">
        <f t="shared" si="3"/>
        <v>45597</v>
      </c>
      <c r="B243" s="18">
        <v>129.48830203466756</v>
      </c>
      <c r="C243" s="18">
        <v>74.974359113304601</v>
      </c>
      <c r="D243" s="18">
        <v>113.58319745979256</v>
      </c>
      <c r="E243" s="18">
        <v>120.60973703351267</v>
      </c>
      <c r="F243" s="18">
        <v>86.540654678305472</v>
      </c>
      <c r="G243" s="18">
        <v>137.18980743342351</v>
      </c>
      <c r="H243" s="18">
        <v>132.79221848834385</v>
      </c>
      <c r="I243" s="18">
        <v>149.14155733167883</v>
      </c>
      <c r="J243" s="18">
        <v>127.77945730407821</v>
      </c>
      <c r="K243" s="18">
        <v>126.89795023802066</v>
      </c>
      <c r="L243" s="18">
        <v>154.6824788926493</v>
      </c>
      <c r="M243" s="18">
        <v>231.39013835457791</v>
      </c>
      <c r="N243" s="18">
        <v>127.93233900045342</v>
      </c>
      <c r="P243" s="18">
        <v>128.7105924558719</v>
      </c>
      <c r="Q243" s="18">
        <v>75.646292570513168</v>
      </c>
      <c r="R243" s="18">
        <v>110.50249580943114</v>
      </c>
      <c r="S243" s="18">
        <v>119.40246453561419</v>
      </c>
      <c r="T243" s="18">
        <v>71.832562994934847</v>
      </c>
      <c r="U243" s="18">
        <v>130.14682356959156</v>
      </c>
      <c r="V243" s="18">
        <v>130.08252384358562</v>
      </c>
      <c r="W243" s="18">
        <v>150.76630056206483</v>
      </c>
      <c r="X243" s="18">
        <v>127.43545672946543</v>
      </c>
      <c r="Y243" s="18">
        <v>119.78012745464656</v>
      </c>
      <c r="Z243" s="18">
        <v>143.88672936774785</v>
      </c>
      <c r="AA243" s="18">
        <v>231.31520284754171</v>
      </c>
      <c r="AB243" s="18">
        <v>122.45971879656423</v>
      </c>
    </row>
    <row r="244" spans="1:28">
      <c r="A244" s="17">
        <f t="shared" si="3"/>
        <v>45627</v>
      </c>
      <c r="B244" s="18">
        <v>132.74753269107759</v>
      </c>
      <c r="C244" s="18">
        <v>80.710465563173386</v>
      </c>
      <c r="D244" s="18">
        <v>115.47210153632419</v>
      </c>
      <c r="E244" s="18">
        <v>123.77167690062798</v>
      </c>
      <c r="F244" s="18">
        <v>67.401850196833053</v>
      </c>
      <c r="G244" s="18">
        <v>158.92265421262621</v>
      </c>
      <c r="H244" s="18">
        <v>159.44928512625734</v>
      </c>
      <c r="I244" s="18">
        <v>157.99212467385772</v>
      </c>
      <c r="J244" s="18">
        <v>127.92570733941191</v>
      </c>
      <c r="K244" s="18">
        <v>148.98542652711652</v>
      </c>
      <c r="L244" s="18">
        <v>174.05099109617049</v>
      </c>
      <c r="M244" s="18">
        <v>259.76442058890569</v>
      </c>
      <c r="N244" s="18">
        <v>138.97007922726507</v>
      </c>
      <c r="P244" s="18">
        <v>132.54565179263295</v>
      </c>
      <c r="Q244" s="18">
        <v>72.645053466616545</v>
      </c>
      <c r="R244" s="18">
        <v>112.12045709559729</v>
      </c>
      <c r="S244" s="18">
        <v>122.19232867879546</v>
      </c>
      <c r="T244" s="18">
        <v>70.362264921948707</v>
      </c>
      <c r="U244" s="18">
        <v>129.7116504340986</v>
      </c>
      <c r="V244" s="18">
        <v>134.27168716897188</v>
      </c>
      <c r="W244" s="18">
        <v>151.67931042239374</v>
      </c>
      <c r="X244" s="18">
        <v>127.68712467263516</v>
      </c>
      <c r="Y244" s="18">
        <v>121.3953796212564</v>
      </c>
      <c r="Z244" s="18">
        <v>143.66726464687309</v>
      </c>
      <c r="AA244" s="18">
        <v>240.43401238196074</v>
      </c>
      <c r="AB244" s="18">
        <v>125.0504763909191</v>
      </c>
    </row>
    <row r="245" spans="1:28">
      <c r="A245" s="17">
        <f t="shared" si="3"/>
        <v>45658</v>
      </c>
      <c r="B245" s="18">
        <v>127.58027901882711</v>
      </c>
      <c r="C245" s="18">
        <v>76.707301466894776</v>
      </c>
      <c r="D245" s="18">
        <v>104.90447740822721</v>
      </c>
      <c r="E245" s="18">
        <v>121.46974073963244</v>
      </c>
      <c r="F245" s="18">
        <v>63.592685628446645</v>
      </c>
      <c r="G245" s="18">
        <v>124.46209473991617</v>
      </c>
      <c r="H245" s="18">
        <v>119.31305217092036</v>
      </c>
      <c r="I245" s="18">
        <v>151.53121302520762</v>
      </c>
      <c r="J245" s="18">
        <v>127.90598341388765</v>
      </c>
      <c r="K245" s="18">
        <v>109.0494653685446</v>
      </c>
      <c r="L245" s="18">
        <v>123.63585521800114</v>
      </c>
      <c r="M245" s="18">
        <v>220.35691856826082</v>
      </c>
      <c r="N245" s="18">
        <v>116.40100485530351</v>
      </c>
      <c r="P245" s="18">
        <v>132.54359639691572</v>
      </c>
      <c r="Q245" s="18">
        <v>75.195058578152199</v>
      </c>
      <c r="R245" s="18">
        <v>113.30663110008601</v>
      </c>
      <c r="S245" s="18">
        <v>122.0690609148527</v>
      </c>
      <c r="T245" s="18">
        <v>72.823766091309082</v>
      </c>
      <c r="U245" s="18">
        <v>131.33386930929785</v>
      </c>
      <c r="V245" s="18">
        <v>129.65441140367074</v>
      </c>
      <c r="W245" s="18">
        <v>151.60377222131291</v>
      </c>
      <c r="X245" s="18">
        <v>127.91514652821034</v>
      </c>
      <c r="Y245" s="18">
        <v>121.04178739576777</v>
      </c>
      <c r="Z245" s="18">
        <v>143.17636526188207</v>
      </c>
      <c r="AA245" s="18">
        <v>237.56417820031038</v>
      </c>
      <c r="AB245" s="18">
        <v>124.91190493369385</v>
      </c>
    </row>
    <row r="246" spans="1:28">
      <c r="A246" s="17">
        <f t="shared" si="3"/>
        <v>45689</v>
      </c>
      <c r="B246" s="18">
        <v>123.48629365510453</v>
      </c>
      <c r="C246" s="18">
        <v>70.210239225494732</v>
      </c>
      <c r="D246" s="18">
        <v>105.75279602972611</v>
      </c>
      <c r="E246" s="18">
        <v>115.37022978462626</v>
      </c>
      <c r="F246" s="18">
        <v>79.054623638897709</v>
      </c>
      <c r="G246" s="18">
        <v>117.09004087932698</v>
      </c>
      <c r="H246" s="18">
        <v>123.64440533333673</v>
      </c>
      <c r="I246" s="18">
        <v>147.9936777511156</v>
      </c>
      <c r="J246" s="18">
        <v>128.04344399508039</v>
      </c>
      <c r="K246" s="18">
        <v>112.39693680005016</v>
      </c>
      <c r="L246" s="18">
        <v>135.40580402168521</v>
      </c>
      <c r="M246" s="18">
        <v>250.94523929738077</v>
      </c>
      <c r="N246" s="18">
        <v>117.98392331750868</v>
      </c>
      <c r="P246" s="18">
        <v>132.3548677649666</v>
      </c>
      <c r="Q246" s="18">
        <v>76.473778745526332</v>
      </c>
      <c r="R246" s="18">
        <v>113.0655488894059</v>
      </c>
      <c r="S246" s="18">
        <v>122.15788459974574</v>
      </c>
      <c r="T246" s="18">
        <v>70.912406631814548</v>
      </c>
      <c r="U246" s="18">
        <v>129.14718599520089</v>
      </c>
      <c r="V246" s="18">
        <v>131.05747024529791</v>
      </c>
      <c r="W246" s="18">
        <v>151.9292533249417</v>
      </c>
      <c r="X246" s="18">
        <v>128.15623800797385</v>
      </c>
      <c r="Y246" s="18">
        <v>121.11310198554131</v>
      </c>
      <c r="Z246" s="18">
        <v>141.54997416117595</v>
      </c>
      <c r="AA246" s="18">
        <v>260.8722262589817</v>
      </c>
      <c r="AB246" s="18">
        <v>125.30098434147764</v>
      </c>
    </row>
    <row r="247" spans="1:28">
      <c r="A247" s="17">
        <f t="shared" si="3"/>
        <v>45717</v>
      </c>
      <c r="B247" s="18">
        <v>132.2907641552674</v>
      </c>
      <c r="C247" s="18">
        <v>74.813705886398026</v>
      </c>
      <c r="D247" s="18">
        <v>112.00739453821164</v>
      </c>
      <c r="E247" s="18">
        <v>123.11373836356377</v>
      </c>
      <c r="F247" s="18">
        <v>65.699178430641823</v>
      </c>
      <c r="G247" s="18">
        <v>127.50633388686101</v>
      </c>
      <c r="H247" s="18">
        <v>127.19612051889429</v>
      </c>
      <c r="I247" s="18">
        <v>155.09341252188537</v>
      </c>
      <c r="J247" s="18">
        <v>128.13417000676893</v>
      </c>
      <c r="K247" s="18">
        <v>119.05511929785271</v>
      </c>
      <c r="L247" s="18">
        <v>143.95473131716633</v>
      </c>
      <c r="M247" s="18">
        <v>257.60356484952115</v>
      </c>
      <c r="N247" s="18">
        <v>123.96979143980695</v>
      </c>
      <c r="P247" s="18">
        <v>130.30642906268997</v>
      </c>
      <c r="Q247" s="18">
        <v>73.575903955827215</v>
      </c>
      <c r="R247" s="18">
        <v>110.19500403297829</v>
      </c>
      <c r="S247" s="18">
        <v>121.35467460581006</v>
      </c>
      <c r="T247" s="18">
        <v>70.966702277735635</v>
      </c>
      <c r="U247" s="18">
        <v>129.55388704698564</v>
      </c>
      <c r="V247" s="18">
        <v>126.36571899202582</v>
      </c>
      <c r="W247" s="18">
        <v>152.58409507809964</v>
      </c>
      <c r="X247" s="18">
        <v>128.28359183237757</v>
      </c>
      <c r="Y247" s="18">
        <v>120.44775183917582</v>
      </c>
      <c r="Z247" s="18">
        <v>143.07699463122279</v>
      </c>
      <c r="AA247" s="18">
        <v>248.23032460897591</v>
      </c>
      <c r="AB247" s="18">
        <v>123.52728863696268</v>
      </c>
    </row>
    <row r="248" spans="1:28">
      <c r="A248" s="17">
        <f t="shared" si="3"/>
        <v>45748</v>
      </c>
      <c r="B248" s="18">
        <v>124.78655825489381</v>
      </c>
      <c r="C248" s="18">
        <v>68.13058576771148</v>
      </c>
      <c r="D248" s="18">
        <v>108.17621861463391</v>
      </c>
      <c r="E248" s="18">
        <v>118.98097526082469</v>
      </c>
      <c r="F248" s="18">
        <v>61.354187198115639</v>
      </c>
      <c r="G248" s="18">
        <v>124.09580355951479</v>
      </c>
      <c r="H248" s="18">
        <v>125.36047093015499</v>
      </c>
      <c r="I248" s="18">
        <v>154.1875823930223</v>
      </c>
      <c r="J248" s="18">
        <v>128.24310278461436</v>
      </c>
      <c r="K248" s="18">
        <v>120.41035252023646</v>
      </c>
      <c r="L248" s="18">
        <v>140.87948845501387</v>
      </c>
      <c r="M248" s="18">
        <v>244.48477574647228</v>
      </c>
      <c r="N248" s="18">
        <v>120.33369918572939</v>
      </c>
      <c r="P248" s="18">
        <v>136.45391516950235</v>
      </c>
      <c r="Q248" s="18">
        <v>71.524883822728086</v>
      </c>
      <c r="R248" s="18">
        <v>113.20773421192834</v>
      </c>
      <c r="S248" s="18">
        <v>122.13066876263187</v>
      </c>
      <c r="T248" s="18">
        <v>70.126892135434801</v>
      </c>
      <c r="U248" s="18">
        <v>131.34634702391762</v>
      </c>
      <c r="V248" s="18">
        <v>131.57070560562292</v>
      </c>
      <c r="W248" s="18">
        <v>152.83729019900844</v>
      </c>
      <c r="X248" s="18">
        <v>128.42031058193905</v>
      </c>
      <c r="Y248" s="18">
        <v>125.01394439064846</v>
      </c>
      <c r="Z248" s="18">
        <v>144.78012376919969</v>
      </c>
      <c r="AA248" s="18">
        <v>242.80272820470566</v>
      </c>
      <c r="AB248" s="18">
        <v>124.66417624663812</v>
      </c>
    </row>
    <row r="249" spans="1:28">
      <c r="A249" s="17">
        <f t="shared" si="3"/>
        <v>45778</v>
      </c>
      <c r="B249" s="18">
        <v>131.8079803787829</v>
      </c>
      <c r="C249" s="18">
        <v>68.782564277158812</v>
      </c>
      <c r="D249" s="18">
        <v>115.20544068561991</v>
      </c>
      <c r="E249" s="18">
        <v>123.17547301736933</v>
      </c>
      <c r="F249" s="18">
        <v>80.096716947136045</v>
      </c>
      <c r="G249" s="18">
        <v>129.29154197050553</v>
      </c>
      <c r="H249" s="18">
        <v>127.01062677201567</v>
      </c>
      <c r="I249" s="18">
        <v>154.45699785403278</v>
      </c>
      <c r="J249" s="18">
        <v>128.48700124287961</v>
      </c>
      <c r="K249" s="18">
        <v>119.32106288081789</v>
      </c>
      <c r="L249" s="18">
        <v>145.42209599555912</v>
      </c>
      <c r="M249" s="18">
        <v>231.23308636370706</v>
      </c>
      <c r="N249" s="18">
        <v>124.07211275998833</v>
      </c>
      <c r="P249" s="18">
        <v>132.50289897373389</v>
      </c>
      <c r="Q249" s="18">
        <v>69.12875532882974</v>
      </c>
      <c r="R249" s="18">
        <v>114.19895211349152</v>
      </c>
      <c r="S249" s="18">
        <v>123.08723460378803</v>
      </c>
      <c r="T249" s="18">
        <v>69.791273646048424</v>
      </c>
      <c r="U249" s="18">
        <v>133.15409940297172</v>
      </c>
      <c r="V249" s="18">
        <v>130.65332017425445</v>
      </c>
      <c r="W249" s="18">
        <v>159.85502107299746</v>
      </c>
      <c r="X249" s="18">
        <v>128.5511078690844</v>
      </c>
      <c r="Y249" s="18">
        <v>122.08001478137096</v>
      </c>
      <c r="Z249" s="18">
        <v>148.32020167816191</v>
      </c>
      <c r="AA249" s="18">
        <v>233.74484246189547</v>
      </c>
      <c r="AB249" s="18">
        <v>125.27549243841869</v>
      </c>
    </row>
    <row r="250" spans="1:28">
      <c r="A250" s="17">
        <f t="shared" si="3"/>
        <v>45809</v>
      </c>
      <c r="B250" s="18">
        <v>127.77688787199584</v>
      </c>
      <c r="C250" s="18">
        <v>68.178458999310308</v>
      </c>
      <c r="D250" s="18">
        <v>108.61765525662841</v>
      </c>
      <c r="E250" s="18">
        <v>120.48932550740714</v>
      </c>
      <c r="F250" s="18">
        <v>67.117751523645723</v>
      </c>
      <c r="G250" s="18">
        <v>127.8846234019352</v>
      </c>
      <c r="H250" s="18">
        <v>134.96182648039522</v>
      </c>
      <c r="I250" s="18">
        <v>147.15257991404914</v>
      </c>
      <c r="J250" s="18">
        <v>128.66233147176237</v>
      </c>
      <c r="K250" s="18">
        <v>120.77818195258563</v>
      </c>
      <c r="L250" s="18">
        <v>150.44867675075076</v>
      </c>
      <c r="M250" s="18">
        <v>237.53685601682037</v>
      </c>
      <c r="N250" s="18">
        <v>122.99495307221768</v>
      </c>
      <c r="P250" s="18">
        <v>131.6993493149439</v>
      </c>
      <c r="Q250" s="18">
        <v>72.960495322610839</v>
      </c>
      <c r="R250" s="18">
        <v>111.32082022225343</v>
      </c>
      <c r="S250" s="18">
        <v>123.2485800805419</v>
      </c>
      <c r="T250" s="18">
        <v>72.991113694156951</v>
      </c>
      <c r="U250" s="18">
        <v>131.85527440111719</v>
      </c>
      <c r="V250" s="18">
        <v>132.65752473782024</v>
      </c>
      <c r="W250" s="18">
        <v>145.67666768741609</v>
      </c>
      <c r="X250" s="18">
        <v>128.75562951724442</v>
      </c>
      <c r="Y250" s="18">
        <v>120.43512841527829</v>
      </c>
      <c r="Z250" s="18">
        <v>145.87830820840634</v>
      </c>
      <c r="AA250" s="18">
        <v>245.64846908420725</v>
      </c>
      <c r="AB250" s="18">
        <v>124.44624299923146</v>
      </c>
    </row>
    <row r="251" spans="1:28">
      <c r="A251" s="17">
        <f t="shared" si="3"/>
        <v>45839</v>
      </c>
      <c r="B251" s="18">
        <v>141.75393301324715</v>
      </c>
      <c r="C251" s="18">
        <v>74.171301631032065</v>
      </c>
      <c r="D251" s="18">
        <v>120.62538916561923</v>
      </c>
      <c r="E251" s="18">
        <v>126.76920149536015</v>
      </c>
      <c r="F251" s="18">
        <v>68.292698004405977</v>
      </c>
      <c r="G251" s="18">
        <v>132.89065713576232</v>
      </c>
      <c r="H251" s="18">
        <v>131.23098663038232</v>
      </c>
      <c r="I251" s="18">
        <v>157.83401925420046</v>
      </c>
      <c r="J251" s="18">
        <v>128.82794838856097</v>
      </c>
      <c r="K251" s="18">
        <v>123.78100202687104</v>
      </c>
      <c r="L251" s="18">
        <v>160.08227860555658</v>
      </c>
      <c r="M251" s="18">
        <v>251.90618168990446</v>
      </c>
      <c r="N251" s="18">
        <v>130.10526655230763</v>
      </c>
      <c r="P251" s="18">
        <v>137.50242630454207</v>
      </c>
      <c r="Q251" s="18">
        <v>70.886425819093247</v>
      </c>
      <c r="R251" s="18">
        <v>118.18304189160018</v>
      </c>
      <c r="S251" s="18">
        <v>124.61063481670303</v>
      </c>
      <c r="T251" s="18">
        <v>73.385569649372627</v>
      </c>
      <c r="U251" s="18">
        <v>133.08054005244119</v>
      </c>
      <c r="V251" s="18">
        <v>132.51005400298612</v>
      </c>
      <c r="W251" s="18">
        <v>157.00266363118666</v>
      </c>
      <c r="X251" s="18">
        <v>129.00636055476122</v>
      </c>
      <c r="Y251" s="18">
        <v>122.3536496271268</v>
      </c>
      <c r="Z251" s="18">
        <v>158.39772926915629</v>
      </c>
      <c r="AA251" s="18">
        <v>250.42335067640232</v>
      </c>
      <c r="AB251" s="18">
        <v>128.41802656348167</v>
      </c>
    </row>
    <row r="252" spans="1:28">
      <c r="A252" s="17">
        <f t="shared" si="3"/>
        <v>45870</v>
      </c>
      <c r="B252" s="18">
        <v>146.44106219635199</v>
      </c>
      <c r="C252" s="18">
        <v>71.954374871751043</v>
      </c>
      <c r="D252" s="18">
        <v>115.82245572696273</v>
      </c>
      <c r="E252" s="18">
        <v>125.83974570467052</v>
      </c>
      <c r="F252" s="18">
        <v>81.303637647833412</v>
      </c>
      <c r="G252" s="18">
        <v>136.70492755721196</v>
      </c>
      <c r="H252" s="18">
        <v>126.73919159566451</v>
      </c>
      <c r="I252" s="18">
        <v>153.39152093904298</v>
      </c>
      <c r="J252" s="18">
        <v>129.18250860416339</v>
      </c>
      <c r="K252" s="18">
        <v>118.63250095139395</v>
      </c>
      <c r="L252" s="18">
        <v>140.84737944817985</v>
      </c>
      <c r="M252" s="18">
        <v>250.6994821283584</v>
      </c>
      <c r="N252" s="18">
        <v>127.51986959357207</v>
      </c>
      <c r="P252" s="18">
        <v>132.20130654385508</v>
      </c>
      <c r="Q252" s="18">
        <v>71.988041579130126</v>
      </c>
      <c r="R252" s="18">
        <v>112.41848438375277</v>
      </c>
      <c r="S252" s="18">
        <v>123.0755867535333</v>
      </c>
      <c r="T252" s="18">
        <v>69.836809919578485</v>
      </c>
      <c r="U252" s="18">
        <v>134.30891437372864</v>
      </c>
      <c r="V252" s="18">
        <v>130.26638654879258</v>
      </c>
      <c r="W252" s="18">
        <v>153.52237853551077</v>
      </c>
      <c r="X252" s="18">
        <v>129.27001106524079</v>
      </c>
      <c r="Y252" s="18">
        <v>121.74649125575306</v>
      </c>
      <c r="Z252" s="18">
        <v>147.6741637069432</v>
      </c>
      <c r="AA252" s="18">
        <v>250.59184161483094</v>
      </c>
      <c r="AB252" s="18">
        <v>125.73011963012777</v>
      </c>
    </row>
    <row r="253" spans="1:28">
      <c r="A253" s="17">
        <f t="shared" si="3"/>
        <v>45901</v>
      </c>
      <c r="B253" s="18">
        <v>140.99183917112501</v>
      </c>
      <c r="C253" s="18">
        <v>72.984289367027216</v>
      </c>
      <c r="D253" s="18">
        <v>117.77980867456182</v>
      </c>
      <c r="E253" s="18">
        <v>124.14270908131174</v>
      </c>
      <c r="F253" s="18">
        <v>65.853577914612003</v>
      </c>
      <c r="G253" s="18">
        <v>128.49788573413426</v>
      </c>
      <c r="H253" s="18">
        <v>133.53308999835338</v>
      </c>
      <c r="I253" s="18">
        <v>158.47241404375282</v>
      </c>
      <c r="J253" s="18">
        <v>129.55365213852181</v>
      </c>
      <c r="K253" s="18">
        <v>119.09763026614819</v>
      </c>
      <c r="L253" s="18">
        <v>142.79307609566894</v>
      </c>
      <c r="M253" s="18">
        <v>245.77816989781041</v>
      </c>
      <c r="N253" s="18">
        <v>125.34782881770738</v>
      </c>
      <c r="P253" s="18">
        <v>135.8339322099568</v>
      </c>
      <c r="Q253" s="18">
        <v>73.318453329980954</v>
      </c>
      <c r="R253" s="18">
        <v>115.09767113653837</v>
      </c>
      <c r="S253" s="18">
        <v>122.99703471651911</v>
      </c>
      <c r="T253" s="18">
        <v>71.586850934362772</v>
      </c>
      <c r="U253" s="18">
        <v>133.04875854268241</v>
      </c>
      <c r="V253" s="18">
        <v>132.08078123971131</v>
      </c>
      <c r="W253" s="18">
        <v>156.65970814104475</v>
      </c>
      <c r="X253" s="18">
        <v>129.53148920492717</v>
      </c>
      <c r="Y253" s="18">
        <v>122.50179390426305</v>
      </c>
      <c r="Z253" s="18">
        <v>148.77503899467251</v>
      </c>
      <c r="AA253" s="18">
        <v>251.7140844433805</v>
      </c>
      <c r="AB253" s="18">
        <v>126.88331698958619</v>
      </c>
    </row>
    <row r="254" spans="1:28">
      <c r="A254" s="17">
        <f t="shared" si="3"/>
        <v>45931</v>
      </c>
      <c r="B254" s="18">
        <v>140.28236890086561</v>
      </c>
      <c r="C254" s="18">
        <v>74.658034775095459</v>
      </c>
      <c r="D254" s="18">
        <v>120.45371041543194</v>
      </c>
      <c r="E254" s="18">
        <v>126.08813128403517</v>
      </c>
      <c r="F254" s="18">
        <v>69.474149087948859</v>
      </c>
      <c r="G254" s="18">
        <v>134.09707547026744</v>
      </c>
      <c r="H254" s="18">
        <v>128.93110482554951</v>
      </c>
      <c r="I254" s="18">
        <v>151.88211767167459</v>
      </c>
      <c r="J254" s="18">
        <v>130.0054598463376</v>
      </c>
      <c r="K254" s="18">
        <v>120.39800100980067</v>
      </c>
      <c r="L254" s="18">
        <v>144.48831906187712</v>
      </c>
      <c r="M254" s="18">
        <v>271.41998914346294</v>
      </c>
      <c r="N254" s="18">
        <v>127.90852035410865</v>
      </c>
      <c r="P254" s="18">
        <v>136.50930376881644</v>
      </c>
      <c r="Q254" s="18">
        <v>73.066372849241773</v>
      </c>
      <c r="R254" s="18">
        <v>115.1599700948374</v>
      </c>
      <c r="S254" s="18">
        <v>123.9862434982348</v>
      </c>
      <c r="T254" s="18">
        <v>71.435697268362432</v>
      </c>
      <c r="U254" s="18">
        <v>133.70323666716328</v>
      </c>
      <c r="V254" s="18">
        <v>129.0408185559462</v>
      </c>
      <c r="W254" s="18">
        <v>154.70451656222505</v>
      </c>
      <c r="X254" s="18">
        <v>129.78526121656213</v>
      </c>
      <c r="Y254" s="18">
        <v>122.10639498282119</v>
      </c>
      <c r="Z254" s="18">
        <v>149.45866491417786</v>
      </c>
      <c r="AA254" s="18">
        <v>259.71492419701394</v>
      </c>
      <c r="AB254" s="18">
        <v>127.3030537420007</v>
      </c>
    </row>
    <row r="255" spans="1:28">
      <c r="A255" s="17">
        <f t="shared" si="3"/>
        <v>45962</v>
      </c>
      <c r="B255" s="18">
        <v>128.58976101976569</v>
      </c>
      <c r="C255" s="18">
        <v>72.037822073953947</v>
      </c>
      <c r="D255" s="18">
        <v>115.06334590926582</v>
      </c>
      <c r="E255" s="18">
        <v>125.92324010391292</v>
      </c>
      <c r="F255" s="18">
        <v>84.494980815677394</v>
      </c>
      <c r="G255" s="18">
        <v>141.93046179697498</v>
      </c>
      <c r="H255" s="18">
        <v>131.88934926873796</v>
      </c>
      <c r="I255" s="18">
        <v>152.03998016936154</v>
      </c>
      <c r="J255" s="18">
        <v>130.39614059158143</v>
      </c>
      <c r="K255" s="18">
        <v>129.53942015462707</v>
      </c>
      <c r="L255" s="18">
        <v>160.9730755637392</v>
      </c>
      <c r="M255" s="18">
        <v>261.59572553088088</v>
      </c>
      <c r="N255" s="18">
        <v>131.17316706405288</v>
      </c>
      <c r="P255" s="18">
        <v>127.97102662874855</v>
      </c>
      <c r="Q255" s="18">
        <v>72.537748262748238</v>
      </c>
      <c r="R255" s="18">
        <v>111.77011514240401</v>
      </c>
      <c r="S255" s="18">
        <v>124.54846036927134</v>
      </c>
      <c r="T255" s="18">
        <v>69.959056585370163</v>
      </c>
      <c r="U255" s="18">
        <v>133.98334967497934</v>
      </c>
      <c r="V255" s="18">
        <v>129.20935042537204</v>
      </c>
      <c r="W255" s="18">
        <v>153.71471839647234</v>
      </c>
      <c r="X255" s="18">
        <v>130.04215954298431</v>
      </c>
      <c r="Y255" s="18">
        <v>122.2482670004521</v>
      </c>
      <c r="Z255" s="18">
        <v>149.48740120469847</v>
      </c>
      <c r="AA255" s="18">
        <v>262.14390132279965</v>
      </c>
      <c r="AB255" s="18">
        <v>125.51328892649767</v>
      </c>
    </row>
    <row r="256" spans="1:28">
      <c r="A256" s="17">
        <f t="shared" si="3"/>
        <v>45992</v>
      </c>
      <c r="B256" s="18">
        <v>127.46614245580921</v>
      </c>
      <c r="C256" s="18">
        <v>82.106742658301101</v>
      </c>
      <c r="D256" s="18">
        <v>115.4571770629539</v>
      </c>
      <c r="E256" s="18">
        <v>126.73622439460166</v>
      </c>
      <c r="F256" s="18">
        <v>67.950646384947376</v>
      </c>
      <c r="G256" s="18">
        <v>162.7317434916402</v>
      </c>
      <c r="H256" s="18">
        <v>157.0801059756717</v>
      </c>
      <c r="I256" s="18">
        <v>152.9142790217347</v>
      </c>
      <c r="J256" s="18">
        <v>130.55060883602303</v>
      </c>
      <c r="K256" s="18">
        <v>152.36889030290877</v>
      </c>
      <c r="L256" s="18">
        <v>181.34214460272594</v>
      </c>
      <c r="M256" s="18">
        <v>257.21199283551005</v>
      </c>
      <c r="N256" s="18">
        <v>140.1480731585481</v>
      </c>
      <c r="P256" s="18">
        <v>127.3748177665813</v>
      </c>
      <c r="Q256" s="18">
        <v>74.079503825618545</v>
      </c>
      <c r="R256" s="18">
        <v>111.94189660041583</v>
      </c>
      <c r="S256" s="18">
        <v>124.83267122388592</v>
      </c>
      <c r="T256" s="18">
        <v>70.468694323345559</v>
      </c>
      <c r="U256" s="18">
        <v>132.66772709717281</v>
      </c>
      <c r="V256" s="18">
        <v>131.82378873656572</v>
      </c>
      <c r="W256" s="18">
        <v>146.85970967549241</v>
      </c>
      <c r="X256" s="18">
        <v>130.27504542452621</v>
      </c>
      <c r="Y256" s="18">
        <v>123.74023778848178</v>
      </c>
      <c r="Z256" s="18">
        <v>149.69795911828075</v>
      </c>
      <c r="AA256" s="18">
        <v>237.32110933778819</v>
      </c>
      <c r="AB256" s="18">
        <v>125.98431468993834</v>
      </c>
    </row>
    <row r="257" spans="1:28">
      <c r="A257" s="17">
        <f t="shared" si="3"/>
        <v>46023</v>
      </c>
      <c r="B257" s="18">
        <v>123.37247757529776</v>
      </c>
      <c r="C257" s="18">
        <v>76.327245751070791</v>
      </c>
      <c r="D257" s="18">
        <v>106.19608834132733</v>
      </c>
      <c r="E257" s="18">
        <v>124.32227694766893</v>
      </c>
      <c r="F257" s="18">
        <v>57.357737836354694</v>
      </c>
      <c r="G257" s="18">
        <v>126.97608180795012</v>
      </c>
      <c r="H257" s="18">
        <v>120.56733428635506</v>
      </c>
      <c r="I257" s="18">
        <v>150.8545826639695</v>
      </c>
      <c r="J257" s="18">
        <v>130.52742503685624</v>
      </c>
      <c r="K257" s="18">
        <v>110.71039128025333</v>
      </c>
      <c r="L257" s="18">
        <v>128.48963826126263</v>
      </c>
      <c r="M257" s="18">
        <v>232.91104275068534</v>
      </c>
      <c r="N257" s="18">
        <v>117.65407012883425</v>
      </c>
      <c r="P257" s="18">
        <v>128.39278663792044</v>
      </c>
      <c r="Q257" s="18">
        <v>74.431688493094043</v>
      </c>
      <c r="R257" s="18">
        <v>114.48364842997663</v>
      </c>
      <c r="S257" s="18">
        <v>124.78796777890442</v>
      </c>
      <c r="T257" s="18">
        <v>66.984069474901005</v>
      </c>
      <c r="U257" s="18">
        <v>133.89505433191133</v>
      </c>
      <c r="V257" s="18">
        <v>131.04271356059277</v>
      </c>
      <c r="W257" s="18">
        <v>151.52371152814817</v>
      </c>
      <c r="X257" s="18">
        <v>130.49249868498887</v>
      </c>
      <c r="Y257" s="18">
        <v>123.17851052624995</v>
      </c>
      <c r="Z257" s="18">
        <v>149.34176988518993</v>
      </c>
      <c r="AA257" s="18">
        <v>249.49860139132784</v>
      </c>
      <c r="AB257" s="18">
        <v>126.2267278907526</v>
      </c>
    </row>
    <row r="258" spans="1:28">
      <c r="A258" s="17">
        <f t="shared" si="3"/>
        <v>46054</v>
      </c>
      <c r="B258" s="18">
        <v>119.81691654098709</v>
      </c>
      <c r="C258" s="18">
        <v>69.250763182563645</v>
      </c>
      <c r="D258" s="18">
        <v>108.77835097350173</v>
      </c>
      <c r="E258" s="18">
        <v>116.73365735715318</v>
      </c>
      <c r="F258" s="18">
        <v>73.188242346267415</v>
      </c>
      <c r="G258" s="18">
        <v>120.57742391918558</v>
      </c>
      <c r="H258" s="18">
        <v>123.55978448465117</v>
      </c>
      <c r="I258" s="18">
        <v>150.23848873113138</v>
      </c>
      <c r="J258" s="18">
        <v>130.57744333806673</v>
      </c>
      <c r="K258" s="18">
        <v>114.18290007781098</v>
      </c>
      <c r="L258" s="18">
        <v>144.05644126121499</v>
      </c>
      <c r="M258" s="18">
        <v>245.58993493768892</v>
      </c>
      <c r="N258" s="18">
        <v>119.58607580865947</v>
      </c>
      <c r="P258" s="18">
        <v>128.98495370498995</v>
      </c>
      <c r="Q258" s="18">
        <v>75.168837369615616</v>
      </c>
      <c r="R258" s="18">
        <v>115.88111283972017</v>
      </c>
      <c r="S258" s="18">
        <v>123.5463319514789</v>
      </c>
      <c r="T258" s="18">
        <v>66.811927321487133</v>
      </c>
      <c r="U258" s="18">
        <v>133.32627279896136</v>
      </c>
      <c r="V258" s="18">
        <v>130.96449416808741</v>
      </c>
      <c r="W258" s="18">
        <v>154.73992290388264</v>
      </c>
      <c r="X258" s="18">
        <v>130.66253136672171</v>
      </c>
      <c r="Y258" s="18">
        <v>123.31025246766319</v>
      </c>
      <c r="Z258" s="18">
        <v>150.85845720110521</v>
      </c>
      <c r="AA258" s="18">
        <v>255.50375161548814</v>
      </c>
      <c r="AB258" s="18">
        <v>126.99407584184679</v>
      </c>
    </row>
    <row r="259" spans="1:28">
      <c r="A259" s="17">
        <f t="shared" si="3"/>
        <v>46082</v>
      </c>
      <c r="B259" s="18">
        <v>134.91984466766957</v>
      </c>
      <c r="C259" s="18">
        <v>75.861000491429181</v>
      </c>
      <c r="D259" s="18">
        <v>117.08114933849696</v>
      </c>
      <c r="E259" s="18">
        <v>128.1114489031128</v>
      </c>
      <c r="F259" s="18">
        <v>66.506908665048158</v>
      </c>
      <c r="G259" s="18">
        <v>132.32713639131853</v>
      </c>
      <c r="H259" s="18">
        <v>130.98365952962837</v>
      </c>
      <c r="I259" s="18">
        <v>166.30897100999752</v>
      </c>
      <c r="J259" s="18">
        <v>130.67947341467556</v>
      </c>
      <c r="K259" s="18">
        <v>122.98262183115922</v>
      </c>
      <c r="L259" s="18">
        <v>153.47206311718043</v>
      </c>
      <c r="M259" s="18">
        <v>273.44878815365576</v>
      </c>
      <c r="N259" s="18">
        <v>128.8529578397355</v>
      </c>
      <c r="P259" s="18">
        <v>132.90937689855292</v>
      </c>
      <c r="Q259" s="18">
        <v>74.5415920395304</v>
      </c>
      <c r="R259" s="18">
        <v>115.19826195539984</v>
      </c>
      <c r="S259" s="18">
        <v>126.13190788625366</v>
      </c>
      <c r="T259" s="18">
        <v>71.143287247787796</v>
      </c>
      <c r="U259" s="18">
        <v>134.25504038581292</v>
      </c>
      <c r="V259" s="18">
        <v>130.46099902672773</v>
      </c>
      <c r="W259" s="18">
        <v>163.4777019501108</v>
      </c>
      <c r="X259" s="18">
        <v>130.83723196492477</v>
      </c>
      <c r="Y259" s="18">
        <v>124.31863553996838</v>
      </c>
      <c r="Z259" s="18">
        <v>152.43673553255093</v>
      </c>
      <c r="AA259" s="18">
        <v>262.68739503936354</v>
      </c>
      <c r="AB259" s="18">
        <v>128.37596369102226</v>
      </c>
    </row>
    <row r="260" spans="1:28">
      <c r="A260" s="17">
        <f t="shared" si="3"/>
        <v>46113</v>
      </c>
      <c r="N260" s="18">
        <v>124.34992601532524</v>
      </c>
      <c r="AB260" s="18">
        <v>128.81293083041137</v>
      </c>
    </row>
  </sheetData>
  <hyperlinks>
    <hyperlink ref="B1" r:id="rId1" xr:uid="{F5053730-3CEC-4D67-8B4C-7DC01DC233EA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C718-A4B5-44A8-9FFB-053BC92B353E}">
  <dimension ref="A1:M447"/>
  <sheetViews>
    <sheetView showGridLines="0" tabSelected="1" workbookViewId="0">
      <pane xSplit="1" ySplit="3" topLeftCell="B427" activePane="bottomRight" state="frozen"/>
      <selection pane="topRight" activeCell="B1" sqref="B1"/>
      <selection pane="bottomLeft" activeCell="A4" sqref="A4"/>
      <selection pane="bottomRight" activeCell="A450" sqref="A450"/>
    </sheetView>
  </sheetViews>
  <sheetFormatPr baseColWidth="10" defaultRowHeight="14.4"/>
  <sheetData>
    <row r="1" spans="1:13">
      <c r="A1" t="s">
        <v>76</v>
      </c>
      <c r="B1" s="24" t="s">
        <v>102</v>
      </c>
      <c r="C1" s="24" t="s">
        <v>102</v>
      </c>
      <c r="D1" s="24" t="s">
        <v>103</v>
      </c>
      <c r="J1" t="s">
        <v>94</v>
      </c>
      <c r="K1" s="7" t="s">
        <v>95</v>
      </c>
    </row>
    <row r="2" spans="1:13">
      <c r="K2" s="7" t="s">
        <v>96</v>
      </c>
      <c r="L2" s="5" t="s">
        <v>104</v>
      </c>
      <c r="M2" s="24" t="s">
        <v>96</v>
      </c>
    </row>
    <row r="3" spans="1:13">
      <c r="A3" s="11" t="s">
        <v>17</v>
      </c>
      <c r="B3" s="11" t="s">
        <v>57</v>
      </c>
      <c r="C3" s="11" t="s">
        <v>74</v>
      </c>
      <c r="D3" s="11" t="s">
        <v>75</v>
      </c>
      <c r="J3" t="s">
        <v>100</v>
      </c>
      <c r="K3" s="7" t="s">
        <v>97</v>
      </c>
      <c r="L3" s="7" t="s">
        <v>98</v>
      </c>
    </row>
    <row r="4" spans="1:13">
      <c r="A4" s="13">
        <v>32874</v>
      </c>
      <c r="B4" s="15">
        <v>21.25</v>
      </c>
      <c r="C4" s="15">
        <v>61.643999999999998</v>
      </c>
      <c r="D4" s="15">
        <v>127.4</v>
      </c>
    </row>
    <row r="5" spans="1:13">
      <c r="A5" s="13">
        <v>32905</v>
      </c>
      <c r="B5" s="15">
        <v>19.809999999999999</v>
      </c>
      <c r="C5" s="15">
        <v>62.210799999999999</v>
      </c>
      <c r="D5" s="15">
        <v>128</v>
      </c>
    </row>
    <row r="6" spans="1:13">
      <c r="A6" s="13">
        <v>32933</v>
      </c>
      <c r="B6" s="15">
        <v>18.39</v>
      </c>
      <c r="C6" s="15">
        <v>62.506799999999998</v>
      </c>
      <c r="D6" s="15">
        <v>128.69999999999999</v>
      </c>
    </row>
    <row r="7" spans="1:13">
      <c r="A7" s="13">
        <v>32964</v>
      </c>
      <c r="B7" s="15">
        <v>16.61</v>
      </c>
      <c r="C7" s="15">
        <v>62.359699999999997</v>
      </c>
      <c r="D7" s="15">
        <v>128.9</v>
      </c>
    </row>
    <row r="8" spans="1:13">
      <c r="A8" s="13">
        <v>32994</v>
      </c>
      <c r="B8" s="15">
        <v>16.350000000000001</v>
      </c>
      <c r="C8" s="15">
        <v>62.547400000000003</v>
      </c>
      <c r="D8" s="15">
        <v>129.19999999999999</v>
      </c>
    </row>
    <row r="9" spans="1:13">
      <c r="A9" s="13">
        <v>33025</v>
      </c>
      <c r="B9" s="15">
        <v>15.1</v>
      </c>
      <c r="C9" s="15">
        <v>62.754100000000001</v>
      </c>
      <c r="D9" s="15">
        <v>129.9</v>
      </c>
    </row>
    <row r="10" spans="1:13">
      <c r="A10" s="13">
        <v>33055</v>
      </c>
      <c r="B10" s="15">
        <v>17.170000000000002</v>
      </c>
      <c r="C10" s="15">
        <v>62.649700000000003</v>
      </c>
      <c r="D10" s="15">
        <v>130.4</v>
      </c>
    </row>
    <row r="11" spans="1:13">
      <c r="A11" s="13">
        <v>33086</v>
      </c>
      <c r="B11" s="15">
        <v>27.17</v>
      </c>
      <c r="C11" s="15">
        <v>62.876100000000001</v>
      </c>
      <c r="D11" s="15">
        <v>131.6</v>
      </c>
    </row>
    <row r="12" spans="1:13">
      <c r="A12" s="13">
        <v>33117</v>
      </c>
      <c r="B12" s="15">
        <v>34.9</v>
      </c>
      <c r="C12" s="15">
        <v>62.896000000000001</v>
      </c>
      <c r="D12" s="15">
        <v>132.69999999999999</v>
      </c>
    </row>
    <row r="13" spans="1:13">
      <c r="A13" s="13">
        <v>33147</v>
      </c>
      <c r="B13" s="15">
        <v>36.020000000000003</v>
      </c>
      <c r="C13" s="15">
        <v>62.506</v>
      </c>
      <c r="D13" s="15">
        <v>133.5</v>
      </c>
    </row>
    <row r="14" spans="1:13">
      <c r="A14" s="13">
        <v>33178</v>
      </c>
      <c r="B14" s="15">
        <v>33.07</v>
      </c>
      <c r="C14" s="15">
        <v>61.7271</v>
      </c>
      <c r="D14" s="15">
        <v>133.80000000000001</v>
      </c>
    </row>
    <row r="15" spans="1:13">
      <c r="A15" s="13">
        <v>33208</v>
      </c>
      <c r="B15" s="15">
        <v>28.27</v>
      </c>
      <c r="C15" s="15">
        <v>61.293900000000001</v>
      </c>
      <c r="D15" s="15">
        <v>133.80000000000001</v>
      </c>
    </row>
    <row r="16" spans="1:13">
      <c r="A16" s="13">
        <v>33239</v>
      </c>
      <c r="B16" s="15">
        <v>23.57</v>
      </c>
      <c r="C16" s="15">
        <v>61.0931</v>
      </c>
      <c r="D16" s="15">
        <v>134.6</v>
      </c>
    </row>
    <row r="17" spans="1:4">
      <c r="A17" s="13">
        <v>33270</v>
      </c>
      <c r="B17" s="15">
        <v>19.54</v>
      </c>
      <c r="C17" s="15">
        <v>60.652200000000001</v>
      </c>
      <c r="D17" s="15">
        <v>134.80000000000001</v>
      </c>
    </row>
    <row r="18" spans="1:4">
      <c r="A18" s="13">
        <v>33298</v>
      </c>
      <c r="B18" s="15">
        <v>19.079999999999998</v>
      </c>
      <c r="C18" s="15">
        <v>60.306899999999999</v>
      </c>
      <c r="D18" s="15">
        <v>135</v>
      </c>
    </row>
    <row r="19" spans="1:4">
      <c r="A19" s="13">
        <v>33329</v>
      </c>
      <c r="B19" s="15">
        <v>19.18</v>
      </c>
      <c r="C19" s="15">
        <v>60.465800000000002</v>
      </c>
      <c r="D19" s="15">
        <v>135.19999999999999</v>
      </c>
    </row>
    <row r="20" spans="1:4">
      <c r="A20" s="13">
        <v>33359</v>
      </c>
      <c r="B20" s="15">
        <v>19.190000000000001</v>
      </c>
      <c r="C20" s="15">
        <v>61.067100000000003</v>
      </c>
      <c r="D20" s="15">
        <v>135.6</v>
      </c>
    </row>
    <row r="21" spans="1:4">
      <c r="A21" s="13">
        <v>33390</v>
      </c>
      <c r="B21" s="15">
        <v>18.170000000000002</v>
      </c>
      <c r="C21" s="15">
        <v>61.561100000000003</v>
      </c>
      <c r="D21" s="15">
        <v>136</v>
      </c>
    </row>
    <row r="22" spans="1:4">
      <c r="A22" s="13">
        <v>33420</v>
      </c>
      <c r="B22" s="15">
        <v>19.399999999999999</v>
      </c>
      <c r="C22" s="15">
        <v>61.722999999999999</v>
      </c>
      <c r="D22" s="15">
        <v>136.19999999999999</v>
      </c>
    </row>
    <row r="23" spans="1:4">
      <c r="A23" s="13">
        <v>33451</v>
      </c>
      <c r="B23" s="15">
        <v>19.77</v>
      </c>
      <c r="C23" s="15">
        <v>61.735999999999997</v>
      </c>
      <c r="D23" s="15">
        <v>136.6</v>
      </c>
    </row>
    <row r="24" spans="1:4">
      <c r="A24" s="13">
        <v>33482</v>
      </c>
      <c r="B24" s="15">
        <v>20.5</v>
      </c>
      <c r="C24" s="15">
        <v>62.246400000000001</v>
      </c>
      <c r="D24" s="15">
        <v>137.19999999999999</v>
      </c>
    </row>
    <row r="25" spans="1:4">
      <c r="A25" s="13">
        <v>33512</v>
      </c>
      <c r="B25" s="15">
        <v>22.21</v>
      </c>
      <c r="C25" s="15">
        <v>62.182499999999997</v>
      </c>
      <c r="D25" s="15">
        <v>137.4</v>
      </c>
    </row>
    <row r="26" spans="1:4">
      <c r="A26" s="13">
        <v>33543</v>
      </c>
      <c r="B26" s="15">
        <v>21.11</v>
      </c>
      <c r="C26" s="15">
        <v>62.098300000000002</v>
      </c>
      <c r="D26" s="15">
        <v>137.80000000000001</v>
      </c>
    </row>
    <row r="27" spans="1:4">
      <c r="A27" s="13">
        <v>33573</v>
      </c>
      <c r="B27" s="15">
        <v>18.41</v>
      </c>
      <c r="C27" s="15">
        <v>61.8108</v>
      </c>
      <c r="D27" s="15">
        <v>137.9</v>
      </c>
    </row>
    <row r="28" spans="1:4">
      <c r="A28" s="13">
        <v>33604</v>
      </c>
      <c r="B28" s="15">
        <v>18.16</v>
      </c>
      <c r="C28" s="15">
        <v>61.489800000000002</v>
      </c>
      <c r="D28" s="15">
        <v>138.1</v>
      </c>
    </row>
    <row r="29" spans="1:4">
      <c r="A29" s="13">
        <v>33635</v>
      </c>
      <c r="B29" s="15">
        <v>18.05</v>
      </c>
      <c r="C29" s="15">
        <v>61.929900000000004</v>
      </c>
      <c r="D29" s="15">
        <v>138.6</v>
      </c>
    </row>
    <row r="30" spans="1:4">
      <c r="A30" s="13">
        <v>33664</v>
      </c>
      <c r="B30" s="15">
        <v>17.63</v>
      </c>
      <c r="C30" s="15">
        <v>62.448999999999998</v>
      </c>
      <c r="D30" s="15">
        <v>139.30000000000001</v>
      </c>
    </row>
    <row r="31" spans="1:4">
      <c r="A31" s="13">
        <v>33695</v>
      </c>
      <c r="B31" s="15">
        <v>18.920000000000002</v>
      </c>
      <c r="C31" s="15">
        <v>62.931199999999997</v>
      </c>
      <c r="D31" s="15">
        <v>139.5</v>
      </c>
    </row>
    <row r="32" spans="1:4">
      <c r="A32" s="13">
        <v>33725</v>
      </c>
      <c r="B32" s="15">
        <v>19.89</v>
      </c>
      <c r="C32" s="15">
        <v>63.135899999999999</v>
      </c>
      <c r="D32" s="15">
        <v>139.69999999999999</v>
      </c>
    </row>
    <row r="33" spans="1:4">
      <c r="A33" s="13">
        <v>33756</v>
      </c>
      <c r="B33" s="15">
        <v>21.16</v>
      </c>
      <c r="C33" s="15">
        <v>63.1736</v>
      </c>
      <c r="D33" s="15">
        <v>140.19999999999999</v>
      </c>
    </row>
    <row r="34" spans="1:4">
      <c r="A34" s="13">
        <v>33786</v>
      </c>
      <c r="B34" s="15">
        <v>20.239999999999998</v>
      </c>
      <c r="C34" s="15">
        <v>63.7408</v>
      </c>
      <c r="D34" s="15">
        <v>140.5</v>
      </c>
    </row>
    <row r="35" spans="1:4">
      <c r="A35" s="13">
        <v>33817</v>
      </c>
      <c r="B35" s="15">
        <v>19.739999999999998</v>
      </c>
      <c r="C35" s="15">
        <v>63.3917</v>
      </c>
      <c r="D35" s="15">
        <v>140.9</v>
      </c>
    </row>
    <row r="36" spans="1:4">
      <c r="A36" s="13">
        <v>33848</v>
      </c>
      <c r="B36" s="15">
        <v>20.27</v>
      </c>
      <c r="C36" s="15">
        <v>63.592700000000001</v>
      </c>
      <c r="D36" s="15">
        <v>141.30000000000001</v>
      </c>
    </row>
    <row r="37" spans="1:4">
      <c r="A37" s="13">
        <v>33878</v>
      </c>
      <c r="B37" s="15">
        <v>20.260000000000002</v>
      </c>
      <c r="C37" s="15">
        <v>64.028199999999998</v>
      </c>
      <c r="D37" s="15">
        <v>141.80000000000001</v>
      </c>
    </row>
    <row r="38" spans="1:4">
      <c r="A38" s="13">
        <v>33909</v>
      </c>
      <c r="B38" s="15">
        <v>19.21</v>
      </c>
      <c r="C38" s="15">
        <v>64.273200000000003</v>
      </c>
      <c r="D38" s="15">
        <v>142</v>
      </c>
    </row>
    <row r="39" spans="1:4">
      <c r="A39" s="13">
        <v>33939</v>
      </c>
      <c r="B39" s="15">
        <v>18.14</v>
      </c>
      <c r="C39" s="15">
        <v>64.366799999999998</v>
      </c>
      <c r="D39" s="15">
        <v>141.9</v>
      </c>
    </row>
    <row r="40" spans="1:4">
      <c r="A40" s="13">
        <v>33970</v>
      </c>
      <c r="B40" s="15">
        <v>17.39</v>
      </c>
      <c r="C40" s="15">
        <v>64.625600000000006</v>
      </c>
      <c r="D40" s="15">
        <v>142.6</v>
      </c>
    </row>
    <row r="41" spans="1:4">
      <c r="A41" s="13">
        <v>34001</v>
      </c>
      <c r="B41" s="15">
        <v>18.47</v>
      </c>
      <c r="C41" s="15">
        <v>64.929000000000002</v>
      </c>
      <c r="D41" s="15">
        <v>143.1</v>
      </c>
    </row>
    <row r="42" spans="1:4">
      <c r="A42" s="13">
        <v>34029</v>
      </c>
      <c r="B42" s="15">
        <v>18.79</v>
      </c>
      <c r="C42" s="15">
        <v>64.872</v>
      </c>
      <c r="D42" s="15">
        <v>143.6</v>
      </c>
    </row>
    <row r="43" spans="1:4">
      <c r="A43" s="13">
        <v>34060</v>
      </c>
      <c r="B43" s="15">
        <v>18.670000000000002</v>
      </c>
      <c r="C43" s="15">
        <v>65.061099999999996</v>
      </c>
      <c r="D43" s="15">
        <v>144</v>
      </c>
    </row>
    <row r="44" spans="1:4">
      <c r="A44" s="13">
        <v>34090</v>
      </c>
      <c r="B44" s="15">
        <v>18.510000000000002</v>
      </c>
      <c r="C44" s="15">
        <v>64.810400000000001</v>
      </c>
      <c r="D44" s="15">
        <v>144.19999999999999</v>
      </c>
    </row>
    <row r="45" spans="1:4">
      <c r="A45" s="13">
        <v>34121</v>
      </c>
      <c r="B45" s="15">
        <v>17.649999999999999</v>
      </c>
      <c r="C45" s="15">
        <v>64.955299999999994</v>
      </c>
      <c r="D45" s="15">
        <v>144.4</v>
      </c>
    </row>
    <row r="46" spans="1:4">
      <c r="A46" s="13">
        <v>34151</v>
      </c>
      <c r="B46" s="15">
        <v>16.78</v>
      </c>
      <c r="C46" s="15">
        <v>65.119799999999998</v>
      </c>
      <c r="D46" s="15">
        <v>144.4</v>
      </c>
    </row>
    <row r="47" spans="1:4">
      <c r="A47" s="13">
        <v>34182</v>
      </c>
      <c r="B47" s="15">
        <v>16.7</v>
      </c>
      <c r="C47" s="15">
        <v>65.049400000000006</v>
      </c>
      <c r="D47" s="15">
        <v>144.80000000000001</v>
      </c>
    </row>
    <row r="48" spans="1:4">
      <c r="A48" s="13">
        <v>34213</v>
      </c>
      <c r="B48" s="15">
        <v>16.010000000000002</v>
      </c>
      <c r="C48" s="15">
        <v>65.388199999999998</v>
      </c>
      <c r="D48" s="15">
        <v>145.1</v>
      </c>
    </row>
    <row r="49" spans="1:4">
      <c r="A49" s="13">
        <v>34243</v>
      </c>
      <c r="B49" s="15">
        <v>16.61</v>
      </c>
      <c r="C49" s="15">
        <v>65.870199999999997</v>
      </c>
      <c r="D49" s="15">
        <v>145.69999999999999</v>
      </c>
    </row>
    <row r="50" spans="1:4">
      <c r="A50" s="13">
        <v>34274</v>
      </c>
      <c r="B50" s="15">
        <v>15.2</v>
      </c>
      <c r="C50" s="15">
        <v>66.177899999999994</v>
      </c>
      <c r="D50" s="15">
        <v>145.80000000000001</v>
      </c>
    </row>
    <row r="51" spans="1:4">
      <c r="A51" s="13">
        <v>34304</v>
      </c>
      <c r="B51" s="15">
        <v>13.73</v>
      </c>
      <c r="C51" s="15">
        <v>66.560199999999995</v>
      </c>
      <c r="D51" s="15">
        <v>145.80000000000001</v>
      </c>
    </row>
    <row r="52" spans="1:4">
      <c r="A52" s="13">
        <v>34335</v>
      </c>
      <c r="B52" s="15">
        <v>14.29</v>
      </c>
      <c r="C52" s="15">
        <v>66.772199999999998</v>
      </c>
      <c r="D52" s="15">
        <v>146.19999999999999</v>
      </c>
    </row>
    <row r="53" spans="1:4">
      <c r="A53" s="13">
        <v>34366</v>
      </c>
      <c r="B53" s="15">
        <v>13.8</v>
      </c>
      <c r="C53" s="15">
        <v>66.806799999999996</v>
      </c>
      <c r="D53" s="15">
        <v>146.69999999999999</v>
      </c>
    </row>
    <row r="54" spans="1:4">
      <c r="A54" s="13">
        <v>34394</v>
      </c>
      <c r="B54" s="15">
        <v>13.82</v>
      </c>
      <c r="C54" s="15">
        <v>67.483199999999997</v>
      </c>
      <c r="D54" s="15">
        <v>147.19999999999999</v>
      </c>
    </row>
    <row r="55" spans="1:4">
      <c r="A55" s="13">
        <v>34425</v>
      </c>
      <c r="B55" s="15">
        <v>15.23</v>
      </c>
      <c r="C55" s="15">
        <v>67.877099999999999</v>
      </c>
      <c r="D55" s="15">
        <v>147.4</v>
      </c>
    </row>
    <row r="56" spans="1:4">
      <c r="A56" s="13">
        <v>34455</v>
      </c>
      <c r="B56" s="15">
        <v>16.190000000000001</v>
      </c>
      <c r="C56" s="15">
        <v>68.196100000000001</v>
      </c>
      <c r="D56" s="15">
        <v>147.5</v>
      </c>
    </row>
    <row r="57" spans="1:4">
      <c r="A57" s="13">
        <v>34486</v>
      </c>
      <c r="B57" s="15">
        <v>16.760000000000002</v>
      </c>
      <c r="C57" s="15">
        <v>68.652600000000007</v>
      </c>
      <c r="D57" s="15">
        <v>148</v>
      </c>
    </row>
    <row r="58" spans="1:4">
      <c r="A58" s="13">
        <v>34516</v>
      </c>
      <c r="B58" s="15">
        <v>17.600000000000001</v>
      </c>
      <c r="C58" s="15">
        <v>68.735299999999995</v>
      </c>
      <c r="D58" s="15">
        <v>148.4</v>
      </c>
    </row>
    <row r="59" spans="1:4">
      <c r="A59" s="13">
        <v>34547</v>
      </c>
      <c r="B59" s="15">
        <v>16.89</v>
      </c>
      <c r="C59" s="15">
        <v>69.195400000000006</v>
      </c>
      <c r="D59" s="15">
        <v>149</v>
      </c>
    </row>
    <row r="60" spans="1:4">
      <c r="A60" s="13">
        <v>34578</v>
      </c>
      <c r="B60" s="15">
        <v>15.9</v>
      </c>
      <c r="C60" s="15">
        <v>69.401700000000005</v>
      </c>
      <c r="D60" s="15">
        <v>149.4</v>
      </c>
    </row>
    <row r="61" spans="1:4">
      <c r="A61" s="13">
        <v>34608</v>
      </c>
      <c r="B61" s="15">
        <v>16.489999999999998</v>
      </c>
      <c r="C61" s="15">
        <v>69.968999999999994</v>
      </c>
      <c r="D61" s="15">
        <v>149.5</v>
      </c>
    </row>
    <row r="62" spans="1:4">
      <c r="A62" s="13">
        <v>34639</v>
      </c>
      <c r="B62" s="15">
        <v>17.190000000000001</v>
      </c>
      <c r="C62" s="15">
        <v>70.436700000000002</v>
      </c>
      <c r="D62" s="15">
        <v>149.69999999999999</v>
      </c>
    </row>
    <row r="63" spans="1:4">
      <c r="A63" s="13">
        <v>34669</v>
      </c>
      <c r="B63" s="15">
        <v>15.93</v>
      </c>
      <c r="C63" s="15">
        <v>71.141300000000001</v>
      </c>
      <c r="D63" s="15">
        <v>149.69999999999999</v>
      </c>
    </row>
    <row r="64" spans="1:4">
      <c r="A64" s="13">
        <v>34700</v>
      </c>
      <c r="B64" s="15">
        <v>16.55</v>
      </c>
      <c r="C64" s="15">
        <v>71.276200000000003</v>
      </c>
      <c r="D64" s="15">
        <v>150.30000000000001</v>
      </c>
    </row>
    <row r="65" spans="1:4">
      <c r="A65" s="13">
        <v>34731</v>
      </c>
      <c r="B65" s="15">
        <v>17.11</v>
      </c>
      <c r="C65" s="15">
        <v>71.190399999999997</v>
      </c>
      <c r="D65" s="15">
        <v>150.9</v>
      </c>
    </row>
    <row r="66" spans="1:4">
      <c r="A66" s="13">
        <v>34759</v>
      </c>
      <c r="B66" s="15">
        <v>17.010000000000002</v>
      </c>
      <c r="C66" s="15">
        <v>71.289100000000005</v>
      </c>
      <c r="D66" s="15">
        <v>151.4</v>
      </c>
    </row>
    <row r="67" spans="1:4">
      <c r="A67" s="13">
        <v>34790</v>
      </c>
      <c r="B67" s="15">
        <v>18.649999999999999</v>
      </c>
      <c r="C67" s="15">
        <v>71.162300000000002</v>
      </c>
      <c r="D67" s="15">
        <v>151.9</v>
      </c>
    </row>
    <row r="68" spans="1:4">
      <c r="A68" s="13">
        <v>34820</v>
      </c>
      <c r="B68" s="15">
        <v>18.350000000000001</v>
      </c>
      <c r="C68" s="15">
        <v>71.504400000000004</v>
      </c>
      <c r="D68" s="15">
        <v>152.19999999999999</v>
      </c>
    </row>
    <row r="69" spans="1:4">
      <c r="A69" s="13">
        <v>34851</v>
      </c>
      <c r="B69" s="15">
        <v>17.309999999999999</v>
      </c>
      <c r="C69" s="15">
        <v>71.742999999999995</v>
      </c>
      <c r="D69" s="15">
        <v>152.5</v>
      </c>
    </row>
    <row r="70" spans="1:4">
      <c r="A70" s="13">
        <v>34881</v>
      </c>
      <c r="B70" s="15">
        <v>15.85</v>
      </c>
      <c r="C70" s="15">
        <v>71.445899999999995</v>
      </c>
      <c r="D70" s="15">
        <v>152.5</v>
      </c>
    </row>
    <row r="71" spans="1:4">
      <c r="A71" s="13">
        <v>34912</v>
      </c>
      <c r="B71" s="15">
        <v>16.100000000000001</v>
      </c>
      <c r="C71" s="15">
        <v>72.38</v>
      </c>
      <c r="D71" s="15">
        <v>152.9</v>
      </c>
    </row>
    <row r="72" spans="1:4">
      <c r="A72" s="13">
        <v>34943</v>
      </c>
      <c r="B72" s="15">
        <v>16.7</v>
      </c>
      <c r="C72" s="15">
        <v>72.6601</v>
      </c>
      <c r="D72" s="15">
        <v>153.19999999999999</v>
      </c>
    </row>
    <row r="73" spans="1:4">
      <c r="A73" s="13">
        <v>34973</v>
      </c>
      <c r="B73" s="15">
        <v>16.11</v>
      </c>
      <c r="C73" s="15">
        <v>72.5428</v>
      </c>
      <c r="D73" s="15">
        <v>153.69999999999999</v>
      </c>
    </row>
    <row r="74" spans="1:4">
      <c r="A74" s="13">
        <v>35004</v>
      </c>
      <c r="B74" s="15">
        <v>16.86</v>
      </c>
      <c r="C74" s="15">
        <v>72.717799999999997</v>
      </c>
      <c r="D74" s="15">
        <v>153.6</v>
      </c>
    </row>
    <row r="75" spans="1:4">
      <c r="A75" s="13">
        <v>35034</v>
      </c>
      <c r="B75" s="15">
        <v>17.93</v>
      </c>
      <c r="C75" s="15">
        <v>72.967200000000005</v>
      </c>
      <c r="D75" s="15">
        <v>153.5</v>
      </c>
    </row>
    <row r="76" spans="1:4">
      <c r="A76" s="13">
        <v>35065</v>
      </c>
      <c r="B76" s="15">
        <v>17.850000000000001</v>
      </c>
      <c r="C76" s="15">
        <v>72.586600000000004</v>
      </c>
      <c r="D76" s="15">
        <v>154.4</v>
      </c>
    </row>
    <row r="77" spans="1:4">
      <c r="A77" s="13">
        <v>35096</v>
      </c>
      <c r="B77" s="15">
        <v>18</v>
      </c>
      <c r="C77" s="15">
        <v>73.638900000000007</v>
      </c>
      <c r="D77" s="15">
        <v>154.9</v>
      </c>
    </row>
    <row r="78" spans="1:4">
      <c r="A78" s="13">
        <v>35125</v>
      </c>
      <c r="B78" s="15">
        <v>19.850000000000001</v>
      </c>
      <c r="C78" s="15">
        <v>73.520200000000003</v>
      </c>
      <c r="D78" s="15">
        <v>155.69999999999999</v>
      </c>
    </row>
    <row r="79" spans="1:4">
      <c r="A79" s="13">
        <v>35156</v>
      </c>
      <c r="B79" s="15">
        <v>20.9</v>
      </c>
      <c r="C79" s="15">
        <v>74.266400000000004</v>
      </c>
      <c r="D79" s="15">
        <v>156.30000000000001</v>
      </c>
    </row>
    <row r="80" spans="1:4">
      <c r="A80" s="13">
        <v>35186</v>
      </c>
      <c r="B80" s="15">
        <v>19.149999999999999</v>
      </c>
      <c r="C80" s="15">
        <v>74.814499999999995</v>
      </c>
      <c r="D80" s="15">
        <v>156.6</v>
      </c>
    </row>
    <row r="81" spans="1:4">
      <c r="A81" s="13">
        <v>35217</v>
      </c>
      <c r="B81" s="15">
        <v>18.46</v>
      </c>
      <c r="C81" s="15">
        <v>75.377899999999997</v>
      </c>
      <c r="D81" s="15">
        <v>156.69999999999999</v>
      </c>
    </row>
    <row r="82" spans="1:4">
      <c r="A82" s="13">
        <v>35247</v>
      </c>
      <c r="B82" s="15">
        <v>19.57</v>
      </c>
      <c r="C82" s="15">
        <v>75.375399999999999</v>
      </c>
      <c r="D82" s="15">
        <v>157</v>
      </c>
    </row>
    <row r="83" spans="1:4">
      <c r="A83" s="13">
        <v>35278</v>
      </c>
      <c r="B83" s="15">
        <v>20.51</v>
      </c>
      <c r="C83" s="15">
        <v>75.756799999999998</v>
      </c>
      <c r="D83" s="15">
        <v>157.30000000000001</v>
      </c>
    </row>
    <row r="84" spans="1:4">
      <c r="A84" s="13">
        <v>35309</v>
      </c>
      <c r="B84" s="15">
        <v>22.63</v>
      </c>
      <c r="C84" s="15">
        <v>76.230400000000003</v>
      </c>
      <c r="D84" s="15">
        <v>157.80000000000001</v>
      </c>
    </row>
    <row r="85" spans="1:4">
      <c r="A85" s="13">
        <v>35339</v>
      </c>
      <c r="B85" s="15">
        <v>24.16</v>
      </c>
      <c r="C85" s="15">
        <v>76.219300000000004</v>
      </c>
      <c r="D85" s="15">
        <v>158.30000000000001</v>
      </c>
    </row>
    <row r="86" spans="1:4">
      <c r="A86" s="13">
        <v>35370</v>
      </c>
      <c r="B86" s="15">
        <v>22.76</v>
      </c>
      <c r="C86" s="15">
        <v>76.894099999999995</v>
      </c>
      <c r="D86" s="15">
        <v>158.6</v>
      </c>
    </row>
    <row r="87" spans="1:4">
      <c r="A87" s="13">
        <v>35400</v>
      </c>
      <c r="B87" s="15">
        <v>23.78</v>
      </c>
      <c r="C87" s="15">
        <v>77.373099999999994</v>
      </c>
      <c r="D87" s="15">
        <v>158.6</v>
      </c>
    </row>
    <row r="88" spans="1:4">
      <c r="A88" s="13">
        <v>35431</v>
      </c>
      <c r="B88" s="15">
        <v>23.54</v>
      </c>
      <c r="C88" s="15">
        <v>77.513800000000003</v>
      </c>
      <c r="D88" s="15">
        <v>159.1</v>
      </c>
    </row>
    <row r="89" spans="1:4">
      <c r="A89" s="13">
        <v>35462</v>
      </c>
      <c r="B89" s="15">
        <v>20.85</v>
      </c>
      <c r="C89" s="15">
        <v>78.424599999999998</v>
      </c>
      <c r="D89" s="15">
        <v>159.6</v>
      </c>
    </row>
    <row r="90" spans="1:4">
      <c r="A90" s="13">
        <v>35490</v>
      </c>
      <c r="B90" s="15">
        <v>19.13</v>
      </c>
      <c r="C90" s="15">
        <v>78.926599999999993</v>
      </c>
      <c r="D90" s="15">
        <v>160</v>
      </c>
    </row>
    <row r="91" spans="1:4">
      <c r="A91" s="13">
        <v>35521</v>
      </c>
      <c r="B91" s="15">
        <v>17.559999999999999</v>
      </c>
      <c r="C91" s="15">
        <v>78.992400000000004</v>
      </c>
      <c r="D91" s="15">
        <v>160.19999999999999</v>
      </c>
    </row>
    <row r="92" spans="1:4">
      <c r="A92" s="13">
        <v>35551</v>
      </c>
      <c r="B92" s="15">
        <v>19.02</v>
      </c>
      <c r="C92" s="15">
        <v>79.441100000000006</v>
      </c>
      <c r="D92" s="15">
        <v>160.1</v>
      </c>
    </row>
    <row r="93" spans="1:4">
      <c r="A93" s="13">
        <v>35582</v>
      </c>
      <c r="B93" s="15">
        <v>17.579999999999998</v>
      </c>
      <c r="C93" s="15">
        <v>79.8048</v>
      </c>
      <c r="D93" s="15">
        <v>160.30000000000001</v>
      </c>
    </row>
    <row r="94" spans="1:4">
      <c r="A94" s="13">
        <v>35612</v>
      </c>
      <c r="B94" s="15">
        <v>18.46</v>
      </c>
      <c r="C94" s="15">
        <v>80.48</v>
      </c>
      <c r="D94" s="15">
        <v>160.5</v>
      </c>
    </row>
    <row r="95" spans="1:4">
      <c r="A95" s="13">
        <v>35643</v>
      </c>
      <c r="B95" s="15">
        <v>18.600000000000001</v>
      </c>
      <c r="C95" s="15">
        <v>81.286199999999994</v>
      </c>
      <c r="D95" s="15">
        <v>160.80000000000001</v>
      </c>
    </row>
    <row r="96" spans="1:4">
      <c r="A96" s="13">
        <v>35674</v>
      </c>
      <c r="B96" s="15">
        <v>18.46</v>
      </c>
      <c r="C96" s="15">
        <v>82.037999999999997</v>
      </c>
      <c r="D96" s="15">
        <v>161.19999999999999</v>
      </c>
    </row>
    <row r="97" spans="1:4">
      <c r="A97" s="13">
        <v>35704</v>
      </c>
      <c r="B97" s="15">
        <v>19.87</v>
      </c>
      <c r="C97" s="15">
        <v>82.765699999999995</v>
      </c>
      <c r="D97" s="15">
        <v>161.6</v>
      </c>
    </row>
    <row r="98" spans="1:4">
      <c r="A98" s="13">
        <v>35735</v>
      </c>
      <c r="B98" s="15">
        <v>19.170000000000002</v>
      </c>
      <c r="C98" s="15">
        <v>83.432100000000005</v>
      </c>
      <c r="D98" s="15">
        <v>161.5</v>
      </c>
    </row>
    <row r="99" spans="1:4">
      <c r="A99" s="13">
        <v>35765</v>
      </c>
      <c r="B99" s="15">
        <v>17.18</v>
      </c>
      <c r="C99" s="15">
        <v>83.782600000000002</v>
      </c>
      <c r="D99" s="15">
        <v>161.30000000000001</v>
      </c>
    </row>
    <row r="100" spans="1:4">
      <c r="A100" s="13">
        <v>35796</v>
      </c>
      <c r="B100" s="15">
        <v>15.19</v>
      </c>
      <c r="C100" s="15">
        <v>84.165599999999998</v>
      </c>
      <c r="D100" s="15">
        <v>161.6</v>
      </c>
    </row>
    <row r="101" spans="1:4">
      <c r="A101" s="13">
        <v>35827</v>
      </c>
      <c r="B101" s="15">
        <v>14.07</v>
      </c>
      <c r="C101" s="15">
        <v>84.3048</v>
      </c>
      <c r="D101" s="15">
        <v>161.9</v>
      </c>
    </row>
    <row r="102" spans="1:4">
      <c r="A102" s="13">
        <v>35855</v>
      </c>
      <c r="B102" s="15">
        <v>13.1</v>
      </c>
      <c r="C102" s="15">
        <v>84.3416</v>
      </c>
      <c r="D102" s="15">
        <v>162.19999999999999</v>
      </c>
    </row>
    <row r="103" spans="1:4">
      <c r="A103" s="13">
        <v>35886</v>
      </c>
      <c r="B103" s="15">
        <v>13.53</v>
      </c>
      <c r="C103" s="15">
        <v>84.626300000000001</v>
      </c>
      <c r="D103" s="15">
        <v>162.5</v>
      </c>
    </row>
    <row r="104" spans="1:4">
      <c r="A104" s="13">
        <v>35916</v>
      </c>
      <c r="B104" s="15">
        <v>14.36</v>
      </c>
      <c r="C104" s="15">
        <v>85.183899999999994</v>
      </c>
      <c r="D104" s="15">
        <v>162.80000000000001</v>
      </c>
    </row>
    <row r="105" spans="1:4">
      <c r="A105" s="13">
        <v>35947</v>
      </c>
      <c r="B105" s="15">
        <v>12.21</v>
      </c>
      <c r="C105" s="15">
        <v>84.680899999999994</v>
      </c>
      <c r="D105" s="15">
        <v>163</v>
      </c>
    </row>
    <row r="106" spans="1:4">
      <c r="A106" s="13">
        <v>35977</v>
      </c>
      <c r="B106" s="15">
        <v>12.08</v>
      </c>
      <c r="C106" s="15">
        <v>84.344800000000006</v>
      </c>
      <c r="D106" s="15">
        <v>163.19999999999999</v>
      </c>
    </row>
    <row r="107" spans="1:4">
      <c r="A107" s="13">
        <v>36008</v>
      </c>
      <c r="B107" s="15">
        <v>11.91</v>
      </c>
      <c r="C107" s="15">
        <v>86.084599999999995</v>
      </c>
      <c r="D107" s="15">
        <v>163.4</v>
      </c>
    </row>
    <row r="108" spans="1:4">
      <c r="A108" s="13">
        <v>36039</v>
      </c>
      <c r="B108" s="15">
        <v>13.34</v>
      </c>
      <c r="C108" s="15">
        <v>85.994500000000002</v>
      </c>
      <c r="D108" s="15">
        <v>163.6</v>
      </c>
    </row>
    <row r="109" spans="1:4">
      <c r="A109" s="13">
        <v>36069</v>
      </c>
      <c r="B109" s="15">
        <v>12.7</v>
      </c>
      <c r="C109" s="15">
        <v>86.596699999999998</v>
      </c>
      <c r="D109" s="15">
        <v>164</v>
      </c>
    </row>
    <row r="110" spans="1:4">
      <c r="A110" s="13">
        <v>36100</v>
      </c>
      <c r="B110" s="15">
        <v>11.04</v>
      </c>
      <c r="C110" s="15">
        <v>86.511399999999995</v>
      </c>
      <c r="D110" s="15">
        <v>164</v>
      </c>
    </row>
    <row r="111" spans="1:4">
      <c r="A111" s="13">
        <v>36130</v>
      </c>
      <c r="B111" s="15">
        <v>9.82</v>
      </c>
      <c r="C111" s="15">
        <v>86.860799999999998</v>
      </c>
      <c r="D111" s="15">
        <v>163.9</v>
      </c>
    </row>
    <row r="112" spans="1:4">
      <c r="A112" s="13">
        <v>36161</v>
      </c>
      <c r="B112" s="15">
        <v>11.11</v>
      </c>
      <c r="C112" s="15">
        <v>87.227699999999999</v>
      </c>
      <c r="D112" s="15">
        <v>164.3</v>
      </c>
    </row>
    <row r="113" spans="1:4">
      <c r="A113" s="13">
        <v>36192</v>
      </c>
      <c r="B113" s="15">
        <v>10.27</v>
      </c>
      <c r="C113" s="15">
        <v>87.726600000000005</v>
      </c>
      <c r="D113" s="15">
        <v>164.5</v>
      </c>
    </row>
    <row r="114" spans="1:4">
      <c r="A114" s="13">
        <v>36220</v>
      </c>
      <c r="B114" s="15">
        <v>12.51</v>
      </c>
      <c r="C114" s="15">
        <v>87.920299999999997</v>
      </c>
      <c r="D114" s="15">
        <v>165</v>
      </c>
    </row>
    <row r="115" spans="1:4">
      <c r="A115" s="13">
        <v>36251</v>
      </c>
      <c r="B115" s="15">
        <v>15.29</v>
      </c>
      <c r="C115" s="15">
        <v>88.115300000000005</v>
      </c>
      <c r="D115" s="15">
        <v>166.2</v>
      </c>
    </row>
    <row r="116" spans="1:4">
      <c r="A116" s="13">
        <v>36281</v>
      </c>
      <c r="B116" s="15">
        <v>15.23</v>
      </c>
      <c r="C116" s="15">
        <v>88.6554</v>
      </c>
      <c r="D116" s="15">
        <v>166.2</v>
      </c>
    </row>
    <row r="117" spans="1:4">
      <c r="A117" s="13">
        <v>36312</v>
      </c>
      <c r="B117" s="15">
        <v>15.86</v>
      </c>
      <c r="C117" s="15">
        <v>88.595799999999997</v>
      </c>
      <c r="D117" s="15">
        <v>166.2</v>
      </c>
    </row>
    <row r="118" spans="1:4">
      <c r="A118" s="13">
        <v>36342</v>
      </c>
      <c r="B118" s="15">
        <v>19.079999999999998</v>
      </c>
      <c r="C118" s="15">
        <v>89.123500000000007</v>
      </c>
      <c r="D118" s="15">
        <v>166.7</v>
      </c>
    </row>
    <row r="119" spans="1:4">
      <c r="A119" s="13">
        <v>36373</v>
      </c>
      <c r="B119" s="15">
        <v>20.22</v>
      </c>
      <c r="C119" s="15">
        <v>89.511600000000001</v>
      </c>
      <c r="D119" s="15">
        <v>167.1</v>
      </c>
    </row>
    <row r="120" spans="1:4">
      <c r="A120" s="13">
        <v>36404</v>
      </c>
      <c r="B120" s="15">
        <v>22.54</v>
      </c>
      <c r="C120" s="15">
        <v>89.136099999999999</v>
      </c>
      <c r="D120" s="15">
        <v>167.9</v>
      </c>
    </row>
    <row r="121" spans="1:4">
      <c r="A121" s="13">
        <v>36434</v>
      </c>
      <c r="B121" s="15">
        <v>22</v>
      </c>
      <c r="C121" s="15">
        <v>90.284199999999998</v>
      </c>
      <c r="D121" s="15">
        <v>168.2</v>
      </c>
    </row>
    <row r="122" spans="1:4">
      <c r="A122" s="13">
        <v>36465</v>
      </c>
      <c r="B122" s="15">
        <v>24.58</v>
      </c>
      <c r="C122" s="15">
        <v>90.763099999999994</v>
      </c>
      <c r="D122" s="15">
        <v>168.3</v>
      </c>
    </row>
    <row r="123" spans="1:4">
      <c r="A123" s="13">
        <v>36495</v>
      </c>
      <c r="B123" s="15">
        <v>25.47</v>
      </c>
      <c r="C123" s="15">
        <v>91.492599999999996</v>
      </c>
      <c r="D123" s="15">
        <v>168.3</v>
      </c>
    </row>
    <row r="124" spans="1:4">
      <c r="A124" s="13">
        <v>36526</v>
      </c>
      <c r="B124" s="15">
        <v>25.51</v>
      </c>
      <c r="C124" s="15">
        <v>91.4251</v>
      </c>
      <c r="D124" s="15">
        <v>168.8</v>
      </c>
    </row>
    <row r="125" spans="1:4">
      <c r="A125" s="13">
        <v>36557</v>
      </c>
      <c r="B125" s="15">
        <v>27.78</v>
      </c>
      <c r="C125" s="15">
        <v>91.735699999999994</v>
      </c>
      <c r="D125" s="15">
        <v>169.8</v>
      </c>
    </row>
    <row r="126" spans="1:4">
      <c r="A126" s="13">
        <v>36586</v>
      </c>
      <c r="B126" s="15">
        <v>27.49</v>
      </c>
      <c r="C126" s="15">
        <v>92.093299999999999</v>
      </c>
      <c r="D126" s="15">
        <v>171.2</v>
      </c>
    </row>
    <row r="127" spans="1:4">
      <c r="A127" s="13">
        <v>36617</v>
      </c>
      <c r="B127" s="15">
        <v>22.76</v>
      </c>
      <c r="C127" s="15">
        <v>92.683800000000005</v>
      </c>
      <c r="D127" s="15">
        <v>171.3</v>
      </c>
    </row>
    <row r="128" spans="1:4">
      <c r="A128" s="13">
        <v>36647</v>
      </c>
      <c r="B128" s="15">
        <v>27.74</v>
      </c>
      <c r="C128" s="15">
        <v>92.937600000000003</v>
      </c>
      <c r="D128" s="15">
        <v>171.5</v>
      </c>
    </row>
    <row r="129" spans="1:4">
      <c r="A129" s="13">
        <v>36678</v>
      </c>
      <c r="B129" s="15">
        <v>29.8</v>
      </c>
      <c r="C129" s="15">
        <v>93.007599999999996</v>
      </c>
      <c r="D129" s="15">
        <v>172.4</v>
      </c>
    </row>
    <row r="130" spans="1:4">
      <c r="A130" s="13">
        <v>36708</v>
      </c>
      <c r="B130" s="15">
        <v>28.68</v>
      </c>
      <c r="C130" s="15">
        <v>92.845799999999997</v>
      </c>
      <c r="D130" s="15">
        <v>172.8</v>
      </c>
    </row>
    <row r="131" spans="1:4">
      <c r="A131" s="13">
        <v>36739</v>
      </c>
      <c r="B131" s="15">
        <v>30.2</v>
      </c>
      <c r="C131" s="15">
        <v>92.597200000000001</v>
      </c>
      <c r="D131" s="15">
        <v>172.8</v>
      </c>
    </row>
    <row r="132" spans="1:4">
      <c r="A132" s="13">
        <v>36770</v>
      </c>
      <c r="B132" s="15">
        <v>33.14</v>
      </c>
      <c r="C132" s="15">
        <v>92.965299999999999</v>
      </c>
      <c r="D132" s="15">
        <v>173.7</v>
      </c>
    </row>
    <row r="133" spans="1:4">
      <c r="A133" s="13">
        <v>36800</v>
      </c>
      <c r="B133" s="15">
        <v>30.96</v>
      </c>
      <c r="C133" s="15">
        <v>92.641800000000003</v>
      </c>
      <c r="D133" s="15">
        <v>174</v>
      </c>
    </row>
    <row r="134" spans="1:4">
      <c r="A134" s="13">
        <v>36831</v>
      </c>
      <c r="B134" s="15">
        <v>32.549999999999997</v>
      </c>
      <c r="C134" s="15">
        <v>92.661799999999999</v>
      </c>
      <c r="D134" s="15">
        <v>174.1</v>
      </c>
    </row>
    <row r="135" spans="1:4">
      <c r="A135" s="13">
        <v>36861</v>
      </c>
      <c r="B135" s="15">
        <v>25.66</v>
      </c>
      <c r="C135" s="15">
        <v>92.3459</v>
      </c>
      <c r="D135" s="15">
        <v>174</v>
      </c>
    </row>
    <row r="136" spans="1:4">
      <c r="A136" s="13">
        <v>36892</v>
      </c>
      <c r="B136" s="15">
        <v>25.62</v>
      </c>
      <c r="C136" s="15">
        <v>91.890299999999996</v>
      </c>
      <c r="D136" s="15">
        <v>175.1</v>
      </c>
    </row>
    <row r="137" spans="1:4">
      <c r="A137" s="13">
        <v>36923</v>
      </c>
      <c r="B137" s="15">
        <v>27.5</v>
      </c>
      <c r="C137" s="15">
        <v>91.291499999999999</v>
      </c>
      <c r="D137" s="15">
        <v>175.8</v>
      </c>
    </row>
    <row r="138" spans="1:4">
      <c r="A138" s="13">
        <v>36951</v>
      </c>
      <c r="B138" s="15">
        <v>24.5</v>
      </c>
      <c r="C138" s="15">
        <v>91.052599999999998</v>
      </c>
      <c r="D138" s="15">
        <v>176.2</v>
      </c>
    </row>
    <row r="139" spans="1:4">
      <c r="A139" s="13">
        <v>36982</v>
      </c>
      <c r="B139" s="15">
        <v>25.66</v>
      </c>
      <c r="C139" s="15">
        <v>90.729299999999995</v>
      </c>
      <c r="D139" s="15">
        <v>176.9</v>
      </c>
    </row>
    <row r="140" spans="1:4">
      <c r="A140" s="13">
        <v>37012</v>
      </c>
      <c r="B140" s="15">
        <v>28.31</v>
      </c>
      <c r="C140" s="15">
        <v>90.2577</v>
      </c>
      <c r="D140" s="15">
        <v>177.7</v>
      </c>
    </row>
    <row r="141" spans="1:4">
      <c r="A141" s="13">
        <v>37043</v>
      </c>
      <c r="B141" s="15">
        <v>27.85</v>
      </c>
      <c r="C141" s="15">
        <v>89.767700000000005</v>
      </c>
      <c r="D141" s="15">
        <v>178</v>
      </c>
    </row>
    <row r="142" spans="1:4">
      <c r="A142" s="13">
        <v>37073</v>
      </c>
      <c r="B142" s="15">
        <v>24.61</v>
      </c>
      <c r="C142" s="15">
        <v>89.225999999999999</v>
      </c>
      <c r="D142" s="15">
        <v>177.5</v>
      </c>
    </row>
    <row r="143" spans="1:4">
      <c r="A143" s="13">
        <v>37104</v>
      </c>
      <c r="B143" s="15">
        <v>25.68</v>
      </c>
      <c r="C143" s="15">
        <v>89.132599999999996</v>
      </c>
      <c r="D143" s="15">
        <v>177.5</v>
      </c>
    </row>
    <row r="144" spans="1:4">
      <c r="A144" s="13">
        <v>37135</v>
      </c>
      <c r="B144" s="15">
        <v>25.62</v>
      </c>
      <c r="C144" s="15">
        <v>88.667900000000003</v>
      </c>
      <c r="D144" s="15">
        <v>178.3</v>
      </c>
    </row>
    <row r="145" spans="1:4">
      <c r="A145" s="13">
        <v>37165</v>
      </c>
      <c r="B145" s="15">
        <v>20.54</v>
      </c>
      <c r="C145" s="15">
        <v>88.392600000000002</v>
      </c>
      <c r="D145" s="15">
        <v>177.7</v>
      </c>
    </row>
    <row r="146" spans="1:4">
      <c r="A146" s="13">
        <v>37196</v>
      </c>
      <c r="B146" s="15">
        <v>18.8</v>
      </c>
      <c r="C146" s="15">
        <v>87.877399999999994</v>
      </c>
      <c r="D146" s="15">
        <v>177.4</v>
      </c>
    </row>
    <row r="147" spans="1:4">
      <c r="A147" s="13">
        <v>37226</v>
      </c>
      <c r="B147" s="15">
        <v>18.71</v>
      </c>
      <c r="C147" s="15">
        <v>87.834400000000002</v>
      </c>
      <c r="D147" s="15">
        <v>176.7</v>
      </c>
    </row>
    <row r="148" spans="1:4">
      <c r="A148" s="13">
        <v>37257</v>
      </c>
      <c r="B148" s="15">
        <v>19.420000000000002</v>
      </c>
      <c r="C148" s="15">
        <v>88.466499999999996</v>
      </c>
      <c r="D148" s="15">
        <v>177.1</v>
      </c>
    </row>
    <row r="149" spans="1:4">
      <c r="A149" s="13">
        <v>37288</v>
      </c>
      <c r="B149" s="15">
        <v>20.28</v>
      </c>
      <c r="C149" s="15">
        <v>88.466099999999997</v>
      </c>
      <c r="D149" s="15">
        <v>177.8</v>
      </c>
    </row>
    <row r="150" spans="1:4">
      <c r="A150" s="13">
        <v>37316</v>
      </c>
      <c r="B150" s="15">
        <v>23.7</v>
      </c>
      <c r="C150" s="15">
        <v>89.122799999999998</v>
      </c>
      <c r="D150" s="15">
        <v>178.8</v>
      </c>
    </row>
    <row r="151" spans="1:4">
      <c r="A151" s="13">
        <v>37347</v>
      </c>
      <c r="B151" s="15">
        <v>25.73</v>
      </c>
      <c r="C151" s="15">
        <v>89.553200000000004</v>
      </c>
      <c r="D151" s="15">
        <v>179.8</v>
      </c>
    </row>
    <row r="152" spans="1:4">
      <c r="A152" s="13">
        <v>37377</v>
      </c>
      <c r="B152" s="15">
        <v>25.35</v>
      </c>
      <c r="C152" s="15">
        <v>89.933999999999997</v>
      </c>
      <c r="D152" s="15">
        <v>179.8</v>
      </c>
    </row>
    <row r="153" spans="1:4">
      <c r="A153" s="13">
        <v>37408</v>
      </c>
      <c r="B153" s="15">
        <v>24.08</v>
      </c>
      <c r="C153" s="15">
        <v>90.676900000000003</v>
      </c>
      <c r="D153" s="15">
        <v>179.9</v>
      </c>
    </row>
    <row r="154" spans="1:4">
      <c r="A154" s="13">
        <v>37438</v>
      </c>
      <c r="B154" s="15">
        <v>25.74</v>
      </c>
      <c r="C154" s="15">
        <v>90.645499999999998</v>
      </c>
      <c r="D154" s="15">
        <v>180.1</v>
      </c>
    </row>
    <row r="155" spans="1:4">
      <c r="A155" s="13">
        <v>37469</v>
      </c>
      <c r="B155" s="15">
        <v>26.65</v>
      </c>
      <c r="C155" s="15">
        <v>90.547499999999999</v>
      </c>
      <c r="D155" s="15">
        <v>180.7</v>
      </c>
    </row>
    <row r="156" spans="1:4">
      <c r="A156" s="13">
        <v>37500</v>
      </c>
      <c r="B156" s="15">
        <v>28.4</v>
      </c>
      <c r="C156" s="15">
        <v>90.638099999999994</v>
      </c>
      <c r="D156" s="15">
        <v>181</v>
      </c>
    </row>
    <row r="157" spans="1:4">
      <c r="A157" s="13">
        <v>37530</v>
      </c>
      <c r="B157" s="15">
        <v>27.54</v>
      </c>
      <c r="C157" s="15">
        <v>90.4041</v>
      </c>
      <c r="D157" s="15">
        <v>181.3</v>
      </c>
    </row>
    <row r="158" spans="1:4">
      <c r="A158" s="13">
        <v>37561</v>
      </c>
      <c r="B158" s="15">
        <v>24.34</v>
      </c>
      <c r="C158" s="15">
        <v>90.898499999999999</v>
      </c>
      <c r="D158" s="15">
        <v>181.3</v>
      </c>
    </row>
    <row r="159" spans="1:4">
      <c r="A159" s="13">
        <v>37591</v>
      </c>
      <c r="B159" s="15">
        <v>28.33</v>
      </c>
      <c r="C159" s="15">
        <v>90.388999999999996</v>
      </c>
      <c r="D159" s="15">
        <v>180.9</v>
      </c>
    </row>
    <row r="160" spans="1:4">
      <c r="A160" s="13">
        <v>37622</v>
      </c>
      <c r="B160" s="15">
        <v>31.18</v>
      </c>
      <c r="C160" s="15">
        <v>91.135499999999993</v>
      </c>
      <c r="D160" s="15">
        <v>181.7</v>
      </c>
    </row>
    <row r="161" spans="1:4">
      <c r="A161" s="13">
        <v>37653</v>
      </c>
      <c r="B161" s="15">
        <v>32.770000000000003</v>
      </c>
      <c r="C161" s="15">
        <v>91.250200000000007</v>
      </c>
      <c r="D161" s="15">
        <v>183.1</v>
      </c>
    </row>
    <row r="162" spans="1:4">
      <c r="A162" s="13">
        <v>37681</v>
      </c>
      <c r="B162" s="15">
        <v>30.61</v>
      </c>
      <c r="C162" s="15">
        <v>91.005899999999997</v>
      </c>
      <c r="D162" s="15">
        <v>184.2</v>
      </c>
    </row>
    <row r="163" spans="1:4">
      <c r="A163" s="13">
        <v>37712</v>
      </c>
      <c r="B163" s="15">
        <v>25</v>
      </c>
      <c r="C163" s="15">
        <v>90.428100000000001</v>
      </c>
      <c r="D163" s="15">
        <v>183.8</v>
      </c>
    </row>
    <row r="164" spans="1:4">
      <c r="A164" s="13">
        <v>37742</v>
      </c>
      <c r="B164" s="15">
        <v>25.86</v>
      </c>
      <c r="C164" s="15">
        <v>90.407300000000006</v>
      </c>
      <c r="D164" s="15">
        <v>183.5</v>
      </c>
    </row>
    <row r="165" spans="1:4">
      <c r="A165" s="13">
        <v>37773</v>
      </c>
      <c r="B165" s="15">
        <v>27.65</v>
      </c>
      <c r="C165" s="15">
        <v>90.521799999999999</v>
      </c>
      <c r="D165" s="15">
        <v>183.7</v>
      </c>
    </row>
    <row r="166" spans="1:4">
      <c r="A166" s="13">
        <v>37803</v>
      </c>
      <c r="B166" s="15">
        <v>28.35</v>
      </c>
      <c r="C166" s="15">
        <v>90.989599999999996</v>
      </c>
      <c r="D166" s="15">
        <v>183.9</v>
      </c>
    </row>
    <row r="167" spans="1:4">
      <c r="A167" s="13">
        <v>37834</v>
      </c>
      <c r="B167" s="15">
        <v>29.89</v>
      </c>
      <c r="C167" s="15">
        <v>90.785799999999995</v>
      </c>
      <c r="D167" s="15">
        <v>184.6</v>
      </c>
    </row>
    <row r="168" spans="1:4">
      <c r="A168" s="13">
        <v>37865</v>
      </c>
      <c r="B168" s="15">
        <v>27.11</v>
      </c>
      <c r="C168" s="15">
        <v>91.382900000000006</v>
      </c>
      <c r="D168" s="15">
        <v>185.2</v>
      </c>
    </row>
    <row r="169" spans="1:4">
      <c r="A169" s="13">
        <v>37895</v>
      </c>
      <c r="B169" s="15">
        <v>29.61</v>
      </c>
      <c r="C169" s="15">
        <v>91.500500000000002</v>
      </c>
      <c r="D169" s="15">
        <v>185</v>
      </c>
    </row>
    <row r="170" spans="1:4">
      <c r="A170" s="13">
        <v>37926</v>
      </c>
      <c r="B170" s="15">
        <v>28.75</v>
      </c>
      <c r="C170" s="15">
        <v>92.126499999999993</v>
      </c>
      <c r="D170" s="15">
        <v>184.5</v>
      </c>
    </row>
    <row r="171" spans="1:4">
      <c r="A171" s="13">
        <v>37956</v>
      </c>
      <c r="B171" s="15">
        <v>29.81</v>
      </c>
      <c r="C171" s="15">
        <v>92.172200000000004</v>
      </c>
      <c r="D171" s="15">
        <v>184.3</v>
      </c>
    </row>
    <row r="172" spans="1:4">
      <c r="A172" s="13">
        <v>37987</v>
      </c>
      <c r="B172" s="15">
        <v>31.28</v>
      </c>
      <c r="C172" s="15">
        <v>92.326999999999998</v>
      </c>
      <c r="D172" s="15">
        <v>185.2</v>
      </c>
    </row>
    <row r="173" spans="1:4">
      <c r="A173" s="13">
        <v>38018</v>
      </c>
      <c r="B173" s="15">
        <v>30.86</v>
      </c>
      <c r="C173" s="15">
        <v>92.887299999999996</v>
      </c>
      <c r="D173" s="15">
        <v>186.2</v>
      </c>
    </row>
    <row r="174" spans="1:4">
      <c r="A174" s="13">
        <v>38047</v>
      </c>
      <c r="B174" s="15">
        <v>33.630000000000003</v>
      </c>
      <c r="C174" s="15">
        <v>92.532499999999999</v>
      </c>
      <c r="D174" s="15">
        <v>187.4</v>
      </c>
    </row>
    <row r="175" spans="1:4">
      <c r="A175" s="13">
        <v>38078</v>
      </c>
      <c r="B175" s="15">
        <v>33.590000000000003</v>
      </c>
      <c r="C175" s="15">
        <v>92.909599999999998</v>
      </c>
      <c r="D175" s="15">
        <v>188</v>
      </c>
    </row>
    <row r="176" spans="1:4">
      <c r="A176" s="13">
        <v>38108</v>
      </c>
      <c r="B176" s="15">
        <v>37.57</v>
      </c>
      <c r="C176" s="15">
        <v>93.583799999999997</v>
      </c>
      <c r="D176" s="15">
        <v>189.1</v>
      </c>
    </row>
    <row r="177" spans="1:4">
      <c r="A177" s="13">
        <v>38139</v>
      </c>
      <c r="B177" s="15">
        <v>35.18</v>
      </c>
      <c r="C177" s="15">
        <v>92.862099999999998</v>
      </c>
      <c r="D177" s="15">
        <v>189.7</v>
      </c>
    </row>
    <row r="178" spans="1:4">
      <c r="A178" s="13">
        <v>38169</v>
      </c>
      <c r="B178" s="15">
        <v>38.22</v>
      </c>
      <c r="C178" s="15">
        <v>93.551100000000005</v>
      </c>
      <c r="D178" s="15">
        <v>189.4</v>
      </c>
    </row>
    <row r="179" spans="1:4">
      <c r="A179" s="13">
        <v>38200</v>
      </c>
      <c r="B179" s="15">
        <v>42.74</v>
      </c>
      <c r="C179" s="15">
        <v>93.632800000000003</v>
      </c>
      <c r="D179" s="15">
        <v>189.5</v>
      </c>
    </row>
    <row r="180" spans="1:4">
      <c r="A180" s="13">
        <v>38231</v>
      </c>
      <c r="B180" s="15">
        <v>43.2</v>
      </c>
      <c r="C180" s="15">
        <v>93.741799999999998</v>
      </c>
      <c r="D180" s="15">
        <v>189.9</v>
      </c>
    </row>
    <row r="181" spans="1:4">
      <c r="A181" s="13">
        <v>38261</v>
      </c>
      <c r="B181" s="15">
        <v>49.78</v>
      </c>
      <c r="C181" s="15">
        <v>94.567099999999996</v>
      </c>
      <c r="D181" s="15">
        <v>190.9</v>
      </c>
    </row>
    <row r="182" spans="1:4">
      <c r="A182" s="13">
        <v>38292</v>
      </c>
      <c r="B182" s="15">
        <v>43.11</v>
      </c>
      <c r="C182" s="15">
        <v>94.8</v>
      </c>
      <c r="D182" s="15">
        <v>191</v>
      </c>
    </row>
    <row r="183" spans="1:4">
      <c r="A183" s="13">
        <v>38322</v>
      </c>
      <c r="B183" s="15">
        <v>39.6</v>
      </c>
      <c r="C183" s="15">
        <v>95.542599999999993</v>
      </c>
      <c r="D183" s="15">
        <v>190.3</v>
      </c>
    </row>
    <row r="184" spans="1:4">
      <c r="A184" s="13">
        <v>38353</v>
      </c>
      <c r="B184" s="15">
        <v>44.51</v>
      </c>
      <c r="C184" s="15">
        <v>95.883099999999999</v>
      </c>
      <c r="D184" s="15">
        <v>190.7</v>
      </c>
    </row>
    <row r="185" spans="1:4">
      <c r="A185" s="13">
        <v>38384</v>
      </c>
      <c r="B185" s="15">
        <v>45.48</v>
      </c>
      <c r="C185" s="15">
        <v>96.561599999999999</v>
      </c>
      <c r="D185" s="15">
        <v>191.8</v>
      </c>
    </row>
    <row r="186" spans="1:4">
      <c r="A186" s="13">
        <v>38412</v>
      </c>
      <c r="B186" s="15">
        <v>53.1</v>
      </c>
      <c r="C186" s="15">
        <v>96.437100000000001</v>
      </c>
      <c r="D186" s="15">
        <v>193.3</v>
      </c>
    </row>
    <row r="187" spans="1:4">
      <c r="A187" s="13">
        <v>38443</v>
      </c>
      <c r="B187" s="15">
        <v>51.88</v>
      </c>
      <c r="C187" s="15">
        <v>96.628</v>
      </c>
      <c r="D187" s="15">
        <v>194.6</v>
      </c>
    </row>
    <row r="188" spans="1:4">
      <c r="A188" s="13">
        <v>38473</v>
      </c>
      <c r="B188" s="15">
        <v>48.65</v>
      </c>
      <c r="C188" s="15">
        <v>96.730599999999995</v>
      </c>
      <c r="D188" s="15">
        <v>194.4</v>
      </c>
    </row>
    <row r="189" spans="1:4">
      <c r="A189" s="13">
        <v>38504</v>
      </c>
      <c r="B189" s="15">
        <v>54.35</v>
      </c>
      <c r="C189" s="15">
        <v>97.148799999999994</v>
      </c>
      <c r="D189" s="15">
        <v>194.5</v>
      </c>
    </row>
    <row r="190" spans="1:4">
      <c r="A190" s="13">
        <v>38534</v>
      </c>
      <c r="B190" s="15">
        <v>57.52</v>
      </c>
      <c r="C190" s="15">
        <v>96.838300000000004</v>
      </c>
      <c r="D190" s="15">
        <v>195.4</v>
      </c>
    </row>
    <row r="191" spans="1:4">
      <c r="A191" s="13">
        <v>38565</v>
      </c>
      <c r="B191" s="15">
        <v>63.98</v>
      </c>
      <c r="C191" s="15">
        <v>97.160300000000007</v>
      </c>
      <c r="D191" s="15">
        <v>196.4</v>
      </c>
    </row>
    <row r="192" spans="1:4">
      <c r="A192" s="13">
        <v>38596</v>
      </c>
      <c r="B192" s="15">
        <v>62.91</v>
      </c>
      <c r="C192" s="15">
        <v>95.272900000000007</v>
      </c>
      <c r="D192" s="15">
        <v>198.8</v>
      </c>
    </row>
    <row r="193" spans="1:4">
      <c r="A193" s="13">
        <v>38626</v>
      </c>
      <c r="B193" s="15">
        <v>58.54</v>
      </c>
      <c r="C193" s="15">
        <v>96.438299999999998</v>
      </c>
      <c r="D193" s="15">
        <v>199.2</v>
      </c>
    </row>
    <row r="194" spans="1:4">
      <c r="A194" s="13">
        <v>38657</v>
      </c>
      <c r="B194" s="15">
        <v>55.24</v>
      </c>
      <c r="C194" s="15">
        <v>97.495099999999994</v>
      </c>
      <c r="D194" s="15">
        <v>197.6</v>
      </c>
    </row>
    <row r="195" spans="1:4">
      <c r="A195" s="13">
        <v>38687</v>
      </c>
      <c r="B195" s="15">
        <v>56.86</v>
      </c>
      <c r="C195" s="15">
        <v>97.978800000000007</v>
      </c>
      <c r="D195" s="15">
        <v>196.8</v>
      </c>
    </row>
    <row r="196" spans="1:4">
      <c r="A196" s="13">
        <v>38718</v>
      </c>
      <c r="B196" s="15">
        <v>62.99</v>
      </c>
      <c r="C196" s="15">
        <v>98.1999</v>
      </c>
      <c r="D196" s="15">
        <v>198.3</v>
      </c>
    </row>
    <row r="197" spans="1:4">
      <c r="A197" s="13">
        <v>38749</v>
      </c>
      <c r="B197" s="15">
        <v>60.21</v>
      </c>
      <c r="C197" s="15">
        <v>98.241299999999995</v>
      </c>
      <c r="D197" s="15">
        <v>198.7</v>
      </c>
    </row>
    <row r="198" spans="1:4">
      <c r="A198" s="13">
        <v>38777</v>
      </c>
      <c r="B198" s="15">
        <v>62.06</v>
      </c>
      <c r="C198" s="15">
        <v>98.462800000000001</v>
      </c>
      <c r="D198" s="15">
        <v>199.8</v>
      </c>
    </row>
    <row r="199" spans="1:4">
      <c r="A199" s="13">
        <v>38808</v>
      </c>
      <c r="B199" s="15">
        <v>70.260000000000005</v>
      </c>
      <c r="C199" s="15">
        <v>98.761799999999994</v>
      </c>
      <c r="D199" s="15">
        <v>201.5</v>
      </c>
    </row>
    <row r="200" spans="1:4">
      <c r="A200" s="13">
        <v>38838</v>
      </c>
      <c r="B200" s="15">
        <v>69.78</v>
      </c>
      <c r="C200" s="15">
        <v>98.786900000000003</v>
      </c>
      <c r="D200" s="15">
        <v>202.5</v>
      </c>
    </row>
    <row r="201" spans="1:4">
      <c r="A201" s="13">
        <v>38869</v>
      </c>
      <c r="B201" s="15">
        <v>68.56</v>
      </c>
      <c r="C201" s="15">
        <v>99.099699999999999</v>
      </c>
      <c r="D201" s="15">
        <v>202.9</v>
      </c>
    </row>
    <row r="202" spans="1:4">
      <c r="A202" s="13">
        <v>38899</v>
      </c>
      <c r="B202" s="15">
        <v>73.67</v>
      </c>
      <c r="C202" s="15">
        <v>99.048900000000003</v>
      </c>
      <c r="D202" s="15">
        <v>203.5</v>
      </c>
    </row>
    <row r="203" spans="1:4">
      <c r="A203" s="13">
        <v>38930</v>
      </c>
      <c r="B203" s="15">
        <v>73.23</v>
      </c>
      <c r="C203" s="15">
        <v>99.483599999999996</v>
      </c>
      <c r="D203" s="15">
        <v>203.9</v>
      </c>
    </row>
    <row r="204" spans="1:4">
      <c r="A204" s="13">
        <v>38961</v>
      </c>
      <c r="B204" s="15">
        <v>61.96</v>
      </c>
      <c r="C204" s="15">
        <v>99.318299999999994</v>
      </c>
      <c r="D204" s="15">
        <v>202.9</v>
      </c>
    </row>
    <row r="205" spans="1:4">
      <c r="A205" s="13">
        <v>38991</v>
      </c>
      <c r="B205" s="15">
        <v>57.81</v>
      </c>
      <c r="C205" s="15">
        <v>99.204400000000007</v>
      </c>
      <c r="D205" s="15">
        <v>201.8</v>
      </c>
    </row>
    <row r="206" spans="1:4">
      <c r="A206" s="13">
        <v>39022</v>
      </c>
      <c r="B206" s="15">
        <v>58.76</v>
      </c>
      <c r="C206" s="15">
        <v>99.162700000000001</v>
      </c>
      <c r="D206" s="15">
        <v>201.5</v>
      </c>
    </row>
    <row r="207" spans="1:4">
      <c r="A207" s="13">
        <v>39052</v>
      </c>
      <c r="B207" s="15">
        <v>62.47</v>
      </c>
      <c r="C207" s="15">
        <v>100.1735</v>
      </c>
      <c r="D207" s="15">
        <v>201.8</v>
      </c>
    </row>
    <row r="208" spans="1:4">
      <c r="A208" s="13">
        <v>39083</v>
      </c>
      <c r="B208" s="15">
        <v>53.68</v>
      </c>
      <c r="C208" s="15">
        <v>99.834599999999995</v>
      </c>
      <c r="D208" s="15">
        <v>202.416</v>
      </c>
    </row>
    <row r="209" spans="1:4">
      <c r="A209" s="13">
        <v>39114</v>
      </c>
      <c r="B209" s="15">
        <v>57.56</v>
      </c>
      <c r="C209" s="15">
        <v>100.7753</v>
      </c>
      <c r="D209" s="15">
        <v>203.499</v>
      </c>
    </row>
    <row r="210" spans="1:4">
      <c r="A210" s="13">
        <v>39142</v>
      </c>
      <c r="B210" s="15">
        <v>62.05</v>
      </c>
      <c r="C210" s="15">
        <v>100.9547</v>
      </c>
      <c r="D210" s="15">
        <v>205.352</v>
      </c>
    </row>
    <row r="211" spans="1:4">
      <c r="A211" s="13">
        <v>39173</v>
      </c>
      <c r="B211" s="15">
        <v>67.489999999999995</v>
      </c>
      <c r="C211" s="15">
        <v>101.63339999999999</v>
      </c>
      <c r="D211" s="15">
        <v>206.68600000000001</v>
      </c>
    </row>
    <row r="212" spans="1:4">
      <c r="A212" s="13">
        <v>39203</v>
      </c>
      <c r="B212" s="15">
        <v>67.209999999999994</v>
      </c>
      <c r="C212" s="15">
        <v>101.7306</v>
      </c>
      <c r="D212" s="15">
        <v>207.94900000000001</v>
      </c>
    </row>
    <row r="213" spans="1:4">
      <c r="A213" s="13">
        <v>39234</v>
      </c>
      <c r="B213" s="15">
        <v>71.05</v>
      </c>
      <c r="C213" s="15">
        <v>101.7893</v>
      </c>
      <c r="D213" s="15">
        <v>208.352</v>
      </c>
    </row>
    <row r="214" spans="1:4">
      <c r="A214" s="13">
        <v>39264</v>
      </c>
      <c r="B214" s="15">
        <v>76.930000000000007</v>
      </c>
      <c r="C214" s="15">
        <v>101.66719999999999</v>
      </c>
      <c r="D214" s="15">
        <v>208.29900000000001</v>
      </c>
    </row>
    <row r="215" spans="1:4">
      <c r="A215" s="13">
        <v>39295</v>
      </c>
      <c r="B215" s="15">
        <v>70.760000000000005</v>
      </c>
      <c r="C215" s="15">
        <v>101.863</v>
      </c>
      <c r="D215" s="15">
        <v>207.917</v>
      </c>
    </row>
    <row r="216" spans="1:4">
      <c r="A216" s="13">
        <v>39326</v>
      </c>
      <c r="B216" s="15">
        <v>77.17</v>
      </c>
      <c r="C216" s="15">
        <v>102.0894</v>
      </c>
      <c r="D216" s="15">
        <v>208.49</v>
      </c>
    </row>
    <row r="217" spans="1:4">
      <c r="A217" s="13">
        <v>39356</v>
      </c>
      <c r="B217" s="15">
        <v>82.34</v>
      </c>
      <c r="C217" s="15">
        <v>101.8015</v>
      </c>
      <c r="D217" s="15">
        <v>208.93600000000001</v>
      </c>
    </row>
    <row r="218" spans="1:4">
      <c r="A218" s="13">
        <v>39387</v>
      </c>
      <c r="B218" s="15">
        <v>92.41</v>
      </c>
      <c r="C218" s="15">
        <v>102.3446</v>
      </c>
      <c r="D218" s="15">
        <v>210.17699999999999</v>
      </c>
    </row>
    <row r="219" spans="1:4">
      <c r="A219" s="13">
        <v>39417</v>
      </c>
      <c r="B219" s="15">
        <v>90.93</v>
      </c>
      <c r="C219" s="15">
        <v>102.38030000000001</v>
      </c>
      <c r="D219" s="15">
        <v>210.036</v>
      </c>
    </row>
    <row r="220" spans="1:4">
      <c r="A220" s="13">
        <v>39448</v>
      </c>
      <c r="B220" s="15">
        <v>92.18</v>
      </c>
      <c r="C220" s="15">
        <v>102.2448</v>
      </c>
      <c r="D220" s="15">
        <v>211.08</v>
      </c>
    </row>
    <row r="221" spans="1:4">
      <c r="A221" s="13">
        <v>39479</v>
      </c>
      <c r="B221" s="15">
        <v>94.99</v>
      </c>
      <c r="C221" s="15">
        <v>101.8438</v>
      </c>
      <c r="D221" s="15">
        <v>211.69300000000001</v>
      </c>
    </row>
    <row r="222" spans="1:4">
      <c r="A222" s="13">
        <v>39508</v>
      </c>
      <c r="B222" s="15">
        <v>103.64</v>
      </c>
      <c r="C222" s="15">
        <v>101.53360000000001</v>
      </c>
      <c r="D222" s="15">
        <v>213.52799999999999</v>
      </c>
    </row>
    <row r="223" spans="1:4">
      <c r="A223" s="13">
        <v>39539</v>
      </c>
      <c r="B223" s="15">
        <v>109.07</v>
      </c>
      <c r="C223" s="15">
        <v>100.8785</v>
      </c>
      <c r="D223" s="15">
        <v>214.82300000000001</v>
      </c>
    </row>
    <row r="224" spans="1:4">
      <c r="A224" s="13">
        <v>39569</v>
      </c>
      <c r="B224" s="15">
        <v>122.8</v>
      </c>
      <c r="C224" s="15">
        <v>100.26739999999999</v>
      </c>
      <c r="D224" s="15">
        <v>216.63200000000001</v>
      </c>
    </row>
    <row r="225" spans="1:4">
      <c r="A225" s="13">
        <v>39600</v>
      </c>
      <c r="B225" s="15">
        <v>132.32</v>
      </c>
      <c r="C225" s="15">
        <v>100.0335</v>
      </c>
      <c r="D225" s="15">
        <v>218.815</v>
      </c>
    </row>
    <row r="226" spans="1:4">
      <c r="A226" s="13">
        <v>39630</v>
      </c>
      <c r="B226" s="15">
        <v>132.72</v>
      </c>
      <c r="C226" s="15">
        <v>99.676000000000002</v>
      </c>
      <c r="D226" s="15">
        <v>219.964</v>
      </c>
    </row>
    <row r="227" spans="1:4">
      <c r="A227" s="13">
        <v>39661</v>
      </c>
      <c r="B227" s="15">
        <v>113.24</v>
      </c>
      <c r="C227" s="15">
        <v>98.111099999999993</v>
      </c>
      <c r="D227" s="15">
        <v>219.08600000000001</v>
      </c>
    </row>
    <row r="228" spans="1:4">
      <c r="A228" s="13">
        <v>39692</v>
      </c>
      <c r="B228" s="15">
        <v>97.23</v>
      </c>
      <c r="C228" s="15">
        <v>93.789500000000004</v>
      </c>
      <c r="D228" s="15">
        <v>218.78299999999999</v>
      </c>
    </row>
    <row r="229" spans="1:4">
      <c r="A229" s="13">
        <v>39722</v>
      </c>
      <c r="B229" s="15">
        <v>71.58</v>
      </c>
      <c r="C229" s="15">
        <v>94.721900000000005</v>
      </c>
      <c r="D229" s="15">
        <v>216.57300000000001</v>
      </c>
    </row>
    <row r="230" spans="1:4">
      <c r="A230" s="13">
        <v>39753</v>
      </c>
      <c r="B230" s="15">
        <v>52.45</v>
      </c>
      <c r="C230" s="15">
        <v>93.471500000000006</v>
      </c>
      <c r="D230" s="15">
        <v>212.42500000000001</v>
      </c>
    </row>
    <row r="231" spans="1:4">
      <c r="A231" s="13">
        <v>39783</v>
      </c>
      <c r="B231" s="15">
        <v>39.950000000000003</v>
      </c>
      <c r="C231" s="15">
        <v>90.835700000000003</v>
      </c>
      <c r="D231" s="15">
        <v>210.22800000000001</v>
      </c>
    </row>
    <row r="232" spans="1:4">
      <c r="A232" s="13">
        <v>39814</v>
      </c>
      <c r="B232" s="15">
        <v>43.44</v>
      </c>
      <c r="C232" s="15">
        <v>88.57</v>
      </c>
      <c r="D232" s="15">
        <v>211.143</v>
      </c>
    </row>
    <row r="233" spans="1:4">
      <c r="A233" s="13">
        <v>39845</v>
      </c>
      <c r="B233" s="15">
        <v>43.32</v>
      </c>
      <c r="C233" s="15">
        <v>88.031000000000006</v>
      </c>
      <c r="D233" s="15">
        <v>212.19300000000001</v>
      </c>
    </row>
    <row r="234" spans="1:4">
      <c r="A234" s="13">
        <v>39873</v>
      </c>
      <c r="B234" s="15">
        <v>46.54</v>
      </c>
      <c r="C234" s="15">
        <v>86.652799999999999</v>
      </c>
      <c r="D234" s="15">
        <v>212.709</v>
      </c>
    </row>
    <row r="235" spans="1:4">
      <c r="A235" s="13">
        <v>39904</v>
      </c>
      <c r="B235" s="15">
        <v>50.18</v>
      </c>
      <c r="C235" s="15">
        <v>85.934399999999997</v>
      </c>
      <c r="D235" s="15">
        <v>213.24</v>
      </c>
    </row>
    <row r="236" spans="1:4">
      <c r="A236" s="13">
        <v>39934</v>
      </c>
      <c r="B236" s="15">
        <v>57.3</v>
      </c>
      <c r="C236" s="15">
        <v>85.066500000000005</v>
      </c>
      <c r="D236" s="15">
        <v>213.85599999999999</v>
      </c>
    </row>
    <row r="237" spans="1:4">
      <c r="A237" s="13">
        <v>39965</v>
      </c>
      <c r="B237" s="15">
        <v>68.61</v>
      </c>
      <c r="C237" s="15">
        <v>84.745900000000006</v>
      </c>
      <c r="D237" s="15">
        <v>215.69300000000001</v>
      </c>
    </row>
    <row r="238" spans="1:4">
      <c r="A238" s="13">
        <v>39995</v>
      </c>
      <c r="B238" s="15">
        <v>64.44</v>
      </c>
      <c r="C238" s="15">
        <v>85.702699999999993</v>
      </c>
      <c r="D238" s="15">
        <v>215.351</v>
      </c>
    </row>
    <row r="239" spans="1:4">
      <c r="A239" s="13">
        <v>40026</v>
      </c>
      <c r="B239" s="15">
        <v>72.510000000000005</v>
      </c>
      <c r="C239" s="15">
        <v>86.642600000000002</v>
      </c>
      <c r="D239" s="15">
        <v>215.834</v>
      </c>
    </row>
    <row r="240" spans="1:4">
      <c r="A240" s="13">
        <v>40057</v>
      </c>
      <c r="B240" s="15">
        <v>67.650000000000006</v>
      </c>
      <c r="C240" s="15">
        <v>87.406300000000002</v>
      </c>
      <c r="D240" s="15">
        <v>215.96899999999999</v>
      </c>
    </row>
    <row r="241" spans="1:4">
      <c r="A241" s="13">
        <v>40087</v>
      </c>
      <c r="B241" s="15">
        <v>72.77</v>
      </c>
      <c r="C241" s="15">
        <v>87.641900000000007</v>
      </c>
      <c r="D241" s="15">
        <v>216.17699999999999</v>
      </c>
    </row>
    <row r="242" spans="1:4">
      <c r="A242" s="13">
        <v>40118</v>
      </c>
      <c r="B242" s="15">
        <v>76.66</v>
      </c>
      <c r="C242" s="15">
        <v>88.022099999999995</v>
      </c>
      <c r="D242" s="15">
        <v>216.33</v>
      </c>
    </row>
    <row r="243" spans="1:4">
      <c r="A243" s="13">
        <v>40148</v>
      </c>
      <c r="B243" s="15">
        <v>74.459999999999994</v>
      </c>
      <c r="C243" s="15">
        <v>88.379300000000001</v>
      </c>
      <c r="D243" s="15">
        <v>215.94900000000001</v>
      </c>
    </row>
    <row r="244" spans="1:4">
      <c r="A244" s="13">
        <v>40179</v>
      </c>
      <c r="B244" s="15">
        <v>76.17</v>
      </c>
      <c r="C244" s="15">
        <v>89.342600000000004</v>
      </c>
      <c r="D244" s="15">
        <v>216.68700000000001</v>
      </c>
    </row>
    <row r="245" spans="1:4">
      <c r="A245" s="13">
        <v>40210</v>
      </c>
      <c r="B245" s="15">
        <v>73.75</v>
      </c>
      <c r="C245" s="15">
        <v>89.677899999999994</v>
      </c>
      <c r="D245" s="15">
        <v>216.74100000000001</v>
      </c>
    </row>
    <row r="246" spans="1:4">
      <c r="A246" s="13">
        <v>40238</v>
      </c>
      <c r="B246" s="15">
        <v>78.83</v>
      </c>
      <c r="C246" s="15">
        <v>90.2928</v>
      </c>
      <c r="D246" s="15">
        <v>217.631</v>
      </c>
    </row>
    <row r="247" spans="1:4">
      <c r="A247" s="13">
        <v>40269</v>
      </c>
      <c r="B247" s="15">
        <v>84.82</v>
      </c>
      <c r="C247" s="15">
        <v>90.599100000000007</v>
      </c>
      <c r="D247" s="15">
        <v>218.00899999999999</v>
      </c>
    </row>
    <row r="248" spans="1:4">
      <c r="A248" s="13">
        <v>40299</v>
      </c>
      <c r="B248" s="15">
        <v>75.95</v>
      </c>
      <c r="C248" s="15">
        <v>91.822999999999993</v>
      </c>
      <c r="D248" s="15">
        <v>218.178</v>
      </c>
    </row>
    <row r="249" spans="1:4">
      <c r="A249" s="13">
        <v>40330</v>
      </c>
      <c r="B249" s="15">
        <v>74.760000000000005</v>
      </c>
      <c r="C249" s="15">
        <v>91.992800000000003</v>
      </c>
      <c r="D249" s="15">
        <v>217.965</v>
      </c>
    </row>
    <row r="250" spans="1:4">
      <c r="A250" s="13">
        <v>40360</v>
      </c>
      <c r="B250" s="15">
        <v>75.58</v>
      </c>
      <c r="C250" s="15">
        <v>92.342100000000002</v>
      </c>
      <c r="D250" s="15">
        <v>218.011</v>
      </c>
    </row>
    <row r="251" spans="1:4">
      <c r="A251" s="13">
        <v>40391</v>
      </c>
      <c r="B251" s="15">
        <v>77.040000000000006</v>
      </c>
      <c r="C251" s="15">
        <v>92.680499999999995</v>
      </c>
      <c r="D251" s="15">
        <v>218.31200000000001</v>
      </c>
    </row>
    <row r="252" spans="1:4">
      <c r="A252" s="13">
        <v>40422</v>
      </c>
      <c r="B252" s="15">
        <v>77.84</v>
      </c>
      <c r="C252" s="15">
        <v>92.953699999999998</v>
      </c>
      <c r="D252" s="15">
        <v>218.43899999999999</v>
      </c>
    </row>
    <row r="253" spans="1:4">
      <c r="A253" s="13">
        <v>40452</v>
      </c>
      <c r="B253" s="15">
        <v>82.67</v>
      </c>
      <c r="C253" s="15">
        <v>92.690299999999993</v>
      </c>
      <c r="D253" s="15">
        <v>218.71100000000001</v>
      </c>
    </row>
    <row r="254" spans="1:4">
      <c r="A254" s="13">
        <v>40483</v>
      </c>
      <c r="B254" s="15">
        <v>85.28</v>
      </c>
      <c r="C254" s="15">
        <v>92.770899999999997</v>
      </c>
      <c r="D254" s="15">
        <v>218.803</v>
      </c>
    </row>
    <row r="255" spans="1:4">
      <c r="A255" s="13">
        <v>40513</v>
      </c>
      <c r="B255" s="15">
        <v>91.45</v>
      </c>
      <c r="C255" s="15">
        <v>93.678700000000006</v>
      </c>
      <c r="D255" s="15">
        <v>219.179</v>
      </c>
    </row>
    <row r="256" spans="1:4">
      <c r="A256" s="13">
        <v>40544</v>
      </c>
      <c r="B256" s="15">
        <v>96.52</v>
      </c>
      <c r="C256" s="15">
        <v>93.481399999999994</v>
      </c>
      <c r="D256" s="15">
        <v>220.22300000000001</v>
      </c>
    </row>
    <row r="257" spans="1:4">
      <c r="A257" s="13">
        <v>40575</v>
      </c>
      <c r="B257" s="15">
        <v>103.72</v>
      </c>
      <c r="C257" s="15">
        <v>93.110200000000006</v>
      </c>
      <c r="D257" s="15">
        <v>221.309</v>
      </c>
    </row>
    <row r="258" spans="1:4">
      <c r="A258" s="13">
        <v>40603</v>
      </c>
      <c r="B258" s="15">
        <v>114.64</v>
      </c>
      <c r="C258" s="15">
        <v>94.078800000000001</v>
      </c>
      <c r="D258" s="15">
        <v>223.46700000000001</v>
      </c>
    </row>
    <row r="259" spans="1:4">
      <c r="A259" s="13">
        <v>40634</v>
      </c>
      <c r="B259" s="15">
        <v>123.26</v>
      </c>
      <c r="C259" s="15">
        <v>93.774900000000002</v>
      </c>
      <c r="D259" s="15">
        <v>224.90600000000001</v>
      </c>
    </row>
    <row r="260" spans="1:4">
      <c r="A260" s="13">
        <v>40664</v>
      </c>
      <c r="B260" s="15">
        <v>114.99</v>
      </c>
      <c r="C260" s="15">
        <v>93.888000000000005</v>
      </c>
      <c r="D260" s="15">
        <v>225.964</v>
      </c>
    </row>
    <row r="261" spans="1:4">
      <c r="A261" s="13">
        <v>40695</v>
      </c>
      <c r="B261" s="15">
        <v>113.83</v>
      </c>
      <c r="C261" s="15">
        <v>94.171999999999997</v>
      </c>
      <c r="D261" s="15">
        <v>225.72200000000001</v>
      </c>
    </row>
    <row r="262" spans="1:4">
      <c r="A262" s="13">
        <v>40725</v>
      </c>
      <c r="B262" s="15">
        <v>116.97</v>
      </c>
      <c r="C262" s="15">
        <v>94.635999999999996</v>
      </c>
      <c r="D262" s="15">
        <v>225.922</v>
      </c>
    </row>
    <row r="263" spans="1:4">
      <c r="A263" s="13">
        <v>40756</v>
      </c>
      <c r="B263" s="15">
        <v>110.22</v>
      </c>
      <c r="C263" s="15">
        <v>95.274900000000002</v>
      </c>
      <c r="D263" s="15">
        <v>226.54499999999999</v>
      </c>
    </row>
    <row r="264" spans="1:4">
      <c r="A264" s="13">
        <v>40787</v>
      </c>
      <c r="B264" s="15">
        <v>112.83</v>
      </c>
      <c r="C264" s="15">
        <v>95.196100000000001</v>
      </c>
      <c r="D264" s="15">
        <v>226.88900000000001</v>
      </c>
    </row>
    <row r="265" spans="1:4">
      <c r="A265" s="13">
        <v>40817</v>
      </c>
      <c r="B265" s="15">
        <v>109.55</v>
      </c>
      <c r="C265" s="15">
        <v>95.856800000000007</v>
      </c>
      <c r="D265" s="15">
        <v>226.42099999999999</v>
      </c>
    </row>
    <row r="266" spans="1:4">
      <c r="A266" s="13">
        <v>40848</v>
      </c>
      <c r="B266" s="15">
        <v>110.77</v>
      </c>
      <c r="C266" s="15">
        <v>95.848500000000001</v>
      </c>
      <c r="D266" s="15">
        <v>226.23</v>
      </c>
    </row>
    <row r="267" spans="1:4">
      <c r="A267" s="13">
        <v>40878</v>
      </c>
      <c r="B267" s="15">
        <v>107.87</v>
      </c>
      <c r="C267" s="15">
        <v>96.357100000000003</v>
      </c>
      <c r="D267" s="15">
        <v>225.672</v>
      </c>
    </row>
    <row r="268" spans="1:4">
      <c r="A268" s="13">
        <v>40909</v>
      </c>
      <c r="B268" s="15">
        <v>110.69</v>
      </c>
      <c r="C268" s="15">
        <v>96.931799999999996</v>
      </c>
      <c r="D268" s="15">
        <v>226.66499999999999</v>
      </c>
    </row>
    <row r="269" spans="1:4">
      <c r="A269" s="13">
        <v>40940</v>
      </c>
      <c r="B269" s="15">
        <v>119.33</v>
      </c>
      <c r="C269" s="15">
        <v>97.243499999999997</v>
      </c>
      <c r="D269" s="15">
        <v>227.66300000000001</v>
      </c>
    </row>
    <row r="270" spans="1:4">
      <c r="A270" s="13">
        <v>40969</v>
      </c>
      <c r="B270" s="15">
        <v>125.45</v>
      </c>
      <c r="C270" s="15">
        <v>96.74</v>
      </c>
      <c r="D270" s="15">
        <v>229.392</v>
      </c>
    </row>
    <row r="271" spans="1:4">
      <c r="A271" s="13">
        <v>41000</v>
      </c>
      <c r="B271" s="15">
        <v>119.75</v>
      </c>
      <c r="C271" s="15">
        <v>97.435900000000004</v>
      </c>
      <c r="D271" s="15">
        <v>230.08500000000001</v>
      </c>
    </row>
    <row r="272" spans="1:4">
      <c r="A272" s="13">
        <v>41030</v>
      </c>
      <c r="B272" s="15">
        <v>110.34</v>
      </c>
      <c r="C272" s="15">
        <v>97.660899999999998</v>
      </c>
      <c r="D272" s="15">
        <v>229.815</v>
      </c>
    </row>
    <row r="273" spans="1:4">
      <c r="A273" s="13">
        <v>41061</v>
      </c>
      <c r="B273" s="15">
        <v>95.16</v>
      </c>
      <c r="C273" s="15">
        <v>97.666300000000007</v>
      </c>
      <c r="D273" s="15">
        <v>229.47800000000001</v>
      </c>
    </row>
    <row r="274" spans="1:4">
      <c r="A274" s="13">
        <v>41091</v>
      </c>
      <c r="B274" s="15">
        <v>102.62</v>
      </c>
      <c r="C274" s="15">
        <v>97.871300000000005</v>
      </c>
      <c r="D274" s="15">
        <v>229.10400000000001</v>
      </c>
    </row>
    <row r="275" spans="1:4">
      <c r="A275" s="13">
        <v>41122</v>
      </c>
      <c r="B275" s="15">
        <v>113.36</v>
      </c>
      <c r="C275" s="15">
        <v>97.452500000000001</v>
      </c>
      <c r="D275" s="15">
        <v>230.37899999999999</v>
      </c>
    </row>
    <row r="276" spans="1:4">
      <c r="A276" s="13">
        <v>41153</v>
      </c>
      <c r="B276" s="15">
        <v>112.86</v>
      </c>
      <c r="C276" s="15">
        <v>97.381</v>
      </c>
      <c r="D276" s="15">
        <v>231.40700000000001</v>
      </c>
    </row>
    <row r="277" spans="1:4">
      <c r="A277" s="13">
        <v>41183</v>
      </c>
      <c r="B277" s="15">
        <v>111.71</v>
      </c>
      <c r="C277" s="15">
        <v>97.719300000000004</v>
      </c>
      <c r="D277" s="15">
        <v>231.31700000000001</v>
      </c>
    </row>
    <row r="278" spans="1:4">
      <c r="A278" s="13">
        <v>41214</v>
      </c>
      <c r="B278" s="15">
        <v>109.06</v>
      </c>
      <c r="C278" s="15">
        <v>98.077699999999993</v>
      </c>
      <c r="D278" s="15">
        <v>230.221</v>
      </c>
    </row>
    <row r="279" spans="1:4">
      <c r="A279" s="13">
        <v>41244</v>
      </c>
      <c r="B279" s="15">
        <v>109.49</v>
      </c>
      <c r="C279" s="15">
        <v>98.310100000000006</v>
      </c>
      <c r="D279" s="15">
        <v>229.601</v>
      </c>
    </row>
    <row r="280" spans="1:4">
      <c r="A280" s="13">
        <v>41275</v>
      </c>
      <c r="B280" s="15">
        <v>112.96</v>
      </c>
      <c r="C280" s="15">
        <v>98.334199999999996</v>
      </c>
      <c r="D280" s="15">
        <v>230.28</v>
      </c>
    </row>
    <row r="281" spans="1:4">
      <c r="A281" s="13">
        <v>41306</v>
      </c>
      <c r="B281" s="15">
        <v>116.05</v>
      </c>
      <c r="C281" s="15">
        <v>98.7941</v>
      </c>
      <c r="D281" s="15">
        <v>232.166</v>
      </c>
    </row>
    <row r="282" spans="1:4">
      <c r="A282" s="13">
        <v>41334</v>
      </c>
      <c r="B282" s="15">
        <v>108.47</v>
      </c>
      <c r="C282" s="15">
        <v>99.192099999999996</v>
      </c>
      <c r="D282" s="15">
        <v>232.773</v>
      </c>
    </row>
    <row r="283" spans="1:4">
      <c r="A283" s="13">
        <v>41365</v>
      </c>
      <c r="B283" s="15">
        <v>102.25</v>
      </c>
      <c r="C283" s="15">
        <v>99.106499999999997</v>
      </c>
      <c r="D283" s="15">
        <v>232.53100000000001</v>
      </c>
    </row>
    <row r="284" spans="1:4">
      <c r="A284" s="13">
        <v>41395</v>
      </c>
      <c r="B284" s="15">
        <v>102.56</v>
      </c>
      <c r="C284" s="15">
        <v>99.183899999999994</v>
      </c>
      <c r="D284" s="15">
        <v>232.94499999999999</v>
      </c>
    </row>
    <row r="285" spans="1:4">
      <c r="A285" s="13">
        <v>41426</v>
      </c>
      <c r="B285" s="15">
        <v>102.92</v>
      </c>
      <c r="C285" s="15">
        <v>99.389700000000005</v>
      </c>
      <c r="D285" s="15">
        <v>233.50399999999999</v>
      </c>
    </row>
    <row r="286" spans="1:4">
      <c r="A286" s="13">
        <v>41456</v>
      </c>
      <c r="B286" s="15">
        <v>107.93</v>
      </c>
      <c r="C286" s="15">
        <v>99.081400000000002</v>
      </c>
      <c r="D286" s="15">
        <v>233.596</v>
      </c>
    </row>
    <row r="287" spans="1:4">
      <c r="A287" s="13">
        <v>41487</v>
      </c>
      <c r="B287" s="15">
        <v>111.28</v>
      </c>
      <c r="C287" s="15">
        <v>99.654300000000006</v>
      </c>
      <c r="D287" s="15">
        <v>233.87700000000001</v>
      </c>
    </row>
    <row r="288" spans="1:4">
      <c r="A288" s="13">
        <v>41518</v>
      </c>
      <c r="B288" s="15">
        <v>111.6</v>
      </c>
      <c r="C288" s="15">
        <v>100.161</v>
      </c>
      <c r="D288" s="15">
        <v>234.149</v>
      </c>
    </row>
    <row r="289" spans="1:4">
      <c r="A289" s="13">
        <v>41548</v>
      </c>
      <c r="B289" s="15">
        <v>109.08</v>
      </c>
      <c r="C289" s="15">
        <v>100.08199999999999</v>
      </c>
      <c r="D289" s="15">
        <v>233.54599999999999</v>
      </c>
    </row>
    <row r="290" spans="1:4">
      <c r="A290" s="13">
        <v>41579</v>
      </c>
      <c r="B290" s="15">
        <v>107.79</v>
      </c>
      <c r="C290" s="15">
        <v>100.3158</v>
      </c>
      <c r="D290" s="15">
        <v>233.06899999999999</v>
      </c>
    </row>
    <row r="291" spans="1:4">
      <c r="A291" s="13">
        <v>41609</v>
      </c>
      <c r="B291" s="15">
        <v>110.76</v>
      </c>
      <c r="C291" s="15">
        <v>100.5175</v>
      </c>
      <c r="D291" s="15">
        <v>233.04900000000001</v>
      </c>
    </row>
    <row r="292" spans="1:4">
      <c r="A292" s="13">
        <v>41640</v>
      </c>
      <c r="B292" s="15">
        <v>108.12</v>
      </c>
      <c r="C292" s="15">
        <v>100.15989999999999</v>
      </c>
      <c r="D292" s="15">
        <v>233.916</v>
      </c>
    </row>
    <row r="293" spans="1:4">
      <c r="A293" s="13">
        <v>41671</v>
      </c>
      <c r="B293" s="15">
        <v>108.9</v>
      </c>
      <c r="C293" s="15">
        <v>100.91679999999999</v>
      </c>
      <c r="D293" s="15">
        <v>234.78100000000001</v>
      </c>
    </row>
    <row r="294" spans="1:4">
      <c r="A294" s="13">
        <v>41699</v>
      </c>
      <c r="B294" s="15">
        <v>107.48</v>
      </c>
      <c r="C294" s="15">
        <v>101.8942</v>
      </c>
      <c r="D294" s="15">
        <v>236.29300000000001</v>
      </c>
    </row>
    <row r="295" spans="1:4">
      <c r="A295" s="13">
        <v>41730</v>
      </c>
      <c r="B295" s="15">
        <v>107.76</v>
      </c>
      <c r="C295" s="15">
        <v>101.9928</v>
      </c>
      <c r="D295" s="15">
        <v>237.072</v>
      </c>
    </row>
    <row r="296" spans="1:4">
      <c r="A296" s="13">
        <v>41760</v>
      </c>
      <c r="B296" s="15">
        <v>109.54</v>
      </c>
      <c r="C296" s="15">
        <v>102.3836</v>
      </c>
      <c r="D296" s="15">
        <v>237.9</v>
      </c>
    </row>
    <row r="297" spans="1:4">
      <c r="A297" s="13">
        <v>41791</v>
      </c>
      <c r="B297" s="15">
        <v>111.8</v>
      </c>
      <c r="C297" s="15">
        <v>102.735</v>
      </c>
      <c r="D297" s="15">
        <v>238.34299999999999</v>
      </c>
    </row>
    <row r="298" spans="1:4">
      <c r="A298" s="13">
        <v>41821</v>
      </c>
      <c r="B298" s="15">
        <v>106.77</v>
      </c>
      <c r="C298" s="15">
        <v>102.9632</v>
      </c>
      <c r="D298" s="15">
        <v>238.25</v>
      </c>
    </row>
    <row r="299" spans="1:4">
      <c r="A299" s="13">
        <v>41852</v>
      </c>
      <c r="B299" s="15">
        <v>101.61</v>
      </c>
      <c r="C299" s="15">
        <v>102.7688</v>
      </c>
      <c r="D299" s="15">
        <v>237.852</v>
      </c>
    </row>
    <row r="300" spans="1:4">
      <c r="A300" s="13">
        <v>41883</v>
      </c>
      <c r="B300" s="15">
        <v>97.09</v>
      </c>
      <c r="C300" s="15">
        <v>103.0641</v>
      </c>
      <c r="D300" s="15">
        <v>238.03100000000001</v>
      </c>
    </row>
    <row r="301" spans="1:4">
      <c r="A301" s="13">
        <v>41913</v>
      </c>
      <c r="B301" s="15">
        <v>87.43</v>
      </c>
      <c r="C301" s="15">
        <v>103.07640000000001</v>
      </c>
      <c r="D301" s="15">
        <v>237.43299999999999</v>
      </c>
    </row>
    <row r="302" spans="1:4">
      <c r="A302" s="13">
        <v>41944</v>
      </c>
      <c r="B302" s="15">
        <v>79.44</v>
      </c>
      <c r="C302" s="15">
        <v>103.71259999999999</v>
      </c>
      <c r="D302" s="15">
        <v>236.15100000000001</v>
      </c>
    </row>
    <row r="303" spans="1:4">
      <c r="A303" s="13">
        <v>41974</v>
      </c>
      <c r="B303" s="15">
        <v>62.34</v>
      </c>
      <c r="C303" s="15">
        <v>103.70440000000001</v>
      </c>
      <c r="D303" s="15">
        <v>234.81200000000001</v>
      </c>
    </row>
    <row r="304" spans="1:4">
      <c r="A304" s="13">
        <v>42005</v>
      </c>
      <c r="B304" s="15">
        <v>47.76</v>
      </c>
      <c r="C304" s="15">
        <v>102.8905</v>
      </c>
      <c r="D304" s="15">
        <v>233.70699999999999</v>
      </c>
    </row>
    <row r="305" spans="1:4">
      <c r="A305" s="13">
        <v>42036</v>
      </c>
      <c r="B305" s="15">
        <v>58.1</v>
      </c>
      <c r="C305" s="15">
        <v>102.23350000000001</v>
      </c>
      <c r="D305" s="15">
        <v>234.72200000000001</v>
      </c>
    </row>
    <row r="306" spans="1:4">
      <c r="A306" s="13">
        <v>42064</v>
      </c>
      <c r="B306" s="15">
        <v>55.89</v>
      </c>
      <c r="C306" s="15">
        <v>101.8914</v>
      </c>
      <c r="D306" s="15">
        <v>236.119</v>
      </c>
    </row>
    <row r="307" spans="1:4">
      <c r="A307" s="13">
        <v>42095</v>
      </c>
      <c r="B307" s="15">
        <v>59.52</v>
      </c>
      <c r="C307" s="15">
        <v>101.3355</v>
      </c>
      <c r="D307" s="15">
        <v>236.59899999999999</v>
      </c>
    </row>
    <row r="308" spans="1:4">
      <c r="A308" s="13">
        <v>42125</v>
      </c>
      <c r="B308" s="15">
        <v>64.08</v>
      </c>
      <c r="C308" s="15">
        <v>100.8883</v>
      </c>
      <c r="D308" s="15">
        <v>237.80500000000001</v>
      </c>
    </row>
    <row r="309" spans="1:4">
      <c r="A309" s="13">
        <v>42156</v>
      </c>
      <c r="B309" s="15">
        <v>61.48</v>
      </c>
      <c r="C309" s="15">
        <v>100.571</v>
      </c>
      <c r="D309" s="15">
        <v>238.63800000000001</v>
      </c>
    </row>
    <row r="310" spans="1:4">
      <c r="A310" s="13">
        <v>42186</v>
      </c>
      <c r="B310" s="15">
        <v>56.56</v>
      </c>
      <c r="C310" s="15">
        <v>101.22280000000001</v>
      </c>
      <c r="D310" s="15">
        <v>238.654</v>
      </c>
    </row>
    <row r="311" spans="1:4">
      <c r="A311" s="13">
        <v>42217</v>
      </c>
      <c r="B311" s="15">
        <v>46.52</v>
      </c>
      <c r="C311" s="15">
        <v>101.0367</v>
      </c>
      <c r="D311" s="15">
        <v>238.316</v>
      </c>
    </row>
    <row r="312" spans="1:4">
      <c r="A312" s="13">
        <v>42248</v>
      </c>
      <c r="B312" s="15">
        <v>47.62</v>
      </c>
      <c r="C312" s="15">
        <v>100.7547</v>
      </c>
      <c r="D312" s="15">
        <v>237.94499999999999</v>
      </c>
    </row>
    <row r="313" spans="1:4">
      <c r="A313" s="13">
        <v>42278</v>
      </c>
      <c r="B313" s="15">
        <v>48.43</v>
      </c>
      <c r="C313" s="15">
        <v>100.2675</v>
      </c>
      <c r="D313" s="15">
        <v>237.83799999999999</v>
      </c>
    </row>
    <row r="314" spans="1:4">
      <c r="A314" s="13">
        <v>42309</v>
      </c>
      <c r="B314" s="15">
        <v>44.27</v>
      </c>
      <c r="C314" s="15">
        <v>99.529799999999994</v>
      </c>
      <c r="D314" s="15">
        <v>237.33600000000001</v>
      </c>
    </row>
    <row r="315" spans="1:4">
      <c r="A315" s="13">
        <v>42339</v>
      </c>
      <c r="B315" s="15">
        <v>38.01</v>
      </c>
      <c r="C315" s="15">
        <v>99.041700000000006</v>
      </c>
      <c r="D315" s="15">
        <v>236.52500000000001</v>
      </c>
    </row>
    <row r="316" spans="1:4">
      <c r="A316" s="13">
        <v>42370</v>
      </c>
      <c r="B316" s="15">
        <v>30.7</v>
      </c>
      <c r="C316" s="15">
        <v>99.560699999999997</v>
      </c>
      <c r="D316" s="15">
        <v>236.916</v>
      </c>
    </row>
    <row r="317" spans="1:4">
      <c r="A317" s="13">
        <v>42401</v>
      </c>
      <c r="B317" s="15">
        <v>32.18</v>
      </c>
      <c r="C317" s="15">
        <v>99.044499999999999</v>
      </c>
      <c r="D317" s="15">
        <v>237.11099999999999</v>
      </c>
    </row>
    <row r="318" spans="1:4">
      <c r="A318" s="13">
        <v>42430</v>
      </c>
      <c r="B318" s="15">
        <v>38.21</v>
      </c>
      <c r="C318" s="15">
        <v>98.309600000000003</v>
      </c>
      <c r="D318" s="15">
        <v>238.13200000000001</v>
      </c>
    </row>
    <row r="319" spans="1:4">
      <c r="A319" s="13">
        <v>42461</v>
      </c>
      <c r="B319" s="15">
        <v>41.58</v>
      </c>
      <c r="C319" s="15">
        <v>98.642099999999999</v>
      </c>
      <c r="D319" s="15">
        <v>239.261</v>
      </c>
    </row>
    <row r="320" spans="1:4">
      <c r="A320" s="13">
        <v>42491</v>
      </c>
      <c r="B320" s="15">
        <v>46.74</v>
      </c>
      <c r="C320" s="15">
        <v>98.418400000000005</v>
      </c>
      <c r="D320" s="15">
        <v>240.22900000000001</v>
      </c>
    </row>
    <row r="321" spans="1:4">
      <c r="A321" s="13">
        <v>42522</v>
      </c>
      <c r="B321" s="15">
        <v>48.25</v>
      </c>
      <c r="C321" s="15">
        <v>98.883300000000006</v>
      </c>
      <c r="D321" s="15">
        <v>241.018</v>
      </c>
    </row>
    <row r="322" spans="1:4">
      <c r="A322" s="13">
        <v>42552</v>
      </c>
      <c r="B322" s="15">
        <v>44.95</v>
      </c>
      <c r="C322" s="15">
        <v>98.999200000000002</v>
      </c>
      <c r="D322" s="15">
        <v>240.62799999999999</v>
      </c>
    </row>
    <row r="323" spans="1:4">
      <c r="A323" s="13">
        <v>42583</v>
      </c>
      <c r="B323" s="15">
        <v>45.84</v>
      </c>
      <c r="C323" s="15">
        <v>98.85</v>
      </c>
      <c r="D323" s="15">
        <v>240.84899999999999</v>
      </c>
    </row>
    <row r="324" spans="1:4">
      <c r="A324" s="13">
        <v>42614</v>
      </c>
      <c r="B324" s="15">
        <v>46.57</v>
      </c>
      <c r="C324" s="15">
        <v>98.745699999999999</v>
      </c>
      <c r="D324" s="15">
        <v>241.428</v>
      </c>
    </row>
    <row r="325" spans="1:4">
      <c r="A325" s="13">
        <v>42644</v>
      </c>
      <c r="B325" s="15">
        <v>49.52</v>
      </c>
      <c r="C325" s="15">
        <v>98.761099999999999</v>
      </c>
      <c r="D325" s="15">
        <v>241.72900000000001</v>
      </c>
    </row>
    <row r="326" spans="1:4">
      <c r="A326" s="13">
        <v>42675</v>
      </c>
      <c r="B326" s="15">
        <v>44.73</v>
      </c>
      <c r="C326" s="15">
        <v>98.349100000000007</v>
      </c>
      <c r="D326" s="15">
        <v>241.35300000000001</v>
      </c>
    </row>
    <row r="327" spans="1:4">
      <c r="A327" s="13">
        <v>42705</v>
      </c>
      <c r="B327" s="15">
        <v>53.31</v>
      </c>
      <c r="C327" s="15">
        <v>99.0214</v>
      </c>
      <c r="D327" s="15">
        <v>241.43199999999999</v>
      </c>
    </row>
    <row r="328" spans="1:4">
      <c r="A328" s="13">
        <v>42736</v>
      </c>
      <c r="B328" s="15">
        <v>54.58</v>
      </c>
      <c r="C328" s="15">
        <v>98.761099999999999</v>
      </c>
      <c r="D328" s="15">
        <v>242.839</v>
      </c>
    </row>
    <row r="329" spans="1:4">
      <c r="A329" s="13">
        <v>42767</v>
      </c>
      <c r="B329" s="15">
        <v>54.87</v>
      </c>
      <c r="C329" s="15">
        <v>98.364599999999996</v>
      </c>
      <c r="D329" s="15">
        <v>243.60300000000001</v>
      </c>
    </row>
    <row r="330" spans="1:4">
      <c r="A330" s="13">
        <v>42795</v>
      </c>
      <c r="B330" s="15">
        <v>51.59</v>
      </c>
      <c r="C330" s="15">
        <v>99.0137</v>
      </c>
      <c r="D330" s="15">
        <v>243.80099999999999</v>
      </c>
    </row>
    <row r="331" spans="1:4">
      <c r="A331" s="13">
        <v>42826</v>
      </c>
      <c r="B331" s="15">
        <v>52.31</v>
      </c>
      <c r="C331" s="15">
        <v>100.0224</v>
      </c>
      <c r="D331" s="15">
        <v>244.524</v>
      </c>
    </row>
    <row r="332" spans="1:4">
      <c r="A332" s="13">
        <v>42856</v>
      </c>
      <c r="B332" s="15">
        <v>50.33</v>
      </c>
      <c r="C332" s="15">
        <v>100.1408</v>
      </c>
      <c r="D332" s="15">
        <v>244.733</v>
      </c>
    </row>
    <row r="333" spans="1:4">
      <c r="A333" s="13">
        <v>42887</v>
      </c>
      <c r="B333" s="15">
        <v>46.37</v>
      </c>
      <c r="C333" s="15">
        <v>100.3471</v>
      </c>
      <c r="D333" s="15">
        <v>244.95500000000001</v>
      </c>
    </row>
    <row r="334" spans="1:4">
      <c r="A334" s="13">
        <v>42917</v>
      </c>
      <c r="B334" s="15">
        <v>48.48</v>
      </c>
      <c r="C334" s="15">
        <v>100.10680000000001</v>
      </c>
      <c r="D334" s="15">
        <v>244.786</v>
      </c>
    </row>
    <row r="335" spans="1:4">
      <c r="A335" s="13">
        <v>42948</v>
      </c>
      <c r="B335" s="15">
        <v>51.7</v>
      </c>
      <c r="C335" s="15">
        <v>99.692499999999995</v>
      </c>
      <c r="D335" s="15">
        <v>245.51900000000001</v>
      </c>
    </row>
    <row r="336" spans="1:4">
      <c r="A336" s="13">
        <v>42979</v>
      </c>
      <c r="B336" s="15">
        <v>56.15</v>
      </c>
      <c r="C336" s="15">
        <v>99.795400000000001</v>
      </c>
      <c r="D336" s="15">
        <v>246.81899999999999</v>
      </c>
    </row>
    <row r="337" spans="1:4">
      <c r="A337" s="13">
        <v>43009</v>
      </c>
      <c r="B337" s="15">
        <v>57.51</v>
      </c>
      <c r="C337" s="15">
        <v>101.0247</v>
      </c>
      <c r="D337" s="15">
        <v>246.66300000000001</v>
      </c>
    </row>
    <row r="338" spans="1:4">
      <c r="A338" s="13">
        <v>43040</v>
      </c>
      <c r="B338" s="15">
        <v>62.71</v>
      </c>
      <c r="C338" s="15">
        <v>101.2664</v>
      </c>
      <c r="D338" s="15">
        <v>246.66900000000001</v>
      </c>
    </row>
    <row r="339" spans="1:4">
      <c r="A339" s="13">
        <v>43070</v>
      </c>
      <c r="B339" s="15">
        <v>64.37</v>
      </c>
      <c r="C339" s="15">
        <v>101.4644</v>
      </c>
      <c r="D339" s="15">
        <v>246.524</v>
      </c>
    </row>
    <row r="340" spans="1:4">
      <c r="A340" s="13">
        <v>43101</v>
      </c>
      <c r="B340" s="15">
        <v>69.08</v>
      </c>
      <c r="C340" s="15">
        <v>101.46250000000001</v>
      </c>
      <c r="D340" s="15">
        <v>247.86699999999999</v>
      </c>
    </row>
    <row r="341" spans="1:4">
      <c r="A341" s="13">
        <v>43132</v>
      </c>
      <c r="B341" s="15">
        <v>65.319999999999993</v>
      </c>
      <c r="C341" s="15">
        <v>101.7085</v>
      </c>
      <c r="D341" s="15">
        <v>248.99100000000001</v>
      </c>
    </row>
    <row r="342" spans="1:4">
      <c r="A342" s="13">
        <v>43160</v>
      </c>
      <c r="B342" s="15">
        <v>66.02</v>
      </c>
      <c r="C342" s="15">
        <v>102.2067</v>
      </c>
      <c r="D342" s="15">
        <v>249.554</v>
      </c>
    </row>
    <row r="343" spans="1:4">
      <c r="A343" s="13">
        <v>43191</v>
      </c>
      <c r="B343" s="15">
        <v>72.11</v>
      </c>
      <c r="C343" s="15">
        <v>103.3329</v>
      </c>
      <c r="D343" s="15">
        <v>250.54599999999999</v>
      </c>
    </row>
    <row r="344" spans="1:4">
      <c r="A344" s="13">
        <v>43221</v>
      </c>
      <c r="B344" s="15">
        <v>76.98</v>
      </c>
      <c r="C344" s="15">
        <v>102.4024</v>
      </c>
      <c r="D344" s="15">
        <v>251.58799999999999</v>
      </c>
    </row>
    <row r="345" spans="1:4">
      <c r="A345" s="13">
        <v>43252</v>
      </c>
      <c r="B345" s="15">
        <v>74.41</v>
      </c>
      <c r="C345" s="15">
        <v>103.19799999999999</v>
      </c>
      <c r="D345" s="15">
        <v>251.989</v>
      </c>
    </row>
    <row r="346" spans="1:4">
      <c r="A346" s="13">
        <v>43282</v>
      </c>
      <c r="B346" s="15">
        <v>74.25</v>
      </c>
      <c r="C346" s="15">
        <v>103.3646</v>
      </c>
      <c r="D346" s="15">
        <v>252.006</v>
      </c>
    </row>
    <row r="347" spans="1:4">
      <c r="A347" s="13">
        <v>43313</v>
      </c>
      <c r="B347" s="15">
        <v>72.53</v>
      </c>
      <c r="C347" s="15">
        <v>104.03270000000001</v>
      </c>
      <c r="D347" s="15">
        <v>252.14599999999999</v>
      </c>
    </row>
    <row r="348" spans="1:4">
      <c r="A348" s="13">
        <v>43344</v>
      </c>
      <c r="B348" s="15">
        <v>78.89</v>
      </c>
      <c r="C348" s="15">
        <v>104.10039999999999</v>
      </c>
      <c r="D348" s="15">
        <v>252.43899999999999</v>
      </c>
    </row>
    <row r="349" spans="1:4">
      <c r="A349" s="13">
        <v>43374</v>
      </c>
      <c r="B349" s="15">
        <v>81.03</v>
      </c>
      <c r="C349" s="15">
        <v>103.98560000000001</v>
      </c>
      <c r="D349" s="15">
        <v>252.88499999999999</v>
      </c>
    </row>
    <row r="350" spans="1:4">
      <c r="A350" s="13">
        <v>43405</v>
      </c>
      <c r="B350" s="15">
        <v>64.75</v>
      </c>
      <c r="C350" s="15">
        <v>104.0681</v>
      </c>
      <c r="D350" s="15">
        <v>252.03800000000001</v>
      </c>
    </row>
    <row r="351" spans="1:4">
      <c r="A351" s="13">
        <v>43435</v>
      </c>
      <c r="B351" s="15">
        <v>57.36</v>
      </c>
      <c r="C351" s="15">
        <v>104.0936</v>
      </c>
      <c r="D351" s="15">
        <v>251.233</v>
      </c>
    </row>
    <row r="352" spans="1:4">
      <c r="A352" s="13">
        <v>43466</v>
      </c>
      <c r="B352" s="15">
        <v>59.41</v>
      </c>
      <c r="C352" s="15">
        <v>103.4021</v>
      </c>
      <c r="D352" s="15">
        <v>251.71199999999999</v>
      </c>
    </row>
    <row r="353" spans="1:4">
      <c r="A353" s="13">
        <v>43497</v>
      </c>
      <c r="B353" s="15">
        <v>63.96</v>
      </c>
      <c r="C353" s="15">
        <v>102.83710000000001</v>
      </c>
      <c r="D353" s="15">
        <v>252.77600000000001</v>
      </c>
    </row>
    <row r="354" spans="1:4">
      <c r="A354" s="13">
        <v>43525</v>
      </c>
      <c r="B354" s="15">
        <v>66.14</v>
      </c>
      <c r="C354" s="15">
        <v>102.87569999999999</v>
      </c>
      <c r="D354" s="15">
        <v>254.202</v>
      </c>
    </row>
    <row r="355" spans="1:4">
      <c r="A355" s="13">
        <v>43556</v>
      </c>
      <c r="B355" s="15">
        <v>71.23</v>
      </c>
      <c r="C355" s="15">
        <v>102.274</v>
      </c>
      <c r="D355" s="15">
        <v>255.548</v>
      </c>
    </row>
    <row r="356" spans="1:4">
      <c r="A356" s="13">
        <v>43586</v>
      </c>
      <c r="B356" s="15">
        <v>71.319999999999993</v>
      </c>
      <c r="C356" s="15">
        <v>102.392</v>
      </c>
      <c r="D356" s="15">
        <v>256.09199999999998</v>
      </c>
    </row>
    <row r="357" spans="1:4">
      <c r="A357" s="13">
        <v>43617</v>
      </c>
      <c r="B357" s="15">
        <v>64.22</v>
      </c>
      <c r="C357" s="15">
        <v>102.4375</v>
      </c>
      <c r="D357" s="15">
        <v>256.14299999999997</v>
      </c>
    </row>
    <row r="358" spans="1:4">
      <c r="A358" s="13">
        <v>43647</v>
      </c>
      <c r="B358" s="15">
        <v>63.92</v>
      </c>
      <c r="C358" s="15">
        <v>101.9408</v>
      </c>
      <c r="D358" s="15">
        <v>256.57100000000003</v>
      </c>
    </row>
    <row r="359" spans="1:4">
      <c r="A359" s="13">
        <v>43678</v>
      </c>
      <c r="B359" s="15">
        <v>59.04</v>
      </c>
      <c r="C359" s="15">
        <v>102.639</v>
      </c>
      <c r="D359" s="15">
        <v>256.55799999999999</v>
      </c>
    </row>
    <row r="360" spans="1:4">
      <c r="A360" s="13">
        <v>43709</v>
      </c>
      <c r="B360" s="15">
        <v>62.83</v>
      </c>
      <c r="C360" s="15">
        <v>102.29170000000001</v>
      </c>
      <c r="D360" s="15">
        <v>256.75900000000001</v>
      </c>
    </row>
    <row r="361" spans="1:4">
      <c r="A361" s="13">
        <v>43739</v>
      </c>
      <c r="B361" s="15">
        <v>59.71</v>
      </c>
      <c r="C361" s="15">
        <v>101.4281</v>
      </c>
      <c r="D361" s="15">
        <v>257.346</v>
      </c>
    </row>
    <row r="362" spans="1:4">
      <c r="A362" s="13">
        <v>43770</v>
      </c>
      <c r="B362" s="15">
        <v>63.21</v>
      </c>
      <c r="C362" s="15">
        <v>101.9372</v>
      </c>
      <c r="D362" s="15">
        <v>257.20800000000003</v>
      </c>
    </row>
    <row r="363" spans="1:4">
      <c r="A363" s="13">
        <v>43800</v>
      </c>
      <c r="B363" s="15">
        <v>67.31</v>
      </c>
      <c r="C363" s="15">
        <v>101.7003</v>
      </c>
      <c r="D363" s="15">
        <v>256.97399999999999</v>
      </c>
    </row>
    <row r="364" spans="1:4">
      <c r="A364" s="13">
        <v>43831</v>
      </c>
      <c r="B364" s="15">
        <v>63.65</v>
      </c>
      <c r="C364" s="15">
        <v>101.0338</v>
      </c>
      <c r="D364" s="15">
        <v>257.971</v>
      </c>
    </row>
    <row r="365" spans="1:4">
      <c r="A365" s="13">
        <v>43862</v>
      </c>
      <c r="B365" s="15">
        <v>55.66</v>
      </c>
      <c r="C365" s="15">
        <v>101.37350000000001</v>
      </c>
      <c r="D365" s="15">
        <v>258.678</v>
      </c>
    </row>
    <row r="366" spans="1:4">
      <c r="A366" s="13">
        <v>43891</v>
      </c>
      <c r="B366" s="15">
        <v>32.01</v>
      </c>
      <c r="C366" s="15">
        <v>97.407799999999995</v>
      </c>
      <c r="D366" s="15">
        <v>258.11500000000001</v>
      </c>
    </row>
    <row r="367" spans="1:4">
      <c r="A367" s="13">
        <v>43922</v>
      </c>
      <c r="B367" s="15">
        <v>18.38</v>
      </c>
      <c r="C367" s="15">
        <v>84.561899999999994</v>
      </c>
      <c r="D367" s="15">
        <v>256.38900000000001</v>
      </c>
    </row>
    <row r="368" spans="1:4">
      <c r="A368" s="13">
        <v>43952</v>
      </c>
      <c r="B368" s="15">
        <v>29.38</v>
      </c>
      <c r="C368" s="15">
        <v>85.960400000000007</v>
      </c>
      <c r="D368" s="15">
        <v>256.39400000000001</v>
      </c>
    </row>
    <row r="369" spans="1:4">
      <c r="A369" s="13">
        <v>43983</v>
      </c>
      <c r="B369" s="15">
        <v>40.270000000000003</v>
      </c>
      <c r="C369" s="15">
        <v>91.593400000000003</v>
      </c>
      <c r="D369" s="15">
        <v>257.79700000000003</v>
      </c>
    </row>
    <row r="370" spans="1:4">
      <c r="A370" s="13">
        <v>44013</v>
      </c>
      <c r="B370" s="15">
        <v>43.24</v>
      </c>
      <c r="C370" s="15">
        <v>95.025599999999997</v>
      </c>
      <c r="D370" s="15">
        <v>259.101</v>
      </c>
    </row>
    <row r="371" spans="1:4">
      <c r="A371" s="13">
        <v>44044</v>
      </c>
      <c r="B371" s="15">
        <v>44.74</v>
      </c>
      <c r="C371" s="15">
        <v>95.954899999999995</v>
      </c>
      <c r="D371" s="15">
        <v>259.91800000000001</v>
      </c>
    </row>
    <row r="372" spans="1:4">
      <c r="A372" s="13">
        <v>44075</v>
      </c>
      <c r="B372" s="15">
        <v>40.909999999999997</v>
      </c>
      <c r="C372" s="15">
        <v>95.966899999999995</v>
      </c>
      <c r="D372" s="15">
        <v>260.27999999999997</v>
      </c>
    </row>
    <row r="373" spans="1:4">
      <c r="A373" s="13">
        <v>44105</v>
      </c>
      <c r="B373" s="15">
        <v>40.19</v>
      </c>
      <c r="C373" s="15">
        <v>96.739400000000003</v>
      </c>
      <c r="D373" s="15">
        <v>260.38799999999998</v>
      </c>
    </row>
    <row r="374" spans="1:4">
      <c r="A374" s="13">
        <v>44136</v>
      </c>
      <c r="B374" s="15">
        <v>42.69</v>
      </c>
      <c r="C374" s="15">
        <v>97.081599999999995</v>
      </c>
      <c r="D374" s="15">
        <v>260.22899999999998</v>
      </c>
    </row>
    <row r="375" spans="1:4">
      <c r="A375" s="13">
        <v>44166</v>
      </c>
      <c r="B375" s="15">
        <v>49.99</v>
      </c>
      <c r="C375" s="15">
        <v>98.363</v>
      </c>
      <c r="D375" s="15">
        <v>260.47399999999999</v>
      </c>
    </row>
    <row r="376" spans="1:4">
      <c r="A376" s="13">
        <v>44197</v>
      </c>
      <c r="B376" s="15">
        <v>54.77</v>
      </c>
      <c r="C376" s="15">
        <v>98.882199999999997</v>
      </c>
      <c r="D376" s="15">
        <v>261.58199999999999</v>
      </c>
    </row>
    <row r="377" spans="1:4">
      <c r="A377" s="13">
        <v>44228</v>
      </c>
      <c r="B377" s="15">
        <v>62.28</v>
      </c>
      <c r="C377" s="15">
        <v>95.614900000000006</v>
      </c>
      <c r="D377" s="15">
        <v>263.01400000000001</v>
      </c>
    </row>
    <row r="378" spans="1:4">
      <c r="A378" s="13">
        <v>44256</v>
      </c>
      <c r="B378" s="15">
        <v>65.41</v>
      </c>
      <c r="C378" s="15">
        <v>98.385599999999997</v>
      </c>
      <c r="D378" s="15">
        <v>264.87700000000001</v>
      </c>
    </row>
    <row r="379" spans="1:4">
      <c r="A379" s="13">
        <v>44287</v>
      </c>
      <c r="B379" s="15">
        <v>64.81</v>
      </c>
      <c r="C379" s="15">
        <v>98.558700000000002</v>
      </c>
      <c r="D379" s="15">
        <v>267.05399999999997</v>
      </c>
    </row>
    <row r="380" spans="1:4">
      <c r="A380" s="13">
        <v>44317</v>
      </c>
      <c r="B380" s="15">
        <v>68.53</v>
      </c>
      <c r="C380" s="15">
        <v>99.433300000000003</v>
      </c>
      <c r="D380" s="15">
        <v>269.19499999999999</v>
      </c>
    </row>
    <row r="381" spans="1:4">
      <c r="A381" s="13">
        <v>44348</v>
      </c>
      <c r="B381" s="15">
        <v>73.16</v>
      </c>
      <c r="C381" s="15">
        <v>99.798699999999997</v>
      </c>
      <c r="D381" s="15">
        <v>271.69600000000003</v>
      </c>
    </row>
    <row r="382" spans="1:4">
      <c r="A382" s="13">
        <v>44378</v>
      </c>
      <c r="B382" s="15">
        <v>75.17</v>
      </c>
      <c r="C382" s="15">
        <v>100.25190000000001</v>
      </c>
      <c r="D382" s="15">
        <v>273.00299999999999</v>
      </c>
    </row>
    <row r="383" spans="1:4">
      <c r="A383" s="13">
        <v>44409</v>
      </c>
      <c r="B383" s="15">
        <v>70.75</v>
      </c>
      <c r="C383" s="15">
        <v>100.0437</v>
      </c>
      <c r="D383" s="15">
        <v>273.56700000000001</v>
      </c>
    </row>
    <row r="384" spans="1:4">
      <c r="A384" s="13">
        <v>44440</v>
      </c>
      <c r="B384" s="15">
        <v>74.489999999999995</v>
      </c>
      <c r="C384" s="15">
        <v>98.857900000000001</v>
      </c>
      <c r="D384" s="15">
        <v>274.31</v>
      </c>
    </row>
    <row r="385" spans="1:4">
      <c r="A385" s="13">
        <v>44470</v>
      </c>
      <c r="B385" s="15">
        <v>83.54</v>
      </c>
      <c r="C385" s="15">
        <v>100.1861</v>
      </c>
      <c r="D385" s="15">
        <v>276.589</v>
      </c>
    </row>
    <row r="386" spans="1:4">
      <c r="A386" s="13">
        <v>44501</v>
      </c>
      <c r="B386" s="15">
        <v>81.05</v>
      </c>
      <c r="C386" s="15">
        <v>100.86539999999999</v>
      </c>
      <c r="D386" s="15">
        <v>277.94799999999998</v>
      </c>
    </row>
    <row r="387" spans="1:4">
      <c r="A387" s="13">
        <v>44531</v>
      </c>
      <c r="B387" s="15">
        <v>74.17</v>
      </c>
      <c r="C387" s="15">
        <v>100.57259999999999</v>
      </c>
      <c r="D387" s="15">
        <v>278.80200000000002</v>
      </c>
    </row>
    <row r="388" spans="1:4">
      <c r="A388" s="13">
        <v>44562</v>
      </c>
      <c r="B388" s="15">
        <v>86.51</v>
      </c>
      <c r="C388" s="15">
        <v>100.18559999999999</v>
      </c>
      <c r="D388" s="15">
        <v>281.14800000000002</v>
      </c>
    </row>
    <row r="389" spans="1:4">
      <c r="A389" s="13">
        <v>44593</v>
      </c>
      <c r="B389" s="15">
        <v>97.13</v>
      </c>
      <c r="C389" s="15">
        <v>100.8064</v>
      </c>
      <c r="D389" s="15">
        <v>283.71600000000001</v>
      </c>
    </row>
    <row r="390" spans="1:4">
      <c r="A390" s="13">
        <v>44621</v>
      </c>
      <c r="B390" s="15">
        <v>117.25</v>
      </c>
      <c r="C390" s="15">
        <v>101.3907</v>
      </c>
      <c r="D390" s="15">
        <v>287.50400000000002</v>
      </c>
    </row>
    <row r="391" spans="1:4">
      <c r="A391" s="13">
        <v>44652</v>
      </c>
      <c r="B391" s="15">
        <v>104.58</v>
      </c>
      <c r="C391" s="15">
        <v>101.44</v>
      </c>
      <c r="D391" s="15">
        <v>289.10899999999998</v>
      </c>
    </row>
    <row r="392" spans="1:4">
      <c r="A392" s="13">
        <v>44682</v>
      </c>
      <c r="B392" s="15">
        <v>113.38</v>
      </c>
      <c r="C392" s="15">
        <v>101.3335</v>
      </c>
      <c r="D392" s="15">
        <v>292.29599999999999</v>
      </c>
    </row>
    <row r="393" spans="1:4">
      <c r="A393" s="13">
        <v>44713</v>
      </c>
      <c r="B393" s="15">
        <v>122.71</v>
      </c>
      <c r="C393" s="15">
        <v>101.018</v>
      </c>
      <c r="D393" s="15">
        <v>296.31099999999998</v>
      </c>
    </row>
    <row r="394" spans="1:4">
      <c r="A394" s="13">
        <v>44743</v>
      </c>
      <c r="B394" s="15">
        <v>111.93</v>
      </c>
      <c r="C394" s="15">
        <v>101.223</v>
      </c>
      <c r="D394" s="15">
        <v>296.27600000000001</v>
      </c>
    </row>
    <row r="395" spans="1:4">
      <c r="A395" s="13">
        <v>44774</v>
      </c>
      <c r="B395" s="15">
        <v>100.45</v>
      </c>
      <c r="C395" s="15">
        <v>101.0963</v>
      </c>
      <c r="D395" s="15">
        <v>296.17099999999999</v>
      </c>
    </row>
    <row r="396" spans="1:4">
      <c r="A396" s="13">
        <v>44805</v>
      </c>
      <c r="B396" s="15">
        <v>89.76</v>
      </c>
      <c r="C396" s="15">
        <v>101.29179999999999</v>
      </c>
      <c r="D396" s="15">
        <v>296.80799999999999</v>
      </c>
    </row>
    <row r="397" spans="1:4">
      <c r="A397" s="13">
        <v>44835</v>
      </c>
      <c r="B397" s="15">
        <v>93.33</v>
      </c>
      <c r="C397" s="15">
        <v>101.2529</v>
      </c>
      <c r="D397" s="15">
        <v>298.012</v>
      </c>
    </row>
    <row r="398" spans="1:4">
      <c r="A398" s="13">
        <v>44866</v>
      </c>
      <c r="B398" s="15">
        <v>91.42</v>
      </c>
      <c r="C398" s="15">
        <v>100.9552</v>
      </c>
      <c r="D398" s="15">
        <v>297.71100000000001</v>
      </c>
    </row>
    <row r="399" spans="1:4">
      <c r="A399" s="13">
        <v>44896</v>
      </c>
      <c r="B399" s="15">
        <v>80.92</v>
      </c>
      <c r="C399" s="15">
        <v>99.766400000000004</v>
      </c>
      <c r="D399" s="15">
        <v>296.79700000000003</v>
      </c>
    </row>
    <row r="400" spans="1:4">
      <c r="A400" s="13">
        <v>44927</v>
      </c>
      <c r="B400" s="15">
        <v>82.5</v>
      </c>
      <c r="C400" s="15">
        <v>100.505</v>
      </c>
      <c r="D400" s="15">
        <v>299.17</v>
      </c>
    </row>
    <row r="401" spans="1:4">
      <c r="A401" s="13">
        <v>44958</v>
      </c>
      <c r="B401" s="15">
        <v>82.5</v>
      </c>
      <c r="C401" s="15">
        <v>100.6416</v>
      </c>
      <c r="D401" s="15">
        <v>300.83999999999997</v>
      </c>
    </row>
    <row r="402" spans="1:4">
      <c r="A402" s="13">
        <v>44986</v>
      </c>
      <c r="B402" s="15">
        <v>82.59</v>
      </c>
      <c r="C402" s="15">
        <v>101.0205</v>
      </c>
      <c r="D402" s="15">
        <v>301.83600000000001</v>
      </c>
    </row>
    <row r="403" spans="1:4">
      <c r="A403" s="13">
        <v>45017</v>
      </c>
      <c r="B403" s="15">
        <v>78.430000000000007</v>
      </c>
      <c r="C403" s="15">
        <v>101.253</v>
      </c>
      <c r="D403" s="15">
        <v>303.363</v>
      </c>
    </row>
    <row r="404" spans="1:4">
      <c r="A404" s="13">
        <v>45047</v>
      </c>
      <c r="B404" s="15">
        <v>84.64</v>
      </c>
      <c r="C404" s="15">
        <v>100.9286</v>
      </c>
      <c r="D404" s="15">
        <v>304.12700000000001</v>
      </c>
    </row>
    <row r="405" spans="1:4">
      <c r="A405" s="13">
        <v>45078</v>
      </c>
      <c r="B405" s="15">
        <v>75.47</v>
      </c>
      <c r="C405" s="15">
        <v>100.11960000000001</v>
      </c>
      <c r="D405" s="15">
        <v>305.10899999999998</v>
      </c>
    </row>
    <row r="406" spans="1:4">
      <c r="A406" s="13">
        <v>45108</v>
      </c>
      <c r="B406" s="15">
        <v>74.84</v>
      </c>
      <c r="C406" s="15">
        <v>100.9067</v>
      </c>
      <c r="D406" s="15">
        <v>305.69099999999997</v>
      </c>
    </row>
    <row r="407" spans="1:4">
      <c r="A407" s="13">
        <v>45139</v>
      </c>
      <c r="B407" s="15">
        <v>80.11</v>
      </c>
      <c r="C407" s="15">
        <v>100.83929999999999</v>
      </c>
      <c r="D407" s="15">
        <v>307.02600000000001</v>
      </c>
    </row>
    <row r="408" spans="1:4">
      <c r="A408" s="13">
        <v>45170</v>
      </c>
      <c r="B408" s="15">
        <v>86.15</v>
      </c>
      <c r="C408" s="15">
        <v>101.0211</v>
      </c>
      <c r="D408" s="15">
        <v>307.78899999999999</v>
      </c>
    </row>
    <row r="409" spans="1:4">
      <c r="A409" s="13">
        <v>45200</v>
      </c>
      <c r="B409" s="15">
        <v>93.72</v>
      </c>
      <c r="C409" s="15">
        <v>100.4689</v>
      </c>
      <c r="D409" s="15">
        <v>307.67099999999999</v>
      </c>
    </row>
    <row r="410" spans="1:4">
      <c r="A410" s="13">
        <v>45231</v>
      </c>
      <c r="B410" s="15">
        <v>90.6</v>
      </c>
      <c r="C410" s="15">
        <v>100.8639</v>
      </c>
      <c r="D410" s="15">
        <v>307.05099999999999</v>
      </c>
    </row>
    <row r="411" spans="1:4">
      <c r="A411" s="13">
        <v>45261</v>
      </c>
      <c r="B411" s="15">
        <v>82.94</v>
      </c>
      <c r="C411" s="15">
        <v>100.6031</v>
      </c>
      <c r="D411" s="15">
        <v>306.74599999999998</v>
      </c>
    </row>
    <row r="412" spans="1:4">
      <c r="A412" s="13">
        <v>45292</v>
      </c>
      <c r="B412" s="15">
        <v>80.12</v>
      </c>
      <c r="C412" s="15">
        <v>99.222300000000004</v>
      </c>
      <c r="D412" s="15">
        <v>308.41699999999997</v>
      </c>
    </row>
    <row r="413" spans="1:4">
      <c r="A413" s="13">
        <v>45323</v>
      </c>
      <c r="B413" s="15">
        <v>83.48</v>
      </c>
      <c r="C413" s="15">
        <v>100.285</v>
      </c>
      <c r="D413" s="15">
        <v>310.32600000000002</v>
      </c>
    </row>
    <row r="414" spans="1:4">
      <c r="A414" s="13">
        <v>45352</v>
      </c>
      <c r="B414" s="15">
        <v>85.41</v>
      </c>
      <c r="C414" s="15">
        <v>100.4575</v>
      </c>
      <c r="D414" s="15">
        <v>312.33199999999999</v>
      </c>
    </row>
    <row r="415" spans="1:4">
      <c r="A415" s="13">
        <v>45383</v>
      </c>
      <c r="B415" s="15">
        <v>89.94</v>
      </c>
      <c r="C415" s="15">
        <v>100.24339999999999</v>
      </c>
      <c r="D415" s="15">
        <v>313.548</v>
      </c>
    </row>
    <row r="416" spans="1:4">
      <c r="A416" s="13">
        <v>45413</v>
      </c>
      <c r="B416" s="15">
        <v>81.75</v>
      </c>
      <c r="C416" s="15">
        <v>100.863</v>
      </c>
      <c r="D416" s="15">
        <v>314.06900000000002</v>
      </c>
    </row>
    <row r="417" spans="1:4">
      <c r="A417" s="13">
        <v>45444</v>
      </c>
      <c r="B417" s="15">
        <v>82.25</v>
      </c>
      <c r="C417" s="15">
        <v>100.89400000000001</v>
      </c>
      <c r="D417" s="15">
        <v>314.17500000000001</v>
      </c>
    </row>
    <row r="418" spans="1:4">
      <c r="A418" s="13">
        <v>45474</v>
      </c>
      <c r="B418" s="15">
        <v>85.15</v>
      </c>
      <c r="C418" s="15">
        <v>99.975700000000003</v>
      </c>
      <c r="D418" s="15">
        <v>314.54000000000002</v>
      </c>
    </row>
    <row r="419" spans="1:4">
      <c r="A419" s="13">
        <v>45505</v>
      </c>
      <c r="B419" s="15">
        <v>80.36</v>
      </c>
      <c r="C419" s="15">
        <v>100.43089999999999</v>
      </c>
      <c r="D419" s="15">
        <v>314.79599999999999</v>
      </c>
    </row>
    <row r="420" spans="1:4">
      <c r="A420" s="13">
        <v>45536</v>
      </c>
      <c r="B420" s="15">
        <v>74.02</v>
      </c>
      <c r="C420" s="15">
        <v>99.808400000000006</v>
      </c>
      <c r="D420" s="15">
        <v>315.30099999999999</v>
      </c>
    </row>
    <row r="421" spans="1:4">
      <c r="A421" s="13">
        <v>45566</v>
      </c>
      <c r="B421" s="15">
        <v>75.63</v>
      </c>
      <c r="C421" s="15">
        <v>99.469499999999996</v>
      </c>
      <c r="D421" s="15">
        <v>315.66399999999999</v>
      </c>
    </row>
    <row r="422" spans="1:4">
      <c r="A422" s="13">
        <v>45597</v>
      </c>
      <c r="B422" s="15">
        <v>74.349999999999994</v>
      </c>
      <c r="C422" s="15">
        <v>99.292500000000004</v>
      </c>
      <c r="D422" s="15">
        <v>315.49299999999999</v>
      </c>
    </row>
    <row r="423" spans="1:4">
      <c r="A423" s="13">
        <v>45627</v>
      </c>
      <c r="B423" s="15">
        <v>73.86</v>
      </c>
      <c r="C423" s="15">
        <v>100.32729999999999</v>
      </c>
      <c r="D423" s="15">
        <v>315.60500000000002</v>
      </c>
    </row>
    <row r="424" spans="1:4">
      <c r="A424" s="13">
        <v>45658</v>
      </c>
      <c r="B424" s="21">
        <v>79.27</v>
      </c>
      <c r="C424" s="15">
        <v>100.0647</v>
      </c>
      <c r="D424" s="15">
        <v>317.67099999999999</v>
      </c>
    </row>
    <row r="425" spans="1:4">
      <c r="A425" s="13">
        <v>45689</v>
      </c>
      <c r="B425" s="21">
        <v>75.44</v>
      </c>
      <c r="C425" s="15">
        <v>101.0993</v>
      </c>
      <c r="D425" s="15">
        <v>319.08199999999999</v>
      </c>
    </row>
    <row r="426" spans="1:4">
      <c r="A426" s="13">
        <v>45717</v>
      </c>
      <c r="B426" s="21">
        <v>72.73</v>
      </c>
      <c r="C426" s="15">
        <v>101.04040000000001</v>
      </c>
      <c r="D426" s="15">
        <v>319.79899999999998</v>
      </c>
    </row>
    <row r="427" spans="1:4">
      <c r="A427" s="13">
        <v>45748</v>
      </c>
      <c r="B427" s="21">
        <v>68.13</v>
      </c>
      <c r="C427" s="15">
        <v>101.1279</v>
      </c>
      <c r="D427" s="15">
        <v>320.79500000000002</v>
      </c>
    </row>
    <row r="428" spans="1:4">
      <c r="A428" s="13">
        <v>45778</v>
      </c>
      <c r="B428" s="21">
        <v>64.45</v>
      </c>
      <c r="C428" s="15">
        <v>100.96550000000001</v>
      </c>
      <c r="D428" s="15">
        <v>321.46499999999997</v>
      </c>
    </row>
    <row r="429" spans="1:4">
      <c r="A429" s="13">
        <v>45809</v>
      </c>
      <c r="B429" s="21">
        <v>71.44</v>
      </c>
      <c r="C429" s="15">
        <v>101.4785</v>
      </c>
      <c r="D429" s="15">
        <v>322.56099999999998</v>
      </c>
    </row>
    <row r="430" spans="1:4">
      <c r="A430" s="13">
        <v>45839</v>
      </c>
      <c r="B430" s="21">
        <v>71.040000000000006</v>
      </c>
      <c r="C430" s="15">
        <v>101.89400000000001</v>
      </c>
      <c r="D430" s="15">
        <v>323.048</v>
      </c>
    </row>
    <row r="431" spans="1:4">
      <c r="A431" s="13">
        <v>45870</v>
      </c>
      <c r="B431" s="21">
        <v>67.87</v>
      </c>
      <c r="C431" s="15">
        <v>101.6247</v>
      </c>
      <c r="D431" s="15">
        <v>323.976</v>
      </c>
    </row>
    <row r="432" spans="1:4">
      <c r="A432" s="13">
        <v>45901</v>
      </c>
      <c r="B432" s="21">
        <v>67.989999999999995</v>
      </c>
      <c r="C432" s="15">
        <v>101.66800000000001</v>
      </c>
      <c r="D432" s="15">
        <v>324.8</v>
      </c>
    </row>
    <row r="433" spans="1:7">
      <c r="A433" s="13">
        <v>45931</v>
      </c>
      <c r="B433" s="21">
        <v>64.540000000000006</v>
      </c>
      <c r="C433" s="15">
        <v>101.2195</v>
      </c>
      <c r="D433" s="20"/>
    </row>
    <row r="434" spans="1:7">
      <c r="A434" s="13">
        <v>45962</v>
      </c>
      <c r="B434" s="21">
        <v>63.8</v>
      </c>
      <c r="C434" s="15">
        <v>101.03440000000001</v>
      </c>
      <c r="D434" s="15">
        <v>324.12200000000001</v>
      </c>
    </row>
    <row r="435" spans="1:7">
      <c r="A435" s="13">
        <v>45992</v>
      </c>
      <c r="B435" s="21">
        <v>62.54</v>
      </c>
      <c r="C435" s="15">
        <v>101.4941</v>
      </c>
      <c r="D435" s="15">
        <v>324.05399999999997</v>
      </c>
    </row>
    <row r="436" spans="1:7">
      <c r="A436" s="13">
        <v>46023</v>
      </c>
      <c r="B436" s="21">
        <v>66.599999999999994</v>
      </c>
      <c r="C436" s="15">
        <v>101.12350000000001</v>
      </c>
      <c r="D436" s="15">
        <v>325.25200000000001</v>
      </c>
    </row>
    <row r="437" spans="1:7">
      <c r="A437" s="13">
        <v>46054</v>
      </c>
      <c r="B437" s="21">
        <v>70.89</v>
      </c>
      <c r="C437" s="15">
        <v>101.94929999999999</v>
      </c>
      <c r="D437" s="15">
        <v>326.78500000000003</v>
      </c>
    </row>
    <row r="438" spans="1:7">
      <c r="A438" s="13">
        <v>46082</v>
      </c>
      <c r="B438" s="21">
        <v>103.13</v>
      </c>
      <c r="C438" s="15">
        <v>101.62730000000001</v>
      </c>
      <c r="D438" s="15">
        <v>330.21300000000002</v>
      </c>
    </row>
    <row r="439" spans="1:7">
      <c r="A439" s="13">
        <v>46113</v>
      </c>
      <c r="B439" s="21">
        <v>117.29</v>
      </c>
      <c r="C439" s="15">
        <v>102.509</v>
      </c>
      <c r="D439" s="15">
        <v>333.02</v>
      </c>
      <c r="F439" s="25" t="s">
        <v>107</v>
      </c>
    </row>
    <row r="440" spans="1:7">
      <c r="A440" s="13">
        <v>46143</v>
      </c>
      <c r="B440" s="21">
        <v>107.14</v>
      </c>
      <c r="C440" s="15">
        <v>102.64749999999999</v>
      </c>
      <c r="D440" s="15">
        <v>335.12299999999999</v>
      </c>
      <c r="F440" s="22" t="s">
        <v>74</v>
      </c>
      <c r="G440" s="22" t="s">
        <v>99</v>
      </c>
    </row>
    <row r="441" spans="1:7">
      <c r="A441" s="13">
        <v>46174</v>
      </c>
      <c r="B441" s="20"/>
      <c r="C441" s="20"/>
      <c r="D441" s="20"/>
      <c r="F441" s="23"/>
      <c r="G441" s="23"/>
    </row>
    <row r="442" spans="1:7">
      <c r="A442" s="13">
        <v>46204</v>
      </c>
      <c r="B442" s="20"/>
      <c r="C442" s="20"/>
      <c r="D442" s="20"/>
      <c r="F442" s="23"/>
      <c r="G442" s="23"/>
    </row>
    <row r="443" spans="1:7">
      <c r="A443" s="13">
        <v>46235</v>
      </c>
      <c r="B443" s="20"/>
      <c r="C443" s="20"/>
      <c r="D443" s="20"/>
      <c r="F443" s="23"/>
      <c r="G443" s="23"/>
    </row>
    <row r="444" spans="1:7">
      <c r="A444" s="13">
        <v>46266</v>
      </c>
      <c r="B444" s="20"/>
      <c r="C444" s="20"/>
      <c r="D444" s="20"/>
      <c r="F444" s="23"/>
      <c r="G444" s="23"/>
    </row>
    <row r="445" spans="1:7">
      <c r="A445" s="13">
        <v>46296</v>
      </c>
      <c r="B445" s="20"/>
      <c r="C445" s="20"/>
      <c r="D445" s="20"/>
      <c r="F445" s="23"/>
      <c r="G445" s="23"/>
    </row>
    <row r="446" spans="1:7">
      <c r="A446" s="13">
        <v>46327</v>
      </c>
      <c r="B446" s="20"/>
      <c r="C446" s="20"/>
      <c r="D446" s="20"/>
      <c r="F446" s="23"/>
      <c r="G446" s="23"/>
    </row>
    <row r="447" spans="1:7">
      <c r="A447" s="13">
        <v>46357</v>
      </c>
      <c r="B447" s="20"/>
      <c r="C447" s="20"/>
      <c r="D447" s="20"/>
      <c r="F447" s="23"/>
      <c r="G447" s="23"/>
    </row>
  </sheetData>
  <hyperlinks>
    <hyperlink ref="K2" r:id="rId1" xr:uid="{6990C334-B91F-4310-B587-69E33487D17C}"/>
    <hyperlink ref="K1" r:id="rId2" xr:uid="{A1C8F1C7-D9E4-4B74-A86E-866F6414FF9E}"/>
    <hyperlink ref="K3" r:id="rId3" xr:uid="{D3E044CC-C3F7-43EB-9602-60BA961AFE06}"/>
    <hyperlink ref="L3" r:id="rId4" xr:uid="{6BF14930-0B9B-4314-A906-3380C40C7533}"/>
    <hyperlink ref="D1" r:id="rId5" display="https://data.bls.gov/timeseries/CUUR0000SA0?years_option=all_years" xr:uid="{366E10AA-18DE-4342-8278-554C0B084E6D}"/>
    <hyperlink ref="C1" r:id="rId6" xr:uid="{1E33A742-15E5-44CE-AE64-5259A745FC61}"/>
    <hyperlink ref="M2" r:id="rId7" xr:uid="{CA7EFD0A-8813-43D5-9C91-05700DCBC0E7}"/>
    <hyperlink ref="B1" r:id="rId8" display="https://fred.stlouisfed.org/series/MCOILBRENTEU" xr:uid="{4C967DBF-9360-4056-832F-62FD146FA04B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Acciones</vt:lpstr>
      <vt:lpstr>Materias_Prim</vt:lpstr>
      <vt:lpstr>Monedas</vt:lpstr>
      <vt:lpstr>Actividad_Colombia</vt:lpstr>
      <vt:lpstr>Exogenas</vt:lpstr>
    </vt:vector>
  </TitlesOfParts>
  <Company>Bancolombia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Yesid Gonzalez Pena</dc:creator>
  <cp:lastModifiedBy>Arturo Yesid Gonzalez Pena</cp:lastModifiedBy>
  <dcterms:created xsi:type="dcterms:W3CDTF">2022-06-11T03:00:25Z</dcterms:created>
  <dcterms:modified xsi:type="dcterms:W3CDTF">2026-07-04T15:38:34Z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2025-07-03T21:27:40Z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7b6448bf-acc1-43f5-aec5-f7e5d95f0d17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